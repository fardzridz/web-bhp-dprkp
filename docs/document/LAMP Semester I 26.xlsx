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showInkAnnotation="0"/>
  <mc:AlternateContent xmlns:mc="http://schemas.openxmlformats.org/markup-compatibility/2006">
    <mc:Choice Requires="x15">
      <x15ac:absPath xmlns:x15ac="http://schemas.microsoft.com/office/spreadsheetml/2010/11/ac" url="D:\DATA DARI C\Documents\Laporan 23\2026\"/>
    </mc:Choice>
  </mc:AlternateContent>
  <xr:revisionPtr revIDLastSave="0" documentId="13_ncr:1_{60B7F904-0C24-4567-AC9F-8AB608A6E51A}" xr6:coauthVersionLast="47" xr6:coauthVersionMax="47" xr10:uidLastSave="{00000000-0000-0000-0000-000000000000}"/>
  <bookViews>
    <workbookView xWindow="-120" yWindow="-120" windowWidth="20730" windowHeight="11760" firstSheet="2" activeTab="8" xr2:uid="{00000000-000D-0000-FFFF-FFFF00000000}"/>
  </bookViews>
  <sheets>
    <sheet name="Sheet4" sheetId="20" r:id="rId1"/>
    <sheet name="LAMP.8 (I)" sheetId="2" r:id="rId2"/>
    <sheet name="LAMP.9 (I)" sheetId="3" r:id="rId3"/>
    <sheet name="LAMP.11 (I)" sheetId="5" r:id="rId4"/>
    <sheet name="LAMP 10" sheetId="21" r:id="rId5"/>
    <sheet name="LAMP.10 (II)" sheetId="14" r:id="rId6"/>
    <sheet name="LAMP.14" sheetId="10" r:id="rId7"/>
    <sheet name="LAMP.15" sheetId="11" r:id="rId8"/>
    <sheet name="LAMP.8 (II)" sheetId="13" r:id="rId9"/>
    <sheet name="LAMP.9 (II)" sheetId="15" r:id="rId10"/>
    <sheet name="LAMP.11 (II)" sheetId="16" r:id="rId11"/>
    <sheet name="LAMP.16" sheetId="12" r:id="rId12"/>
    <sheet name="Sheet1" sheetId="17" r:id="rId13"/>
    <sheet name="Sheet2" sheetId="18" r:id="rId14"/>
    <sheet name="Sheet3" sheetId="19" r:id="rId15"/>
  </sheets>
  <definedNames>
    <definedName name="OLE_LINK2" localSheetId="5">'LAMP.10 (II)'!#REF!</definedName>
    <definedName name="OLE_LINK2" localSheetId="3">'LAMP.11 (I)'!#REF!</definedName>
    <definedName name="OLE_LINK2" localSheetId="10">'LAMP.11 (II)'!#REF!</definedName>
    <definedName name="OLE_LINK2" localSheetId="11">LAMP.16!#REF!</definedName>
    <definedName name="OLE_LINK2" localSheetId="1">'LAMP.8 (I)'!#REF!</definedName>
    <definedName name="OLE_LINK2" localSheetId="8">'LAMP.8 (II)'!#REF!</definedName>
    <definedName name="OLE_LINK3" localSheetId="5">'LAMP.10 (II)'!#REF!</definedName>
    <definedName name="OLE_LINK3" localSheetId="3">'LAMP.11 (I)'!#REF!</definedName>
    <definedName name="OLE_LINK3" localSheetId="10">'LAMP.11 (II)'!#REF!</definedName>
    <definedName name="OLE_LINK3" localSheetId="11">LAMP.16!#REF!</definedName>
    <definedName name="OLE_LINK3" localSheetId="1">'LAMP.8 (I)'!#REF!</definedName>
    <definedName name="OLE_LINK3" localSheetId="8">'LAMP.8 (II)'!#REF!</definedName>
    <definedName name="_xlnm.Print_Area" localSheetId="5">'LAMP.10 (II)'!$A$1:$N$33</definedName>
    <definedName name="_xlnm.Print_Area" localSheetId="3">'LAMP.11 (I)'!$A$1:$P$332</definedName>
    <definedName name="_xlnm.Print_Area" localSheetId="10">'LAMP.11 (II)'!$A$1:$P$478</definedName>
    <definedName name="_xlnm.Print_Area" localSheetId="6">LAMP.14!$A$1:$X$47</definedName>
    <definedName name="_xlnm.Print_Area" localSheetId="7">LAMP.15!$A$1:$Y$750</definedName>
    <definedName name="_xlnm.Print_Area" localSheetId="11">LAMP.16!$A$1:$G$48</definedName>
    <definedName name="_xlnm.Print_Area" localSheetId="2">'LAMP.9 (I)'!$A$1:$K$315</definedName>
    <definedName name="_xlnm.Print_Titles" localSheetId="5">'LAMP.10 (II)'!$11:$11</definedName>
    <definedName name="_xlnm.Print_Titles" localSheetId="3">'LAMP.11 (I)'!$7:$10</definedName>
    <definedName name="_xlnm.Print_Titles" localSheetId="1">'LAMP.8 (I)'!$5:$8</definedName>
    <definedName name="_xlnm.Print_Titles" localSheetId="8">'LAMP.8 (II)'!$8:$8</definedName>
    <definedName name="_xlnm.Print_Titles" localSheetId="2">'LAMP.9 (I)'!$6:$8</definedName>
    <definedName name="_xlnm.Print_Titles" localSheetId="9">'LAMP.9 (II)'!$8:$8</definedName>
  </definedNames>
  <calcPr calcId="181029"/>
</workbook>
</file>

<file path=xl/calcChain.xml><?xml version="1.0" encoding="utf-8"?>
<calcChain xmlns="http://schemas.openxmlformats.org/spreadsheetml/2006/main">
  <c r="J120" i="13" l="1"/>
  <c r="J121" i="13"/>
  <c r="J119" i="13"/>
  <c r="J118" i="13"/>
  <c r="J131" i="13"/>
  <c r="J130" i="13"/>
  <c r="J112" i="13"/>
  <c r="J111" i="13"/>
  <c r="J94" i="13"/>
  <c r="J93" i="13"/>
  <c r="J91" i="13"/>
  <c r="J90" i="13"/>
  <c r="O91" i="13" s="1"/>
  <c r="J128" i="13"/>
  <c r="J127" i="13"/>
  <c r="J125" i="13"/>
  <c r="J124" i="13"/>
  <c r="O125" i="13" s="1"/>
  <c r="J116" i="13"/>
  <c r="J115" i="13"/>
  <c r="J53" i="13"/>
  <c r="J52" i="13"/>
  <c r="J51" i="13"/>
  <c r="J50" i="13"/>
  <c r="J49" i="13"/>
  <c r="J48" i="13"/>
  <c r="J47" i="13"/>
  <c r="J55" i="13"/>
  <c r="J54" i="13"/>
  <c r="J72" i="13"/>
  <c r="J70" i="13"/>
  <c r="J69" i="13"/>
  <c r="J68" i="13"/>
  <c r="J67" i="13"/>
  <c r="J65" i="13"/>
  <c r="J73" i="13"/>
  <c r="J71" i="13"/>
  <c r="J66" i="13"/>
  <c r="J64" i="13"/>
  <c r="J60" i="13"/>
  <c r="J61" i="13"/>
  <c r="J59" i="13"/>
  <c r="J58" i="13"/>
  <c r="J62" i="13"/>
  <c r="J57" i="13"/>
  <c r="J332" i="2"/>
  <c r="J331" i="2"/>
  <c r="J86" i="2"/>
  <c r="J246" i="2"/>
  <c r="O246" i="2" s="1"/>
  <c r="J27" i="2"/>
  <c r="O27" i="2" s="1"/>
  <c r="J111" i="2"/>
  <c r="O111" i="2" s="1"/>
  <c r="J79" i="2"/>
  <c r="J78" i="2"/>
  <c r="J262" i="2"/>
  <c r="O262" i="2" s="1"/>
  <c r="J81" i="2"/>
  <c r="O81" i="2" s="1"/>
  <c r="J248" i="2"/>
  <c r="O248" i="2" s="1"/>
  <c r="J225" i="13"/>
  <c r="J224" i="13"/>
  <c r="J223" i="13"/>
  <c r="J221" i="13"/>
  <c r="J220" i="13"/>
  <c r="J219" i="13"/>
  <c r="J217" i="13"/>
  <c r="J216" i="13"/>
  <c r="J215" i="13"/>
  <c r="J213" i="13"/>
  <c r="J212" i="13"/>
  <c r="J211" i="13"/>
  <c r="J44" i="13"/>
  <c r="J43" i="13"/>
  <c r="J42" i="13"/>
  <c r="J34" i="13"/>
  <c r="J45" i="13"/>
  <c r="J41" i="13"/>
  <c r="J40" i="13"/>
  <c r="J39" i="13"/>
  <c r="J38" i="13"/>
  <c r="J37" i="13"/>
  <c r="J36" i="13"/>
  <c r="J35" i="13"/>
  <c r="J33" i="13"/>
  <c r="J32" i="13"/>
  <c r="J109" i="13"/>
  <c r="J108" i="13"/>
  <c r="J106" i="13"/>
  <c r="J105" i="13"/>
  <c r="J162" i="13"/>
  <c r="O162" i="13" s="1"/>
  <c r="J282" i="13"/>
  <c r="J281" i="13"/>
  <c r="J24" i="13"/>
  <c r="J21" i="13"/>
  <c r="J23" i="13"/>
  <c r="J22" i="13"/>
  <c r="J20" i="13"/>
  <c r="J19" i="13"/>
  <c r="J18" i="13"/>
  <c r="J17" i="13"/>
  <c r="J16" i="13"/>
  <c r="J14" i="13"/>
  <c r="J13" i="13"/>
  <c r="J166" i="13"/>
  <c r="O166" i="13" s="1"/>
  <c r="J260" i="2"/>
  <c r="O260" i="2" s="1"/>
  <c r="J109" i="2"/>
  <c r="O109" i="2" s="1"/>
  <c r="J164" i="13"/>
  <c r="O164" i="13" s="1"/>
  <c r="J242" i="2"/>
  <c r="O242" i="2" s="1"/>
  <c r="J244" i="2"/>
  <c r="O244" i="2" s="1"/>
  <c r="J241" i="2"/>
  <c r="O241" i="2" s="1"/>
  <c r="J119" i="2"/>
  <c r="J118" i="2"/>
  <c r="J117" i="2"/>
  <c r="J279" i="13"/>
  <c r="O279" i="13" s="1"/>
  <c r="J84" i="13"/>
  <c r="J83" i="13"/>
  <c r="J30" i="13"/>
  <c r="J29" i="13"/>
  <c r="J27" i="13"/>
  <c r="J28" i="13"/>
  <c r="J26" i="13"/>
  <c r="J88" i="13"/>
  <c r="J87" i="13"/>
  <c r="J277" i="13"/>
  <c r="O277" i="13" s="1"/>
  <c r="J103" i="13"/>
  <c r="J102" i="13"/>
  <c r="J166" i="2"/>
  <c r="O166" i="2" s="1"/>
  <c r="J102" i="2"/>
  <c r="J101" i="2"/>
  <c r="J100" i="2"/>
  <c r="J258" i="2"/>
  <c r="O258" i="2" s="1"/>
  <c r="J107" i="2"/>
  <c r="J106" i="2"/>
  <c r="J13" i="2"/>
  <c r="O13" i="2" s="1"/>
  <c r="J24" i="2"/>
  <c r="J22" i="2"/>
  <c r="J23" i="2"/>
  <c r="J19" i="2"/>
  <c r="J20" i="2"/>
  <c r="J76" i="2"/>
  <c r="O76" i="2" s="1"/>
  <c r="J74" i="2"/>
  <c r="O74" i="2" s="1"/>
  <c r="J256" i="2"/>
  <c r="O256" i="2" s="1"/>
  <c r="J98" i="2"/>
  <c r="O98" i="2" s="1"/>
  <c r="J96" i="2"/>
  <c r="J365" i="2"/>
  <c r="J366" i="2"/>
  <c r="J364" i="2"/>
  <c r="J360" i="2"/>
  <c r="J413" i="2"/>
  <c r="O413" i="2" s="1"/>
  <c r="J546" i="2"/>
  <c r="O546" i="2" s="1"/>
  <c r="J18" i="2"/>
  <c r="J17" i="2"/>
  <c r="J16" i="2"/>
  <c r="J312" i="2"/>
  <c r="O312" i="2" s="1"/>
  <c r="O121" i="13" l="1"/>
  <c r="O131" i="13"/>
  <c r="O112" i="13"/>
  <c r="O94" i="13"/>
  <c r="O116" i="13"/>
  <c r="O128" i="13"/>
  <c r="O55" i="13"/>
  <c r="O62" i="13"/>
  <c r="O73" i="13"/>
  <c r="O78" i="2"/>
  <c r="J218" i="13"/>
  <c r="J222" i="13"/>
  <c r="J210" i="13"/>
  <c r="J214" i="13"/>
  <c r="O106" i="13"/>
  <c r="O282" i="13"/>
  <c r="O45" i="13"/>
  <c r="O109" i="13"/>
  <c r="O102" i="13"/>
  <c r="O88" i="13"/>
  <c r="O107" i="2"/>
  <c r="O84" i="13"/>
  <c r="O30" i="13"/>
  <c r="O102" i="2"/>
  <c r="O24" i="2"/>
  <c r="O20" i="2"/>
  <c r="O366" i="2"/>
  <c r="J310" i="2"/>
  <c r="O310" i="2" s="1"/>
  <c r="J543" i="2"/>
  <c r="J542" i="2"/>
  <c r="J395" i="2"/>
  <c r="J411" i="2"/>
  <c r="O411" i="2" s="1"/>
  <c r="J15" i="13"/>
  <c r="O24" i="13" s="1"/>
  <c r="J156" i="2"/>
  <c r="J154" i="2"/>
  <c r="J87" i="2"/>
  <c r="J179" i="2"/>
  <c r="J178" i="2"/>
  <c r="J195" i="2"/>
  <c r="J194" i="2"/>
  <c r="J199" i="2"/>
  <c r="J198" i="2"/>
  <c r="J95" i="2"/>
  <c r="O95" i="2" s="1"/>
  <c r="J181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6" i="2"/>
  <c r="J467" i="2"/>
  <c r="J468" i="2"/>
  <c r="J469" i="2"/>
  <c r="J470" i="2"/>
  <c r="J471" i="2"/>
  <c r="J472" i="2"/>
  <c r="J473" i="2"/>
  <c r="J475" i="2"/>
  <c r="J476" i="2"/>
  <c r="J477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10" i="2"/>
  <c r="J511" i="2"/>
  <c r="J512" i="2"/>
  <c r="J513" i="2"/>
  <c r="J514" i="2"/>
  <c r="J515" i="2"/>
  <c r="J516" i="2"/>
  <c r="J517" i="2"/>
  <c r="J518" i="2"/>
  <c r="J519" i="2"/>
  <c r="G509" i="2"/>
  <c r="J509" i="2" s="1"/>
  <c r="G480" i="2"/>
  <c r="J480" i="2" s="1"/>
  <c r="G479" i="2"/>
  <c r="J479" i="2" s="1"/>
  <c r="G478" i="2"/>
  <c r="J478" i="2" s="1"/>
  <c r="G474" i="2"/>
  <c r="J474" i="2" s="1"/>
  <c r="G465" i="2"/>
  <c r="J465" i="2" s="1"/>
  <c r="G464" i="2"/>
  <c r="J464" i="2" s="1"/>
  <c r="G463" i="2"/>
  <c r="J463" i="2" s="1"/>
  <c r="J531" i="2"/>
  <c r="J539" i="2"/>
  <c r="O225" i="13" l="1"/>
  <c r="O543" i="2"/>
  <c r="O87" i="2"/>
  <c r="O195" i="2"/>
  <c r="O199" i="2"/>
  <c r="O179" i="2"/>
  <c r="J540" i="2"/>
  <c r="O540" i="2" s="1"/>
  <c r="O537" i="2"/>
  <c r="O534" i="2"/>
  <c r="O531" i="2"/>
  <c r="J235" i="2" l="1"/>
  <c r="O235" i="2" s="1"/>
  <c r="J214" i="2" l="1"/>
  <c r="J211" i="2"/>
  <c r="J274" i="2" l="1"/>
  <c r="O274" i="2" s="1"/>
  <c r="J361" i="2"/>
  <c r="O361" i="2" s="1"/>
  <c r="J340" i="2" l="1"/>
  <c r="J339" i="2"/>
  <c r="J338" i="2"/>
  <c r="J337" i="2"/>
  <c r="J336" i="2"/>
  <c r="J333" i="2"/>
  <c r="J330" i="2"/>
  <c r="J329" i="2"/>
  <c r="J328" i="2"/>
  <c r="J327" i="2"/>
  <c r="J207" i="13"/>
  <c r="J206" i="13"/>
  <c r="J205" i="13"/>
  <c r="J204" i="13"/>
  <c r="J203" i="13"/>
  <c r="J225" i="2"/>
  <c r="O225" i="2" s="1"/>
  <c r="J223" i="2"/>
  <c r="O223" i="2" s="1"/>
  <c r="O207" i="13" l="1"/>
  <c r="O333" i="2"/>
  <c r="O340" i="2"/>
  <c r="J299" i="2"/>
  <c r="O299" i="2" s="1"/>
  <c r="J290" i="2"/>
  <c r="O290" i="2" s="1"/>
  <c r="J277" i="2"/>
  <c r="O277" i="2" s="1"/>
  <c r="J308" i="2"/>
  <c r="J307" i="2"/>
  <c r="J305" i="2"/>
  <c r="J304" i="2"/>
  <c r="J302" i="2"/>
  <c r="J301" i="2"/>
  <c r="J297" i="2"/>
  <c r="J296" i="2"/>
  <c r="J294" i="2"/>
  <c r="O294" i="2" s="1"/>
  <c r="J292" i="2"/>
  <c r="O292" i="2" s="1"/>
  <c r="J288" i="2"/>
  <c r="O288" i="2" s="1"/>
  <c r="J286" i="2"/>
  <c r="O286" i="2" s="1"/>
  <c r="J285" i="2"/>
  <c r="J284" i="2"/>
  <c r="J283" i="2"/>
  <c r="J281" i="2"/>
  <c r="O281" i="2" s="1"/>
  <c r="J254" i="2"/>
  <c r="O254" i="2" s="1"/>
  <c r="J403" i="2"/>
  <c r="J402" i="2"/>
  <c r="J401" i="2"/>
  <c r="J399" i="2"/>
  <c r="J398" i="2"/>
  <c r="J396" i="2"/>
  <c r="J408" i="2"/>
  <c r="J407" i="2"/>
  <c r="J400" i="2"/>
  <c r="J397" i="2"/>
  <c r="J394" i="2"/>
  <c r="J206" i="2"/>
  <c r="O206" i="2" s="1"/>
  <c r="O403" i="2" l="1"/>
  <c r="O408" i="2"/>
  <c r="O302" i="2"/>
  <c r="O285" i="2"/>
  <c r="O308" i="2"/>
  <c r="O305" i="2"/>
  <c r="O297" i="2"/>
  <c r="O400" i="2" l="1"/>
  <c r="P314" i="2"/>
  <c r="P423" i="2"/>
  <c r="J312" i="13"/>
  <c r="J311" i="13"/>
  <c r="J310" i="13"/>
  <c r="J309" i="13"/>
  <c r="J308" i="13"/>
  <c r="J307" i="13"/>
  <c r="J306" i="13"/>
  <c r="J305" i="13"/>
  <c r="J304" i="13"/>
  <c r="J303" i="13"/>
  <c r="J302" i="13"/>
  <c r="J301" i="13"/>
  <c r="J300" i="13"/>
  <c r="J299" i="13"/>
  <c r="J298" i="13"/>
  <c r="J297" i="13"/>
  <c r="J296" i="13"/>
  <c r="J295" i="13"/>
  <c r="J294" i="13"/>
  <c r="J293" i="13"/>
  <c r="J154" i="13"/>
  <c r="J153" i="13"/>
  <c r="J152" i="13"/>
  <c r="J151" i="13"/>
  <c r="J150" i="13"/>
  <c r="J149" i="13"/>
  <c r="J148" i="13"/>
  <c r="J147" i="13"/>
  <c r="J146" i="13"/>
  <c r="J145" i="13"/>
  <c r="J144" i="13"/>
  <c r="J143" i="13"/>
  <c r="J142" i="13"/>
  <c r="J141" i="13"/>
  <c r="J326" i="13"/>
  <c r="J325" i="13"/>
  <c r="J324" i="13"/>
  <c r="J323" i="13"/>
  <c r="J322" i="13"/>
  <c r="J321" i="13"/>
  <c r="J320" i="13"/>
  <c r="J319" i="13"/>
  <c r="J318" i="13"/>
  <c r="J317" i="13"/>
  <c r="J316" i="13"/>
  <c r="J315" i="13"/>
  <c r="J314" i="13"/>
  <c r="O313" i="13" l="1"/>
  <c r="O154" i="13"/>
  <c r="O326" i="13"/>
  <c r="J140" i="2" l="1"/>
  <c r="O140" i="2" s="1"/>
  <c r="J163" i="2" l="1"/>
  <c r="J162" i="2"/>
  <c r="J161" i="2"/>
  <c r="J160" i="2"/>
  <c r="J159" i="2"/>
  <c r="J158" i="2"/>
  <c r="J157" i="2"/>
  <c r="J155" i="2"/>
  <c r="J153" i="2"/>
  <c r="J152" i="2"/>
  <c r="J151" i="2"/>
  <c r="J150" i="2"/>
  <c r="O163" i="2" l="1"/>
  <c r="J378" i="2"/>
  <c r="J377" i="2"/>
  <c r="J251" i="2"/>
  <c r="O251" i="2" s="1"/>
  <c r="J272" i="13"/>
  <c r="J271" i="13"/>
  <c r="J262" i="13"/>
  <c r="J261" i="13"/>
  <c r="J249" i="13"/>
  <c r="J248" i="13"/>
  <c r="J182" i="2"/>
  <c r="O377" i="2" l="1"/>
  <c r="O262" i="13"/>
  <c r="O272" i="13"/>
  <c r="O249" i="13"/>
  <c r="J187" i="2" l="1"/>
  <c r="J254" i="13"/>
  <c r="J253" i="13"/>
  <c r="J252" i="13"/>
  <c r="O180" i="13" l="1"/>
  <c r="O189" i="2"/>
  <c r="A130" i="2" l="1"/>
  <c r="O120" i="2" l="1"/>
  <c r="J245" i="13"/>
  <c r="J244" i="13"/>
  <c r="J243" i="13"/>
  <c r="J267" i="13"/>
  <c r="J269" i="13"/>
  <c r="J268" i="13"/>
  <c r="O332" i="13" l="1"/>
  <c r="O245" i="13"/>
  <c r="O254" i="13"/>
  <c r="O269" i="13"/>
  <c r="J241" i="13" l="1"/>
  <c r="J240" i="13"/>
  <c r="J239" i="13"/>
  <c r="J238" i="13"/>
  <c r="O241" i="13" l="1"/>
  <c r="J10" i="21" l="1"/>
  <c r="J11" i="21"/>
  <c r="J12" i="21"/>
  <c r="J13" i="21"/>
  <c r="J14" i="21"/>
  <c r="J15" i="21"/>
  <c r="J16" i="21"/>
  <c r="J38" i="21"/>
  <c r="J39" i="21"/>
  <c r="J40" i="21"/>
  <c r="J41" i="21"/>
  <c r="J42" i="21"/>
  <c r="J43" i="21"/>
  <c r="J44" i="21"/>
  <c r="J67" i="21"/>
  <c r="J68" i="21"/>
  <c r="J69" i="21"/>
  <c r="J70" i="21"/>
  <c r="J71" i="21"/>
  <c r="J72" i="21"/>
  <c r="J73" i="21"/>
  <c r="J74" i="21"/>
  <c r="J96" i="21"/>
  <c r="J97" i="21"/>
  <c r="J98" i="21"/>
  <c r="J99" i="21"/>
  <c r="J100" i="21"/>
  <c r="J101" i="21"/>
  <c r="J102" i="21"/>
  <c r="J103" i="21"/>
  <c r="J104" i="21"/>
  <c r="J105" i="21"/>
  <c r="J106" i="21"/>
  <c r="J107" i="21"/>
  <c r="J108" i="21"/>
  <c r="J109" i="21"/>
  <c r="J110" i="21"/>
  <c r="J111" i="21"/>
  <c r="J112" i="21"/>
  <c r="J265" i="13"/>
  <c r="C2" i="18"/>
  <c r="C3" i="18"/>
  <c r="C4" i="18"/>
  <c r="C5" i="18"/>
  <c r="C6" i="18"/>
  <c r="C7" i="18"/>
  <c r="C8" i="18"/>
  <c r="C9" i="18"/>
  <c r="C10" i="18"/>
  <c r="C1" i="18"/>
  <c r="A10" i="3"/>
  <c r="A12" i="5"/>
  <c r="J13" i="14"/>
  <c r="L13" i="14"/>
  <c r="J14" i="14"/>
  <c r="L14" i="14"/>
  <c r="J15" i="14"/>
  <c r="L15" i="14"/>
  <c r="J16" i="14"/>
  <c r="L16" i="14"/>
  <c r="J17" i="14"/>
  <c r="L17" i="14"/>
  <c r="J18" i="14"/>
  <c r="L18" i="14"/>
  <c r="J19" i="14"/>
  <c r="L19" i="14"/>
  <c r="J20" i="14"/>
  <c r="L20" i="14"/>
  <c r="J21" i="14"/>
  <c r="L21" i="14"/>
  <c r="J12" i="10"/>
  <c r="O12" i="10"/>
  <c r="W12" i="10" s="1"/>
  <c r="S12" i="10"/>
  <c r="T12" i="10"/>
  <c r="U12" i="10"/>
  <c r="V12" i="10" s="1"/>
  <c r="J13" i="10"/>
  <c r="O13" i="10"/>
  <c r="S13" i="10"/>
  <c r="T13" i="10"/>
  <c r="U13" i="10"/>
  <c r="V13" i="10" s="1"/>
  <c r="W13" i="10"/>
  <c r="J14" i="10"/>
  <c r="O14" i="10"/>
  <c r="W14" i="10" s="1"/>
  <c r="S14" i="10"/>
  <c r="T14" i="10"/>
  <c r="U14" i="10"/>
  <c r="V14" i="10" s="1"/>
  <c r="O15" i="10"/>
  <c r="W15" i="10" s="1"/>
  <c r="S15" i="10"/>
  <c r="T15" i="10"/>
  <c r="U15" i="10"/>
  <c r="V15" i="10"/>
  <c r="J16" i="10"/>
  <c r="O16" i="10"/>
  <c r="S16" i="10"/>
  <c r="T16" i="10"/>
  <c r="U16" i="10"/>
  <c r="V16" i="10" s="1"/>
  <c r="W16" i="10"/>
  <c r="O17" i="10"/>
  <c r="S17" i="10"/>
  <c r="T17" i="10"/>
  <c r="U17" i="10"/>
  <c r="V17" i="10" s="1"/>
  <c r="W17" i="10"/>
  <c r="J18" i="10"/>
  <c r="O18" i="10"/>
  <c r="W18" i="10" s="1"/>
  <c r="S18" i="10"/>
  <c r="T18" i="10"/>
  <c r="U18" i="10"/>
  <c r="V18" i="10"/>
  <c r="J19" i="10"/>
  <c r="O19" i="10"/>
  <c r="S19" i="10"/>
  <c r="T19" i="10"/>
  <c r="U19" i="10"/>
  <c r="V19" i="10" s="1"/>
  <c r="W19" i="10"/>
  <c r="J20" i="10"/>
  <c r="O20" i="10"/>
  <c r="W20" i="10" s="1"/>
  <c r="S20" i="10"/>
  <c r="T20" i="10"/>
  <c r="U20" i="10"/>
  <c r="V20" i="10"/>
  <c r="J21" i="10"/>
  <c r="O21" i="10"/>
  <c r="S21" i="10"/>
  <c r="T21" i="10"/>
  <c r="U21" i="10"/>
  <c r="V21" i="10" s="1"/>
  <c r="W21" i="10"/>
  <c r="J22" i="10"/>
  <c r="O22" i="10"/>
  <c r="W22" i="10" s="1"/>
  <c r="S22" i="10"/>
  <c r="T22" i="10"/>
  <c r="U22" i="10"/>
  <c r="V22" i="10"/>
  <c r="J23" i="10"/>
  <c r="O23" i="10"/>
  <c r="S23" i="10"/>
  <c r="T23" i="10"/>
  <c r="U23" i="10"/>
  <c r="V23" i="10" s="1"/>
  <c r="W23" i="10"/>
  <c r="O24" i="10"/>
  <c r="S24" i="10"/>
  <c r="T24" i="10"/>
  <c r="U24" i="10"/>
  <c r="V24" i="10" s="1"/>
  <c r="W24" i="10"/>
  <c r="J25" i="10"/>
  <c r="U25" i="10" s="1"/>
  <c r="V25" i="10" s="1"/>
  <c r="O25" i="10"/>
  <c r="W25" i="10" s="1"/>
  <c r="S25" i="10"/>
  <c r="T25" i="10"/>
  <c r="O26" i="10"/>
  <c r="W26" i="10" s="1"/>
  <c r="S26" i="10"/>
  <c r="T26" i="10"/>
  <c r="U26" i="10"/>
  <c r="V26" i="10"/>
  <c r="O27" i="10"/>
  <c r="W27" i="10" s="1"/>
  <c r="S27" i="10"/>
  <c r="T27" i="10"/>
  <c r="U27" i="10"/>
  <c r="V27" i="10"/>
  <c r="O28" i="10"/>
  <c r="W28" i="10" s="1"/>
  <c r="S28" i="10"/>
  <c r="T28" i="10"/>
  <c r="U28" i="10"/>
  <c r="V28" i="10" s="1"/>
  <c r="O29" i="10"/>
  <c r="W29" i="10" s="1"/>
  <c r="S29" i="10"/>
  <c r="T29" i="10"/>
  <c r="U29" i="10"/>
  <c r="V29" i="10" s="1"/>
  <c r="O30" i="10"/>
  <c r="W30" i="10" s="1"/>
  <c r="S30" i="10"/>
  <c r="T30" i="10"/>
  <c r="U30" i="10"/>
  <c r="V30" i="10"/>
  <c r="O31" i="10"/>
  <c r="W31" i="10" s="1"/>
  <c r="S31" i="10"/>
  <c r="T31" i="10"/>
  <c r="U31" i="10"/>
  <c r="V31" i="10"/>
  <c r="O32" i="10"/>
  <c r="W32" i="10" s="1"/>
  <c r="S32" i="10"/>
  <c r="T32" i="10"/>
  <c r="U32" i="10"/>
  <c r="V32" i="10"/>
  <c r="O33" i="10"/>
  <c r="W33" i="10" s="1"/>
  <c r="S33" i="10"/>
  <c r="T33" i="10"/>
  <c r="U33" i="10"/>
  <c r="V33" i="10" s="1"/>
  <c r="O34" i="10"/>
  <c r="W34" i="10" s="1"/>
  <c r="S34" i="10"/>
  <c r="T34" i="10"/>
  <c r="U34" i="10"/>
  <c r="V34" i="10" s="1"/>
  <c r="A13" i="11"/>
  <c r="A10" i="15"/>
  <c r="A13" i="16"/>
  <c r="B14" i="17"/>
  <c r="B15" i="17" s="1"/>
  <c r="C14" i="17"/>
  <c r="C15" i="17" s="1"/>
  <c r="D14" i="17"/>
  <c r="D15" i="17" s="1"/>
  <c r="E14" i="17"/>
  <c r="E15" i="17" s="1"/>
  <c r="J75" i="21" l="1"/>
  <c r="F14" i="17"/>
  <c r="J17" i="21"/>
  <c r="C11" i="18"/>
  <c r="J113" i="21"/>
  <c r="J46" i="21"/>
  <c r="O265" i="13"/>
</calcChain>
</file>

<file path=xl/sharedStrings.xml><?xml version="1.0" encoding="utf-8"?>
<sst xmlns="http://schemas.openxmlformats.org/spreadsheetml/2006/main" count="2019" uniqueCount="751">
  <si>
    <t>LAMPIRAN 8</t>
  </si>
  <si>
    <t>BUKU PENERIMAAN BARANG</t>
  </si>
  <si>
    <t>No</t>
  </si>
  <si>
    <t>Tanggal</t>
  </si>
  <si>
    <t>Dari</t>
  </si>
  <si>
    <t>Dokumen Faktur</t>
  </si>
  <si>
    <t>Nama Barang</t>
  </si>
  <si>
    <t>Banyaknya</t>
  </si>
  <si>
    <t>Harga Satuan (Rp.)</t>
  </si>
  <si>
    <t>Jumlah Harga (Rp.)</t>
  </si>
  <si>
    <t>Bukti Penerimaan/</t>
  </si>
  <si>
    <t>Keterangan</t>
  </si>
  <si>
    <t>B.A. Penerimaan</t>
  </si>
  <si>
    <t>Nomor</t>
  </si>
  <si>
    <t>1. Alat Tulis Kantor</t>
  </si>
  <si>
    <t>rim</t>
  </si>
  <si>
    <t>pak</t>
  </si>
  <si>
    <t>buah</t>
  </si>
  <si>
    <t>botol</t>
  </si>
  <si>
    <t>unit</t>
  </si>
  <si>
    <t>Kantor Pos Pasuruan</t>
  </si>
  <si>
    <t>lbr</t>
  </si>
  <si>
    <t>5. Bahan Bakar Minyak/Gas</t>
  </si>
  <si>
    <t>ltr</t>
  </si>
  <si>
    <t>Sekretariat</t>
  </si>
  <si>
    <t>Pertamax 1</t>
  </si>
  <si>
    <t>Pertalite</t>
  </si>
  <si>
    <t>6. Barang Cetakan</t>
  </si>
  <si>
    <t>7. Bahan Baku Bangunan</t>
  </si>
  <si>
    <t>kg</t>
  </si>
  <si>
    <t>m2</t>
  </si>
  <si>
    <t>8. Suku Cadang Kendaraan</t>
  </si>
  <si>
    <t>ATASAN LANGSUNG</t>
  </si>
  <si>
    <t>DYAH ERMITASARI,ST,MT</t>
  </si>
  <si>
    <t>NIP. 19721105 199803 2 012</t>
  </si>
  <si>
    <t>INDRA ANDRYARDHI</t>
  </si>
  <si>
    <t>LAMPIRAN 9</t>
  </si>
  <si>
    <t>BUKU PENGELUARAN BARANG</t>
  </si>
  <si>
    <t>No.</t>
  </si>
  <si>
    <t>Nomor Urut</t>
  </si>
  <si>
    <t> Nama Barang</t>
  </si>
  <si>
    <t>Harga Satuan</t>
  </si>
  <si>
    <t>Jumlah Harga</t>
  </si>
  <si>
    <t>Untuk</t>
  </si>
  <si>
    <t>Tanggal Penyerahan</t>
  </si>
  <si>
    <t>Ket</t>
  </si>
  <si>
    <t>LAMPIRAN 11</t>
  </si>
  <si>
    <t>SKPD</t>
  </si>
  <si>
    <t>DINAS PERUMAHAN RAKYAT DAN KAWASAN PEMUKIMAN</t>
  </si>
  <si>
    <t>KAB/KOTA</t>
  </si>
  <si>
    <t>PASURUAN</t>
  </si>
  <si>
    <t>PROVINSI</t>
  </si>
  <si>
    <t>JAWA TIMUR</t>
  </si>
  <si>
    <t>BUKU BARANG PAKAI HABIS</t>
  </si>
  <si>
    <t>PENERIMAAN</t>
  </si>
  <si>
    <t>PENGELUARAN</t>
  </si>
  <si>
    <t>Tanggal diterima</t>
  </si>
  <si>
    <t>Jenis/Nama Barang</t>
  </si>
  <si>
    <t>Merk/ Ukuran</t>
  </si>
  <si>
    <t>Tahun Pembuatan</t>
  </si>
  <si>
    <t>Jumlah satuan/ barang</t>
  </si>
  <si>
    <t>Tgl/No.Kontrak/SP/SPK/harga satuan</t>
  </si>
  <si>
    <t>Berita Acara Pemeriksaan</t>
  </si>
  <si>
    <t>Tanggal Dikeluarkan</t>
  </si>
  <si>
    <t>Diserahkan Kepada</t>
  </si>
  <si>
    <t>Tgl/No.Surat Penyerahan</t>
  </si>
  <si>
    <t>LAMPIRAN 10</t>
  </si>
  <si>
    <t>BUKU BARANG INVENTARIS</t>
  </si>
  <si>
    <t>Nama/Jenis Barang</t>
  </si>
  <si>
    <t>Jumlah/ satuan</t>
  </si>
  <si>
    <t>Tgl/No.Kontrak/SP/SPK</t>
  </si>
  <si>
    <t>Jumlah Satuan/Barang</t>
  </si>
  <si>
    <t>2 unit</t>
  </si>
  <si>
    <t>602.21/40.23/423.108/2016</t>
  </si>
  <si>
    <t>Bid. Persampahan &amp; Pertamanan</t>
  </si>
  <si>
    <t>1 unit</t>
  </si>
  <si>
    <t>8 batang</t>
  </si>
  <si>
    <t>027/187.27/423.108/2016</t>
  </si>
  <si>
    <t>-</t>
  </si>
  <si>
    <t>602.21/146/423.108/2016</t>
  </si>
  <si>
    <t>Bid. Pengairan</t>
  </si>
  <si>
    <t>602.1/196.16/423.108/2016</t>
  </si>
  <si>
    <t>10 unit</t>
  </si>
  <si>
    <t>602.21/115.12/423.108/2016</t>
  </si>
  <si>
    <t>5 unit</t>
  </si>
  <si>
    <t>23 unit</t>
  </si>
  <si>
    <t>6 batang</t>
  </si>
  <si>
    <t>027/281.7/423.108/2016</t>
  </si>
  <si>
    <t>602.1/186.2/423.108/2016</t>
  </si>
  <si>
    <t>UPT Lab. Uji Mutu &amp; Bahan</t>
  </si>
  <si>
    <t>DINAS PEKERJAAN UMUM</t>
  </si>
  <si>
    <t>Pick Up</t>
  </si>
  <si>
    <t>Isuzu FD VIN Black</t>
  </si>
  <si>
    <t>602.1/196.14/423.108/2016</t>
  </si>
  <si>
    <t>602.21/374.7/423.108/2016</t>
  </si>
  <si>
    <t>PC</t>
  </si>
  <si>
    <t>HP Dekstop 455-011D + Led Monitor 18.5"</t>
  </si>
  <si>
    <t>3 unit</t>
  </si>
  <si>
    <t>602.1/313.15/423.108/2016</t>
  </si>
  <si>
    <t>602.21/374.3/423.108/2016</t>
  </si>
  <si>
    <t>Notebook</t>
  </si>
  <si>
    <t>Acer One Z1402</t>
  </si>
  <si>
    <t>Printer A4</t>
  </si>
  <si>
    <t>EPSON L310</t>
  </si>
  <si>
    <t>Kamera LSR</t>
  </si>
  <si>
    <t>Canon EOS 700D Kit1 18MP</t>
  </si>
  <si>
    <t>Air Conditioner</t>
  </si>
  <si>
    <t>AKARI 2 pK</t>
  </si>
  <si>
    <t>027/398.3/423.108/2016</t>
  </si>
  <si>
    <t>Filing Cabinet</t>
  </si>
  <si>
    <t>Brother 4 laci</t>
  </si>
  <si>
    <t>027/398.4/423.108/2016</t>
  </si>
  <si>
    <t>Mobil</t>
  </si>
  <si>
    <t>Toyota New Grand Avanza Veloz 1.3 M/T Vin 2016</t>
  </si>
  <si>
    <t>602.1/200.32/423.108/2016</t>
  </si>
  <si>
    <t>600/10/PPHP-Brg/423.108/2016</t>
  </si>
  <si>
    <t>Toyota All New Hilux Single Cabin STD M/T Bensin Vin 2016</t>
  </si>
  <si>
    <t>Pasuruan, 30 Juni 2016</t>
  </si>
  <si>
    <t>PENYIMPAN BARANG</t>
  </si>
  <si>
    <t>MUKHAMMAD FIRLI</t>
  </si>
  <si>
    <t xml:space="preserve">   NIP. 19830531 200604 1 010</t>
  </si>
  <si>
    <t>:</t>
  </si>
  <si>
    <t>LAMPIRAN 14</t>
  </si>
  <si>
    <t xml:space="preserve">KAB / KOTA </t>
  </si>
  <si>
    <t>LAPORAN SEMESTER TETANG PENERIMAAN DAN PENGELUARAN BARANG INVENTARIS</t>
  </si>
  <si>
    <t>SEMESTER I TAHUN 2016</t>
  </si>
  <si>
    <t>Penerimaan</t>
  </si>
  <si>
    <t>Dokumen / Faktur</t>
  </si>
  <si>
    <t>Buku Penerimaan</t>
  </si>
  <si>
    <t>Surat Bon</t>
  </si>
  <si>
    <t>Terima</t>
  </si>
  <si>
    <t>SPK/</t>
  </si>
  <si>
    <t xml:space="preserve">Nama </t>
  </si>
  <si>
    <t>Harga</t>
  </si>
  <si>
    <t xml:space="preserve">BA/Srt Penerimaan </t>
  </si>
  <si>
    <t xml:space="preserve">Pengeluaran </t>
  </si>
  <si>
    <t>Tgl</t>
  </si>
  <si>
    <t xml:space="preserve">Harga </t>
  </si>
  <si>
    <t>Jumlah</t>
  </si>
  <si>
    <t xml:space="preserve">Perjanjian </t>
  </si>
  <si>
    <t>Barang</t>
  </si>
  <si>
    <t>Satuan</t>
  </si>
  <si>
    <t xml:space="preserve">Nomor </t>
  </si>
  <si>
    <t>Urut</t>
  </si>
  <si>
    <t>Penyerahan</t>
  </si>
  <si>
    <t>CV. DMIKI INTERACTIVE</t>
  </si>
  <si>
    <t>Mesin Potong Rumput Dorong Husqvarna J55L/ 56 cm</t>
  </si>
  <si>
    <t>602.21/151.7/423.108/2016</t>
  </si>
  <si>
    <t>Tangga Portable Geser Fiber t = 8,6m</t>
  </si>
  <si>
    <t>Tangga Portable Fiber t = 2,8m</t>
  </si>
  <si>
    <t>UD. VENA FLORIS</t>
  </si>
  <si>
    <t>Tanaman Pagoda t= 2m daun</t>
  </si>
  <si>
    <t>602.21/196.31/423.108/2016</t>
  </si>
  <si>
    <t>CV. MUTIARA RAJAWALI</t>
  </si>
  <si>
    <t>Perahu Sampan Kayu</t>
  </si>
  <si>
    <t>602.21/196.23/423.108/2016</t>
  </si>
  <si>
    <t>PT. ASTRA INTERNATIONAL Tbk ISUZU</t>
  </si>
  <si>
    <t>Pick Up Isuzu GD VIN Black</t>
  </si>
  <si>
    <t>602.21/260.3/423.108/2016</t>
  </si>
  <si>
    <t>Meja Kerja Staf Kayu Jati + Kaca 120x60x75 cm</t>
  </si>
  <si>
    <t>602.21/290.4/423.108/2016</t>
  </si>
  <si>
    <t>Meja Kerja Eselon Kayu Jati + Kaca 150x75x75 cm</t>
  </si>
  <si>
    <t>Kursi Kerja Eselon RAISER R-2010</t>
  </si>
  <si>
    <t>Kursi Kerja Staf ALVERO</t>
  </si>
  <si>
    <t>Lemari Arsip Kayu Jati + Kaca 183x88x45 cm</t>
  </si>
  <si>
    <t>Kursi Lipat Chitose (Hitam) Rangka Crome</t>
  </si>
  <si>
    <t>Toko  "VENA FLORIS"</t>
  </si>
  <si>
    <t>Palem Bismarkia Silver t = 2 m daun</t>
  </si>
  <si>
    <t>PT. TRAKINDO UTAMA</t>
  </si>
  <si>
    <t>Excavator Mini CAT 304ECR/CAN/0.16CUM/Steel Track</t>
  </si>
  <si>
    <t>600/328.2/423.108/2016</t>
  </si>
  <si>
    <t>Pick Up Isuzu FD VIN Black</t>
  </si>
  <si>
    <t>602.21/374.6/423.108/2016</t>
  </si>
  <si>
    <t>PT. BHINNEKA MENTARIDIMENSI</t>
  </si>
  <si>
    <t>PC HP Dekstop 455-011D + Led Monitor 18.5"</t>
  </si>
  <si>
    <t>602.21/376.1/423.108/2016</t>
  </si>
  <si>
    <t>Notebook Acer One Z1402</t>
  </si>
  <si>
    <t>Printer EPSON L310</t>
  </si>
  <si>
    <t>Kamera LSR Canon EOS 700D Kit1 18MP</t>
  </si>
  <si>
    <t>GAYABARU Electronic</t>
  </si>
  <si>
    <t>Air Conditioner AKARI 2 Pk</t>
  </si>
  <si>
    <t>600/404/423.108/2016</t>
  </si>
  <si>
    <t>CV. AIR</t>
  </si>
  <si>
    <t>Filing Cabinet Brother 4 laci</t>
  </si>
  <si>
    <t>600/405/423.108/2016</t>
  </si>
  <si>
    <t>PT. ASTRA INTERNATIONAL Tbk</t>
  </si>
  <si>
    <t>Mobil Toyota New Grand Avanza Veloz 1.3 M/T Vin 2016</t>
  </si>
  <si>
    <t>602.21/604/423.108/2016</t>
  </si>
  <si>
    <t>Mobil Toyota All New Hilux Single Cabin STD M/T Bensin Vin 2016</t>
  </si>
  <si>
    <t xml:space="preserve"> NIP. 19830531 200604 1 010</t>
  </si>
  <si>
    <t>Pasuruan,                 April 2010</t>
  </si>
  <si>
    <t>CHAIRUL ANWAR</t>
  </si>
  <si>
    <t>NIP. 19800128 200311 1 001</t>
  </si>
  <si>
    <t>DINAS PERUMAHAN RAKYAT DAN KAWASAN PERMUKIMAN</t>
  </si>
  <si>
    <t>LAMPIRAN 15</t>
  </si>
  <si>
    <t>LAPORAN SEMESTER TETANG PENERIMAAN DAN PENGELUARAN BARANG PAKAI HABIS</t>
  </si>
  <si>
    <t xml:space="preserve">Dasar Penerimaan </t>
  </si>
  <si>
    <t xml:space="preserve">Jenis </t>
  </si>
  <si>
    <t>Banyak</t>
  </si>
  <si>
    <t>BA/Srt Penerimaan</t>
  </si>
  <si>
    <t>Bnyak</t>
  </si>
  <si>
    <t>Nama</t>
  </si>
  <si>
    <t xml:space="preserve">Tgl </t>
  </si>
  <si>
    <t>Surat</t>
  </si>
  <si>
    <t>nya</t>
  </si>
  <si>
    <t>Brg</t>
  </si>
  <si>
    <t>Pasuruan, 30 Juni 2019</t>
  </si>
  <si>
    <t xml:space="preserve">Mengetahui </t>
  </si>
  <si>
    <t>KEPALA DINAS PERUMAHAN RAKYAT DAN KAWASAN PERMUKIMAN</t>
  </si>
  <si>
    <t>KOTA PASURUAN</t>
  </si>
  <si>
    <t>MUSTOFA</t>
  </si>
  <si>
    <t xml:space="preserve">   NIP. 19720608 200701 1 020</t>
  </si>
  <si>
    <t>DEX</t>
  </si>
  <si>
    <t>belanja BBM</t>
  </si>
  <si>
    <t>LAMPIRAN 16</t>
  </si>
  <si>
    <t>BUKTI PENGAMBILAN BARANG DARI GUDANG….</t>
  </si>
  <si>
    <t>Tanggal Penyerahan Barang Menurut Permintaan</t>
  </si>
  <si>
    <t>Barang Diterima dari Gudang</t>
  </si>
  <si>
    <t>Nama &amp; Kode Barang</t>
  </si>
  <si>
    <t>Penyusunan Pelaporan Barang SKPD dan Pengelolaan Kepegawaian ( Barang Inventaris Tribulan I dan Laporan SKP Tahun 2014 )</t>
  </si>
  <si>
    <t>DINAS PEKERJAAN UMUM KOTA PASURUAN</t>
  </si>
  <si>
    <t>1 Januari 2015</t>
  </si>
  <si>
    <t>Pasuruan, 1 Januari 2015</t>
  </si>
  <si>
    <t>Yang menyerahkan</t>
  </si>
  <si>
    <t xml:space="preserve">         Yang menerima</t>
  </si>
  <si>
    <t>Penyimpan Barang</t>
  </si>
  <si>
    <t>Tanda Tangan</t>
  </si>
  <si>
    <t>NIP</t>
  </si>
  <si>
    <t>Pangkat/Gol.</t>
  </si>
  <si>
    <t>MENGETAHUI</t>
  </si>
  <si>
    <t>a.n. PENGGUNA BARANG</t>
  </si>
  <si>
    <t>(ATASAN LANGSUNG PENYIMPAN BARANG)</t>
  </si>
  <si>
    <t>TANDA TANGAN</t>
  </si>
  <si>
    <t>NAMA</t>
  </si>
  <si>
    <t>PANGKAT/GOL.</t>
  </si>
  <si>
    <t>JABATAN</t>
  </si>
  <si>
    <t>PERTALIT dek</t>
  </si>
  <si>
    <t>PERTAMAX 1</t>
  </si>
  <si>
    <t>PREMIUM</t>
  </si>
  <si>
    <t>LITER</t>
  </si>
  <si>
    <t>Pasuruan, 31  Maret 2020</t>
  </si>
  <si>
    <t>m3</t>
  </si>
  <si>
    <t>Materai @ 10.000</t>
  </si>
  <si>
    <t>Pertamax (Tossa)</t>
  </si>
  <si>
    <t>Pertamax (Mesin Potong Rumput)</t>
  </si>
  <si>
    <t>Pertamina Dex (Pick Up Isuzu)</t>
  </si>
  <si>
    <t>Pertamina Dex (Motor Tempel)</t>
  </si>
  <si>
    <t>Pertamina Dex (Genset)</t>
  </si>
  <si>
    <t>6. Barang Cetakan/foto copi</t>
  </si>
  <si>
    <t>NIP 19861022 201001 1 014</t>
  </si>
  <si>
    <t>DYAH ERMITASARI ST, MT</t>
  </si>
  <si>
    <t xml:space="preserve"> DAN KAWASAN PERMUKIMAN</t>
  </si>
  <si>
    <t>PENGURUS BARANG PENGGUNA</t>
  </si>
  <si>
    <t>KEPALA DINAS  PERUMAHAN RAKYAT</t>
  </si>
  <si>
    <t>Pasuruan,                                            2020</t>
  </si>
  <si>
    <t>jumlah total</t>
  </si>
  <si>
    <t>Unit</t>
  </si>
  <si>
    <t>mesin absen</t>
  </si>
  <si>
    <t>600/ 6259/ 423.109/ 2020</t>
  </si>
  <si>
    <t>m²</t>
  </si>
  <si>
    <t>Revo 201 B</t>
  </si>
  <si>
    <t>CV. Putra Agung</t>
  </si>
  <si>
    <t>2</t>
  </si>
  <si>
    <t>Ket.</t>
  </si>
  <si>
    <t>Bukti Penerimaan</t>
  </si>
  <si>
    <t>BUKU PENERIMAAN BARANG INVENTARIS TRIBULAN I SEMESTER II TAHUN ANGGARAN 2020</t>
  </si>
  <si>
    <t>: JAWA TIMUR</t>
  </si>
  <si>
    <t xml:space="preserve">PROVINSI              </t>
  </si>
  <si>
    <t>: PASURUAN</t>
  </si>
  <si>
    <t xml:space="preserve">KOTA  </t>
  </si>
  <si>
    <t>: DINAS PERUMAHAN RAKYAT DAN KAWASAN PERMUKIMAN</t>
  </si>
  <si>
    <t>meja kerja</t>
  </si>
  <si>
    <t>31/8/2020</t>
  </si>
  <si>
    <t>602.21/ 4751/ 423.109/ 2020</t>
  </si>
  <si>
    <t>OUMA TA 1570 MT-B</t>
  </si>
  <si>
    <t>M-CCL/ TM03-VIII/ 20</t>
  </si>
  <si>
    <t xml:space="preserve">CV. TUNAS ABADI </t>
  </si>
  <si>
    <t>Gimbal camera</t>
  </si>
  <si>
    <t>30/6/2020</t>
  </si>
  <si>
    <t>602.21/ 3461/ 423.109/ 2020</t>
  </si>
  <si>
    <t>DJI Osmo Pocket</t>
  </si>
  <si>
    <t>ARI20SUB 202100297</t>
  </si>
  <si>
    <t>CV. SOLUSI ARYA PRIMA</t>
  </si>
  <si>
    <t>Batre cadangan drone</t>
  </si>
  <si>
    <t>DJI Mavic 2 Part Fly More Kit</t>
  </si>
  <si>
    <t>Jet Cleaner</t>
  </si>
  <si>
    <t>29/6/2020</t>
  </si>
  <si>
    <t>602.21/ 3146/ 423.109/ 2020</t>
  </si>
  <si>
    <t>Wipro APW.120CP</t>
  </si>
  <si>
    <t>INV/ CBS/06/ 2020/ 00008</t>
  </si>
  <si>
    <t>PT. COBAS KARAYA NUSANTARA</t>
  </si>
  <si>
    <t>Vacum Cleaner</t>
  </si>
  <si>
    <t>Lavorpro Silent</t>
  </si>
  <si>
    <t>AC</t>
  </si>
  <si>
    <t>26/8/2020</t>
  </si>
  <si>
    <t>600/ 6473/ 423.109/ 2020</t>
  </si>
  <si>
    <t>DAIKIN 2PK Ftv50cxv14</t>
  </si>
  <si>
    <t>CV. NR JAYA LESTARI</t>
  </si>
  <si>
    <t>Medical Thermo Gun</t>
  </si>
  <si>
    <t>22/6/2020</t>
  </si>
  <si>
    <t>602.21/ 3274/ 423.109/ 2020</t>
  </si>
  <si>
    <t>CV. ARYA GITA</t>
  </si>
  <si>
    <t>korden</t>
  </si>
  <si>
    <t>Vertikal Blind</t>
  </si>
  <si>
    <t>002288</t>
  </si>
  <si>
    <t>Bintang Harapan Cordyn</t>
  </si>
  <si>
    <t>INDRA ARDRIYARDHI</t>
  </si>
  <si>
    <t>Mesin Pemotong rumput</t>
  </si>
  <si>
    <t>28/4/2020</t>
  </si>
  <si>
    <t>602.21/2201/423.109/2020</t>
  </si>
  <si>
    <t>Wagner WB-350</t>
  </si>
  <si>
    <t>72/CBS/IX/2020</t>
  </si>
  <si>
    <t xml:space="preserve">Chainsaw </t>
  </si>
  <si>
    <t>Wagner WG-620-24L</t>
  </si>
  <si>
    <t>Filling Kabinet 4 Laci</t>
  </si>
  <si>
    <t>26/4/2020</t>
  </si>
  <si>
    <t>602.21/1123/423.109/2020</t>
  </si>
  <si>
    <t>TIGER 4 LACI FC-D4A</t>
  </si>
  <si>
    <t>3319/SAP.PPh/JATIM/III/2020</t>
  </si>
  <si>
    <t xml:space="preserve">Pick up </t>
  </si>
  <si>
    <t>23/4/2020</t>
  </si>
  <si>
    <t>602.21/2055/423.109/2020</t>
  </si>
  <si>
    <t>Mitsubishi L300</t>
  </si>
  <si>
    <t>22/4/2020</t>
  </si>
  <si>
    <t>PT. SUN STAR MOTOR PROBOLINGGO</t>
  </si>
  <si>
    <t>Roda 3</t>
  </si>
  <si>
    <t>602.21/1775/423.109/2020</t>
  </si>
  <si>
    <t>NK 200 L</t>
  </si>
  <si>
    <t>FJ/WSUMLG/05/04/2020</t>
  </si>
  <si>
    <t>PT WAHANA SAHABAT UTAMA</t>
  </si>
  <si>
    <t>Handy Talkie</t>
  </si>
  <si>
    <t>18/03/2020</t>
  </si>
  <si>
    <t>602.21/1115/423.109/2020</t>
  </si>
  <si>
    <t>TENO TN-727 Ultimate Dual Band</t>
  </si>
  <si>
    <t>AIRI20SUB 202100086</t>
  </si>
  <si>
    <t>BUKU PENERIMAAN BARANG INVENTARIS TRIBULAN II SEMESTER I TAHUN ANGGARAN 2020</t>
  </si>
  <si>
    <t>tool kit listrik (reklas instalasi listrik)</t>
  </si>
  <si>
    <t>600/507/423.109/2020</t>
  </si>
  <si>
    <t>tool kit listrik TEKIRO</t>
  </si>
  <si>
    <t>19/2/2020</t>
  </si>
  <si>
    <t>STIGA Baut &amp; Handtools</t>
  </si>
  <si>
    <t xml:space="preserve">Tangga </t>
  </si>
  <si>
    <t>602.21/905/423.109/2020</t>
  </si>
  <si>
    <t>Denko Multi Purpos Teleskopic</t>
  </si>
  <si>
    <t>101/PP/CBS/III/2020</t>
  </si>
  <si>
    <t>Denko Alumunium Single</t>
  </si>
  <si>
    <t>Printer</t>
  </si>
  <si>
    <t>28/2/2020</t>
  </si>
  <si>
    <t>602.21/730/423.109/2020</t>
  </si>
  <si>
    <t>Ink Jet L1300</t>
  </si>
  <si>
    <t>ARI20SUB 202100034</t>
  </si>
  <si>
    <t xml:space="preserve">Printer </t>
  </si>
  <si>
    <t>Epson Ink Jet L1110</t>
  </si>
  <si>
    <t xml:space="preserve">Laptop </t>
  </si>
  <si>
    <t>ASUS Pro Core i7</t>
  </si>
  <si>
    <t xml:space="preserve">PC </t>
  </si>
  <si>
    <t>ASUS AID Core i5</t>
  </si>
  <si>
    <t>BUKU PENERIMAAN BARANG INVENTARIS TRIBULAN I SEMESTER I TAHUN ANGGARAN 2020</t>
  </si>
  <si>
    <t>Pasuruan, 31 Maret 2021</t>
  </si>
  <si>
    <t>SEMESTER I TAHUN 2021</t>
  </si>
  <si>
    <t>ADE CANDRA WAHYU DARMAWAN</t>
  </si>
  <si>
    <t xml:space="preserve">   NIP. 199606132020121009</t>
  </si>
  <si>
    <t>PENGURUS BARANG</t>
  </si>
  <si>
    <t>p</t>
  </si>
  <si>
    <t>Pasuruan, 30 Juni  2021</t>
  </si>
  <si>
    <t>BBM</t>
  </si>
  <si>
    <t>Pertamax Tossa</t>
  </si>
  <si>
    <t>SPBU Jln Sukarno Hatta</t>
  </si>
  <si>
    <t>Dex 1</t>
  </si>
  <si>
    <t>ADE CANDRA WAHYU DARMAWAN, A.Md.</t>
  </si>
  <si>
    <t>Pasuruan, 31 Maret 2022</t>
  </si>
  <si>
    <t xml:space="preserve">               </t>
  </si>
  <si>
    <t>Penyedia Prasarana.saramna dan utinitas umum di prumahan menunjang funngsi hunian</t>
  </si>
  <si>
    <t>m</t>
  </si>
  <si>
    <t>Pasuruan, 31  Maret 2023</t>
  </si>
  <si>
    <t>Belanja alat bahan kegiatan kantor</t>
  </si>
  <si>
    <t>CV. JATI LUHUR</t>
  </si>
  <si>
    <t>Baterai AA</t>
  </si>
  <si>
    <t>Baterai AAA</t>
  </si>
  <si>
    <t>CV  " Centrojaya"</t>
  </si>
  <si>
    <t>Pasir pasang</t>
  </si>
  <si>
    <t>Bata merah</t>
  </si>
  <si>
    <t>Pasir cor</t>
  </si>
  <si>
    <t>S</t>
  </si>
  <si>
    <t>Blanja Cetaak</t>
  </si>
  <si>
    <t>Kertas HVS SIDU A4</t>
  </si>
  <si>
    <t>CV. .ANUGERAH JAYA</t>
  </si>
  <si>
    <t>SSD 500GB W Digital</t>
  </si>
  <si>
    <t>piece</t>
  </si>
  <si>
    <t>IC Power lap top</t>
  </si>
  <si>
    <t>pemeliharaan peralatan mesin</t>
  </si>
  <si>
    <t>600/2040/423.109/2024</t>
  </si>
  <si>
    <t>belanja alat keg.kantor</t>
  </si>
  <si>
    <t>2. Bahan Komputer</t>
  </si>
  <si>
    <t>3. Kertas dan Cover</t>
  </si>
  <si>
    <t>4. Alat Listrik dan Elektronik</t>
  </si>
  <si>
    <t>6. Bahan Bakar Minyak/Gas</t>
  </si>
  <si>
    <t>5. Perangko, Meterai dan Benda Pos Lainnya</t>
  </si>
  <si>
    <t>Kanebo</t>
  </si>
  <si>
    <t>CV "Centrojaya"</t>
  </si>
  <si>
    <t xml:space="preserve"> Sapu lidi tongkat kayu</t>
  </si>
  <si>
    <t>Perabot  kantor Rusun</t>
  </si>
  <si>
    <t>6. Perabot Kator</t>
  </si>
  <si>
    <r>
      <t>B</t>
    </r>
    <r>
      <rPr>
        <sz val="12"/>
        <color rgb="FF34F053"/>
        <rFont val="Calibri"/>
        <family val="2"/>
      </rPr>
      <t>ahan Komputer</t>
    </r>
  </si>
  <si>
    <t xml:space="preserve">CV. MIRZA ABADI </t>
  </si>
  <si>
    <t>000.3.2/327-1/423.109/2024</t>
  </si>
  <si>
    <t>5 Juni 2024</t>
  </si>
  <si>
    <t xml:space="preserve"> Lampu LED 13 watt</t>
  </si>
  <si>
    <t xml:space="preserve"> Kontaktor Mitsubishi S-T20</t>
  </si>
  <si>
    <t xml:space="preserve"> Thermal Overload Relay Mitsubishi TH-T18</t>
  </si>
  <si>
    <t xml:space="preserve"> Kabel NYY 2x2,5 mm</t>
  </si>
  <si>
    <t xml:space="preserve"> Kamera Outdoor Hilook 2 Mb</t>
  </si>
  <si>
    <t xml:space="preserve"> DC Mail</t>
  </si>
  <si>
    <t xml:space="preserve"> Power Supply 2 Amper</t>
  </si>
  <si>
    <t xml:space="preserve"> Lampu LED 40 watt</t>
  </si>
  <si>
    <t xml:space="preserve"> Pelampung tandon otomatis</t>
  </si>
  <si>
    <t xml:space="preserve"> Lampu LED mata banyak 50 watt</t>
  </si>
  <si>
    <t xml:space="preserve"> Kontaktor Schneider LC1D25</t>
  </si>
  <si>
    <t xml:space="preserve"> Lampu Filamen Edison 4 watt</t>
  </si>
  <si>
    <t xml:space="preserve"> Connector BnC</t>
  </si>
  <si>
    <t xml:space="preserve"> Thermal Overload Relay Schneider LRD35</t>
  </si>
  <si>
    <t>000.3.2/347-1/423.109/2024</t>
  </si>
  <si>
    <t>13 Juni 2024</t>
  </si>
  <si>
    <t>40kg</t>
  </si>
  <si>
    <t>ljr</t>
  </si>
  <si>
    <r>
      <t>m</t>
    </r>
    <r>
      <rPr>
        <vertAlign val="superscript"/>
        <sz val="14"/>
        <color theme="1"/>
        <rFont val="Calibri"/>
        <family val="2"/>
        <scheme val="minor"/>
      </rPr>
      <t>2</t>
    </r>
  </si>
  <si>
    <t xml:space="preserve"> Tali Tampar 10 mm</t>
  </si>
  <si>
    <t xml:space="preserve"> Paranet</t>
  </si>
  <si>
    <t xml:space="preserve"> Atap Galvalum</t>
  </si>
  <si>
    <t xml:space="preserve"> Keramik 40x40 cm putih motif</t>
  </si>
  <si>
    <t xml:space="preserve"> Portland Cement (PC) Gresik</t>
  </si>
  <si>
    <t xml:space="preserve"> Bata merah T 6 cm</t>
  </si>
  <si>
    <t xml:space="preserve"> Besi 10 mm</t>
  </si>
  <si>
    <t xml:space="preserve"> CAT BESI</t>
  </si>
  <si>
    <t xml:space="preserve"> Kalsieboard</t>
  </si>
  <si>
    <t xml:space="preserve"> TBA (seal tape)</t>
  </si>
  <si>
    <t xml:space="preserve"> Paving Stone</t>
  </si>
  <si>
    <t xml:space="preserve"> Keramik 30/30 cm putih Dop</t>
  </si>
  <si>
    <t xml:space="preserve"> Besi hollow galvanis 4 x 4</t>
  </si>
  <si>
    <t>Bahan bangunan &amp; Konstruksi</t>
  </si>
  <si>
    <t>Lampu LED 14 Watt</t>
  </si>
  <si>
    <t>CV. BINTANG LANGIT BIRU</t>
  </si>
  <si>
    <t>900.1.3.6/487-3/423.109/2024</t>
  </si>
  <si>
    <t>Cemen PC Gresik</t>
  </si>
  <si>
    <t>cat besi</t>
  </si>
  <si>
    <t>Kuas 1,5 inch</t>
  </si>
  <si>
    <t>Kuas 3 inch</t>
  </si>
  <si>
    <t>Kuas 5 inch</t>
  </si>
  <si>
    <t>Karung sak</t>
  </si>
  <si>
    <t>besi beton 10 mm</t>
  </si>
  <si>
    <t>besi beton 8 mm</t>
  </si>
  <si>
    <t>Cat tembok interior</t>
  </si>
  <si>
    <t>Batu split 2-3 cm</t>
  </si>
  <si>
    <t>Batu split 0.5-1 cm</t>
  </si>
  <si>
    <t>Kawat las RB</t>
  </si>
  <si>
    <t>Kawat nikat ( bendrat)</t>
  </si>
  <si>
    <t>Kertas gosok</t>
  </si>
  <si>
    <t>Dyna bolt 10 mm</t>
  </si>
  <si>
    <t>Paving stone polos k 300</t>
  </si>
  <si>
    <t>Thiner B</t>
  </si>
  <si>
    <t>40 kg</t>
  </si>
  <si>
    <t>biji</t>
  </si>
  <si>
    <t>5 kg</t>
  </si>
  <si>
    <t>lmbar</t>
  </si>
  <si>
    <t>AKUNG NOVAJANTO SODIQ NUCH.ST.MT</t>
  </si>
  <si>
    <t>NIP. 1972112500312 1 006</t>
  </si>
  <si>
    <t>Pasuruan, 30 Juni    2024</t>
  </si>
  <si>
    <t>7 Tabung Gas</t>
  </si>
  <si>
    <t>Toko HARIS JAYA</t>
  </si>
  <si>
    <t>Isi  Tabung Gas</t>
  </si>
  <si>
    <t>tabung</t>
  </si>
  <si>
    <t>8  Bahan-bahan Kimia</t>
  </si>
  <si>
    <t>9  Tabung pemadam Kebakaran</t>
  </si>
  <si>
    <t>7. Suku cadang Alat pertanian</t>
  </si>
  <si>
    <t>7. Suku cadang Alat Bengkel</t>
  </si>
  <si>
    <t>8. Makanan dan Minuman Rapat</t>
  </si>
  <si>
    <t>8. Makanan dan Minuman Jamuan Tamu</t>
  </si>
  <si>
    <t>Dulure Rahayu</t>
  </si>
  <si>
    <t>Snack dan jus</t>
  </si>
  <si>
    <t>kotak</t>
  </si>
  <si>
    <t>Cleo mini</t>
  </si>
  <si>
    <t>kaleng</t>
  </si>
  <si>
    <t>Toko NILA</t>
  </si>
  <si>
    <t>F copy</t>
  </si>
  <si>
    <t>lembar</t>
  </si>
  <si>
    <t>Perumahan</t>
  </si>
  <si>
    <t>NCR 4Fly</t>
  </si>
  <si>
    <t>Waskim</t>
  </si>
  <si>
    <t>F copy A3</t>
  </si>
  <si>
    <t>000.3.2/680-3/423.109/2024</t>
  </si>
  <si>
    <t>000.3.2/578-3/423.109/2024</t>
  </si>
  <si>
    <t>CV  " Global"</t>
  </si>
  <si>
    <t>Benner 4mx1</t>
  </si>
  <si>
    <t>000.3.2/822-3/423.109/2024</t>
  </si>
  <si>
    <t>000.3.2/764-3/423.109/2024</t>
  </si>
  <si>
    <t>000.3.2/1948-3/423.109/2024</t>
  </si>
  <si>
    <t>000.3.2/3242-3/423.109/2024</t>
  </si>
  <si>
    <t>Jilid soft cover</t>
  </si>
  <si>
    <t>000.3.2/2668-3/423.109/2024</t>
  </si>
  <si>
    <t>000.3.2/3468-3/423.109/2024</t>
  </si>
  <si>
    <t>000.3.2/3430-3/423.109/2024</t>
  </si>
  <si>
    <t>000.3.2/330-3/423.109/2024</t>
  </si>
  <si>
    <t>000.3.2/1095-3/423.109/2024</t>
  </si>
  <si>
    <t>000.3.2/2854-3/423.109/2024</t>
  </si>
  <si>
    <t>Cairan HCL</t>
  </si>
  <si>
    <t>SPAL</t>
  </si>
  <si>
    <t>Pengharum Ruangan Gantung</t>
  </si>
  <si>
    <t>7  Bahan -bahan lainya</t>
  </si>
  <si>
    <t>Sekrop</t>
  </si>
  <si>
    <t>Sabit</t>
  </si>
  <si>
    <t>Cangkul</t>
  </si>
  <si>
    <t>Linggis</t>
  </si>
  <si>
    <t xml:space="preserve"> CV " Centrojaya"</t>
  </si>
  <si>
    <t>900.1.3.6/2892-3/423.109/2024</t>
  </si>
  <si>
    <t>Ganju cangkul</t>
  </si>
  <si>
    <t>Lempak</t>
  </si>
  <si>
    <t>Operasi dan pemeliharaan Sistem Pengelolaan Air Limbah Domestik</t>
  </si>
  <si>
    <t>Gergaji kayu</t>
  </si>
  <si>
    <t>000.3.2/756-1/423.109/2024</t>
  </si>
  <si>
    <t>ft kopy</t>
  </si>
  <si>
    <t>Sarung Tangan</t>
  </si>
  <si>
    <t>APPAR Powder</t>
  </si>
  <si>
    <t>UPT Rusun</t>
  </si>
  <si>
    <t>Kg</t>
  </si>
  <si>
    <t>8. Obat-obatan lainya</t>
  </si>
  <si>
    <t>CV . Hanania Jaya</t>
  </si>
  <si>
    <t>Belnja kegiatan kantor</t>
  </si>
  <si>
    <t>Tinta printer Epson-003</t>
  </si>
  <si>
    <t>ANGGIT WIDARTA</t>
  </si>
  <si>
    <t>Permen 24 can</t>
  </si>
  <si>
    <t>Opak gambir</t>
  </si>
  <si>
    <t>Gulaku 1kg</t>
  </si>
  <si>
    <t>Pocari swet</t>
  </si>
  <si>
    <t>kantong</t>
  </si>
  <si>
    <t>Keciput 500g</t>
  </si>
  <si>
    <t>Kripik pisang 4000 g</t>
  </si>
  <si>
    <t>Kripik singkong 4000 g</t>
  </si>
  <si>
    <t xml:space="preserve">The manis cup </t>
  </si>
  <si>
    <t>gelas</t>
  </si>
  <si>
    <t>Kacang bali Hom made 4000 g</t>
  </si>
  <si>
    <t>Kopi cup</t>
  </si>
  <si>
    <t>Pakan Natura</t>
  </si>
  <si>
    <t>8. Natura dan Pakan Natura</t>
  </si>
  <si>
    <t>602.21/23.3-1/423.109/2025</t>
  </si>
  <si>
    <t>000.3.2/17.3-1/423.109/2025</t>
  </si>
  <si>
    <t>Haris Jaya</t>
  </si>
  <si>
    <t>Cleo Galon</t>
  </si>
  <si>
    <t>gln</t>
  </si>
  <si>
    <t xml:space="preserve">Snack </t>
  </si>
  <si>
    <t>000.3.2/18.2-1/423.109/2025</t>
  </si>
  <si>
    <t>000.3.2/44.3-1/423.109/2025</t>
  </si>
  <si>
    <t>Alat listrik Sekretariat</t>
  </si>
  <si>
    <t xml:space="preserve">lem Artline </t>
  </si>
  <si>
    <t>Tinta Epson 664 Warna</t>
  </si>
  <si>
    <t>Tinta Epson 664 hitam</t>
  </si>
  <si>
    <t>000.3.2/28.3-1/423.109/2025</t>
  </si>
  <si>
    <t>Sikat kayu</t>
  </si>
  <si>
    <t>Pembersih kaca</t>
  </si>
  <si>
    <t xml:space="preserve"> Kapur barus besar</t>
  </si>
  <si>
    <t>Soklin lantai</t>
  </si>
  <si>
    <t>Cikrak seng</t>
  </si>
  <si>
    <t>Sapu ijuk</t>
  </si>
  <si>
    <t xml:space="preserve"> Sapu lidi </t>
  </si>
  <si>
    <t>Alat pel Dry mop</t>
  </si>
  <si>
    <t>Wipol refil</t>
  </si>
  <si>
    <t xml:space="preserve"> Pel Lantai jepit</t>
  </si>
  <si>
    <t>Porstex botol</t>
  </si>
  <si>
    <t xml:space="preserve"> Tisue paseo 250 sheet</t>
  </si>
  <si>
    <t>000.3.2/1397-4  /423.109/2025</t>
  </si>
  <si>
    <t>Toko "BERKAT MENGALIR TERUS"</t>
  </si>
  <si>
    <t>Sapu Lantai bagus</t>
  </si>
  <si>
    <t>Cikrak plastik</t>
  </si>
  <si>
    <t>Soklin Lantai</t>
  </si>
  <si>
    <t>sapu lidi tangkai kayu</t>
  </si>
  <si>
    <t>Binder klip no 260</t>
  </si>
  <si>
    <t>SPALD</t>
  </si>
  <si>
    <t>Bolpen Tizo Gel</t>
  </si>
  <si>
    <t>Binder klip no 200</t>
  </si>
  <si>
    <t>Isi Ulang Galon</t>
  </si>
  <si>
    <t>000.3.2/89.4-1/423.109/2025</t>
  </si>
  <si>
    <t>sek</t>
  </si>
  <si>
    <t>Anggit Widarta</t>
  </si>
  <si>
    <t>Snack manis asin</t>
  </si>
  <si>
    <t>000.3.2/68.3-1/423.109/2025</t>
  </si>
  <si>
    <t>Nasi samen lauk kambing</t>
  </si>
  <si>
    <t>Sek</t>
  </si>
  <si>
    <t>000.3.2/88.4-1/423.109/2025</t>
  </si>
  <si>
    <t>Nasi ayam bakar</t>
  </si>
  <si>
    <t>Kapur barus besar</t>
  </si>
  <si>
    <t>Pengharum ruangan gantung</t>
  </si>
  <si>
    <t>Kanebo kuning</t>
  </si>
  <si>
    <t>000.3.2/65.3-1/423.109/2025</t>
  </si>
  <si>
    <t>000.3.2/127.4-1/423.109/2025</t>
  </si>
  <si>
    <t>sekr</t>
  </si>
  <si>
    <t>Snack manis sedap</t>
  </si>
  <si>
    <t>000.3.2/118.3-1/423.109/2025</t>
  </si>
  <si>
    <t>Air mineral cleo mini</t>
  </si>
  <si>
    <t>btl</t>
  </si>
  <si>
    <t>000.3.2/103.3-1-1/423.109/2025</t>
  </si>
  <si>
    <t>Palu kambing gagang karet</t>
  </si>
  <si>
    <t>000.3.2/1418.4/423.109/2025</t>
  </si>
  <si>
    <t>000.3.2/1708.4/423.109/2025</t>
  </si>
  <si>
    <t>Palu konde</t>
  </si>
  <si>
    <t>Betel uk 6 halus</t>
  </si>
  <si>
    <t>gergaji kayu</t>
  </si>
  <si>
    <t>000.3.2/56-1/104/2026</t>
  </si>
  <si>
    <t>Kertas HVS SIDU F4</t>
  </si>
  <si>
    <t>003.2/21.2-1/104/2026</t>
  </si>
  <si>
    <t>003.2/21.3-1/104/2026</t>
  </si>
  <si>
    <t>YAKSIN</t>
  </si>
  <si>
    <t>Karcis / Kupon</t>
  </si>
  <si>
    <t>003.2/19.2-1/104/2026</t>
  </si>
  <si>
    <t>000.3.2/22.2-1/104/2026</t>
  </si>
  <si>
    <t>000.3.2/22.3-1/104/2026</t>
  </si>
  <si>
    <t>003.2/23.2-1/104/2026</t>
  </si>
  <si>
    <t>003.2/23.3-1/104/2026</t>
  </si>
  <si>
    <t>Pensil 2B steadtler</t>
  </si>
  <si>
    <t>000.3/27.2-1/104/2026</t>
  </si>
  <si>
    <t>Stabilo Artline</t>
  </si>
  <si>
    <t>Map portepel</t>
  </si>
  <si>
    <t>Bolpen Weiyada</t>
  </si>
  <si>
    <t>Corection tape</t>
  </si>
  <si>
    <t>Map  plastik</t>
  </si>
  <si>
    <t>Block Note</t>
  </si>
  <si>
    <t>Bolpen Snowman V7</t>
  </si>
  <si>
    <t>000.3/27.3-1/104/2026</t>
  </si>
  <si>
    <t>Dokumen keeper resleting</t>
  </si>
  <si>
    <t>000.3/20.3-1/104/2026</t>
  </si>
  <si>
    <t>000.3.2/55.2-1/104/2026</t>
  </si>
  <si>
    <t>003.2/26.2-1/104/2026</t>
  </si>
  <si>
    <t>NCR A4</t>
  </si>
  <si>
    <t>003.2/300.2-1/104/2026</t>
  </si>
  <si>
    <t>003.2/25.2-1/104/2026</t>
  </si>
  <si>
    <t>LOGIKA BANGUN JAYA</t>
  </si>
  <si>
    <t>Pembersih lantai</t>
  </si>
  <si>
    <t>000.3.2/      .4/423.109/2026</t>
  </si>
  <si>
    <t>kebersihan perumahan</t>
  </si>
  <si>
    <t>Belanja alat bahan kegiatan kantor rsn</t>
  </si>
  <si>
    <t>003.2/83.2-1/104/2026</t>
  </si>
  <si>
    <t>000.3.2/82.2-1/104/2026</t>
  </si>
  <si>
    <t>Flashdisk 16 GB</t>
  </si>
  <si>
    <t>003.2/81.2-1/104/2026</t>
  </si>
  <si>
    <t>Alat Komputer</t>
  </si>
  <si>
    <t>Spidol Whiteboard Snowman</t>
  </si>
  <si>
    <t>Stabilo arteline</t>
  </si>
  <si>
    <t>Map plastik kancing</t>
  </si>
  <si>
    <t xml:space="preserve">Stabilo Joyco </t>
  </si>
  <si>
    <t>Flashdisk 32 GB</t>
  </si>
  <si>
    <t>003.2/78.2-1/104/2026</t>
  </si>
  <si>
    <t>000.3.2/77.2-1/104/2026</t>
  </si>
  <si>
    <t>000.3/80.2-1/104/2026</t>
  </si>
  <si>
    <t>000.3.2/18.2-1/104/2026</t>
  </si>
  <si>
    <t>umbul-umbul</t>
  </si>
  <si>
    <t>000.3.2/6.4-1/104/2026</t>
  </si>
  <si>
    <t>Karangan Bunga</t>
  </si>
  <si>
    <t>000.3.2/3.2-1/104/2026</t>
  </si>
  <si>
    <t>000.3.2/5.4-1/104/2026</t>
  </si>
  <si>
    <t>000.3.2/551-4/104/2026</t>
  </si>
  <si>
    <t>003.2/309-3/104/2026</t>
  </si>
  <si>
    <t>Lukman hakim</t>
  </si>
  <si>
    <t>000.3.2/310-3/104/2026</t>
  </si>
  <si>
    <t>000.3.2/482-3/104/2026</t>
  </si>
  <si>
    <t>cetak</t>
  </si>
  <si>
    <t>003.2/400-3/104/2026</t>
  </si>
  <si>
    <t>PSU Perumahan</t>
  </si>
  <si>
    <t>pos it IM</t>
  </si>
  <si>
    <t>Paper clip no 5</t>
  </si>
  <si>
    <t>Bolpoin pilot</t>
  </si>
  <si>
    <t>Amplop 104</t>
  </si>
  <si>
    <t>Isi Steples Max 10</t>
  </si>
  <si>
    <t>Map kancing</t>
  </si>
  <si>
    <t>Map L</t>
  </si>
  <si>
    <t>Map folio kertas</t>
  </si>
  <si>
    <t>000.3.2/386-3/104/2026</t>
  </si>
  <si>
    <t>jilid</t>
  </si>
  <si>
    <t>bendel</t>
  </si>
  <si>
    <t>000.3.2/93-3/104/2026</t>
  </si>
  <si>
    <t>003.2/79.2-1/104/2026</t>
  </si>
  <si>
    <t>003.2/76.2-1/104/2026</t>
  </si>
  <si>
    <t>Correction tape</t>
  </si>
  <si>
    <t>Lem UHU 8g</t>
  </si>
  <si>
    <t>Penggaris besi 30 cm</t>
  </si>
  <si>
    <t>Post it Plastik</t>
  </si>
  <si>
    <t>Spidol marker Snawman</t>
  </si>
  <si>
    <t>Dokumen keeper isi 20</t>
  </si>
  <si>
    <t>Binder clip 105</t>
  </si>
  <si>
    <t>Spidol Whiteboar Snawman</t>
  </si>
  <si>
    <t>Bolpen Kenko</t>
  </si>
  <si>
    <t>Binder clip 260</t>
  </si>
  <si>
    <t>Stabilo warna</t>
  </si>
  <si>
    <t>000.3/        -1/104/2026</t>
  </si>
  <si>
    <t>000.3.2/70.2-1/104/2026</t>
  </si>
  <si>
    <t>Sapu lidi</t>
  </si>
  <si>
    <t>Sapu lantai</t>
  </si>
  <si>
    <t>Tisue</t>
  </si>
  <si>
    <t>Pel Lantai Jepit</t>
  </si>
  <si>
    <t>Super pel</t>
  </si>
  <si>
    <t>Sapu lidi gagang</t>
  </si>
  <si>
    <t>Pembasmi serangga spray</t>
  </si>
  <si>
    <t>Alat pel Dry Mop</t>
  </si>
  <si>
    <t>Bahan Pembersih Rsn</t>
  </si>
  <si>
    <t>sekrt</t>
  </si>
  <si>
    <t>000.3.2/28.2-1/104/2026</t>
  </si>
  <si>
    <t>003.2/47.2-1/104/2026</t>
  </si>
  <si>
    <t>000.3.2/46.2-1/104/2026</t>
  </si>
  <si>
    <t>Flas dis OTG  16</t>
  </si>
  <si>
    <t>003.2/48.2-1/104/2026</t>
  </si>
  <si>
    <t>000.3/45.3-1/104/2026</t>
  </si>
  <si>
    <t>Map Portepel</t>
  </si>
  <si>
    <t>GUNAWAN</t>
  </si>
  <si>
    <t>000.3.2/           /104/2026</t>
  </si>
  <si>
    <t>Alat pertanian mkm</t>
  </si>
  <si>
    <t>cangkul</t>
  </si>
  <si>
    <t>Linggis Ceper</t>
  </si>
  <si>
    <t>Palu (Bodem)</t>
  </si>
  <si>
    <t>Gunting  rumput</t>
  </si>
  <si>
    <t>Parang</t>
  </si>
  <si>
    <t>LUKMAN CHAKIM</t>
  </si>
  <si>
    <t>lem Pavinal</t>
  </si>
  <si>
    <t>Bolpen hitam</t>
  </si>
  <si>
    <t>Binder klip no 111</t>
  </si>
  <si>
    <t>Paper clip no 3</t>
  </si>
  <si>
    <t>Belanja ATK</t>
  </si>
  <si>
    <t>003.2/464-4/104/2026</t>
  </si>
  <si>
    <t>003.2/524-4/104/2026</t>
  </si>
  <si>
    <t>lem Pavinal tanggung</t>
  </si>
  <si>
    <t>Isi Steples Max  kecil</t>
  </si>
  <si>
    <t>Isi Steples kangaro</t>
  </si>
  <si>
    <t>Binder klip no 107</t>
  </si>
  <si>
    <t>dus</t>
  </si>
  <si>
    <t>Odner besar folio</t>
  </si>
  <si>
    <t>Bolpoint  Pilot GEL</t>
  </si>
  <si>
    <t>Amplop 90</t>
  </si>
  <si>
    <t>003.2/432-4/104/2026</t>
  </si>
  <si>
    <t>Steples MAK Hd 10</t>
  </si>
  <si>
    <t>Kertas NCR</t>
  </si>
  <si>
    <t>003.2/431-4/104/2026</t>
  </si>
  <si>
    <t>003.2/433-4/104/2026</t>
  </si>
  <si>
    <t>003.2/463-4/104/2026</t>
  </si>
  <si>
    <t>Tinta printer 664 hitam</t>
  </si>
  <si>
    <t>Tinta printer 664  warna</t>
  </si>
  <si>
    <t>003.2/434-4/104/2026</t>
  </si>
  <si>
    <t>Tinta printer 003 hitam</t>
  </si>
  <si>
    <t>Tinta printer 003   warna</t>
  </si>
  <si>
    <t>003.2/91.2-1/104/2026</t>
  </si>
  <si>
    <t>003.2/97.2-1/104/2026</t>
  </si>
  <si>
    <t>003.2/     -1/104/2026</t>
  </si>
  <si>
    <t>BERKAT MENGALIR</t>
  </si>
  <si>
    <t>Kertas NCR Middle</t>
  </si>
  <si>
    <t>Kertas NCR Top</t>
  </si>
  <si>
    <t>Kertas NCR  Botom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</si>
</sst>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Rp&quot;* #,##0.00_);_(&quot;Rp&quot;* \(#,##0.00\);_(&quot;Rp&quot;* &quot;-&quot;??_);_(@_)"/>
    <numFmt numFmtId="165" formatCode="_ * #,##0_ ;_ * \-#,##0_ ;_ * &quot;-&quot;_ ;_ @_ "/>
    <numFmt numFmtId="166" formatCode="_-&quot;$&quot;* #,##0_-;\-&quot;$&quot;* #,##0_-;_-&quot;$&quot;* &quot;-&quot;_-;_-@_-"/>
    <numFmt numFmtId="167" formatCode="mm/dd/yy"/>
    <numFmt numFmtId="168" formatCode="#,##0;\-#,##0;&quot;-&quot;"/>
    <numFmt numFmtId="169" formatCode="&quot;\&quot;#,##0;[Red]&quot;\&quot;\-#,##0"/>
    <numFmt numFmtId="170" formatCode="&quot;\&quot;#,##0;[Red]&quot;\&quot;&quot;\&quot;\-#,##0"/>
    <numFmt numFmtId="171" formatCode="&quot;\&quot;#,##0.00;[Red]&quot;\&quot;\-#,##0.00"/>
    <numFmt numFmtId="172" formatCode="&quot;\&quot;#,##0.00;[Red]&quot;\&quot;&quot;\&quot;&quot;\&quot;&quot;\&quot;&quot;\&quot;&quot;\&quot;\-#,##0.00"/>
    <numFmt numFmtId="173" formatCode="&quot;$&quot;#,##0\ ;\(&quot;$&quot;#,##0\)"/>
    <numFmt numFmtId="174" formatCode="_(* #,##0.00000000_);_(* \(#,##0.00000000\);_(* &quot;-&quot;??_);_(@_)"/>
    <numFmt numFmtId="175" formatCode="_(* #,##0.00_);_(* \(#,##0.00\);_(* &quot;-&quot;_);_(@_)"/>
    <numFmt numFmtId="176" formatCode="[$-409]d\-mmm\-yy;@"/>
    <numFmt numFmtId="177" formatCode="_(* #,##0_);_(* \(#,##0\);_(* &quot;-&quot;??_);_(@_)"/>
    <numFmt numFmtId="178" formatCode="_(* #,##0.00000_);_(* \(#,##0.00000\);_(* &quot;-&quot;_);_(@_)"/>
    <numFmt numFmtId="179" formatCode="dd/mm/yyyy;@"/>
    <numFmt numFmtId="180" formatCode="_(* #,##0.00_);_(* \(#,##0.00\);_(* &quot;-&quot;??.00_);_(@_)"/>
    <numFmt numFmtId="181" formatCode="0.00_ "/>
    <numFmt numFmtId="182" formatCode="m/d/yyyy;@"/>
    <numFmt numFmtId="183" formatCode="dd/mm/yy;@"/>
    <numFmt numFmtId="184" formatCode="m/d/yy;@"/>
    <numFmt numFmtId="185" formatCode="_-* #,##0_-;\-* #,##0_-;_-* &quot;-&quot;_-;_-@_-"/>
  </numFmts>
  <fonts count="143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name val="Calibri"/>
      <family val="2"/>
    </font>
    <font>
      <b/>
      <sz val="14"/>
      <color indexed="8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  <font>
      <sz val="9"/>
      <color indexed="8"/>
      <name val="Calibri"/>
      <family val="2"/>
    </font>
    <font>
      <b/>
      <sz val="11"/>
      <name val="Calibri"/>
      <family val="2"/>
    </font>
    <font>
      <b/>
      <i/>
      <sz val="11"/>
      <color indexed="8"/>
      <name val="Calibri"/>
      <family val="2"/>
    </font>
    <font>
      <sz val="12"/>
      <color indexed="8"/>
      <name val="Times New Roman"/>
      <family val="1"/>
    </font>
    <font>
      <b/>
      <i/>
      <sz val="11"/>
      <name val="Calibri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9.5"/>
      <color indexed="12"/>
      <name val="Calibri"/>
      <family val="2"/>
    </font>
    <font>
      <sz val="9.5"/>
      <color indexed="8"/>
      <name val="Calibri"/>
      <family val="2"/>
    </font>
    <font>
      <sz val="9.5"/>
      <color indexed="10"/>
      <name val="Calibri"/>
      <family val="2"/>
    </font>
    <font>
      <sz val="9.5"/>
      <color indexed="17"/>
      <name val="Calibri"/>
      <family val="2"/>
    </font>
    <font>
      <sz val="9.5"/>
      <color indexed="60"/>
      <name val="Calibri"/>
      <family val="2"/>
    </font>
    <font>
      <sz val="9.5"/>
      <color indexed="53"/>
      <name val="Calibri"/>
      <family val="2"/>
    </font>
    <font>
      <sz val="9.5"/>
      <color indexed="25"/>
      <name val="Calibri"/>
      <family val="2"/>
    </font>
    <font>
      <sz val="9.5"/>
      <color indexed="14"/>
      <name val="Calibri"/>
      <family val="2"/>
    </font>
    <font>
      <sz val="9.5"/>
      <color indexed="8"/>
      <name val="Arial"/>
      <family val="2"/>
    </font>
    <font>
      <u/>
      <sz val="12"/>
      <color indexed="8"/>
      <name val="Calibri"/>
      <family val="2"/>
    </font>
    <font>
      <u/>
      <sz val="12"/>
      <color indexed="8"/>
      <name val="Arial"/>
      <family val="2"/>
    </font>
    <font>
      <sz val="11"/>
      <color indexed="8"/>
      <name val="Calibri"/>
      <family val="2"/>
    </font>
    <font>
      <sz val="14"/>
      <name val="Calibri"/>
      <family val="2"/>
    </font>
    <font>
      <sz val="12"/>
      <color indexed="8"/>
      <name val="Tahoma"/>
      <family val="2"/>
    </font>
    <font>
      <b/>
      <sz val="12"/>
      <color indexed="12"/>
      <name val="Calibri"/>
      <family val="2"/>
    </font>
    <font>
      <sz val="12"/>
      <color indexed="10"/>
      <name val="Wingdings"/>
      <charset val="2"/>
    </font>
    <font>
      <b/>
      <sz val="11"/>
      <color indexed="12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13"/>
      <name val="Calibri"/>
      <family val="2"/>
    </font>
    <font>
      <sz val="11"/>
      <name val="Arial Narrow"/>
      <family val="2"/>
    </font>
    <font>
      <sz val="10"/>
      <name val="Arial Narrow"/>
      <family val="2"/>
    </font>
    <font>
      <b/>
      <i/>
      <sz val="11"/>
      <name val="Arial Narrow"/>
      <family val="2"/>
    </font>
    <font>
      <sz val="11"/>
      <color indexed="8"/>
      <name val="Arial Narrow"/>
      <family val="2"/>
    </font>
    <font>
      <b/>
      <u/>
      <sz val="12"/>
      <name val="Calibri"/>
      <family val="2"/>
    </font>
    <font>
      <sz val="12"/>
      <name val="Arial"/>
      <family val="2"/>
    </font>
    <font>
      <sz val="10"/>
      <color indexed="12"/>
      <name val="Calibri"/>
      <family val="2"/>
    </font>
    <font>
      <b/>
      <u/>
      <sz val="10"/>
      <name val="Calibri"/>
      <family val="2"/>
    </font>
    <font>
      <b/>
      <sz val="10"/>
      <name val="Calibri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sz val="9"/>
      <name val="Calibri"/>
      <family val="2"/>
    </font>
    <font>
      <b/>
      <i/>
      <sz val="14"/>
      <name val="Calibri"/>
      <family val="2"/>
    </font>
    <font>
      <sz val="14"/>
      <color indexed="8"/>
      <name val="Calibri"/>
      <family val="2"/>
    </font>
    <font>
      <sz val="14"/>
      <color indexed="8"/>
      <name val="Tahoma"/>
      <family val="2"/>
    </font>
    <font>
      <b/>
      <i/>
      <sz val="12"/>
      <name val="Calibri"/>
      <family val="2"/>
    </font>
    <font>
      <sz val="14"/>
      <name val="Tahoma"/>
      <family val="2"/>
    </font>
    <font>
      <b/>
      <u/>
      <sz val="14"/>
      <name val="Calibri"/>
      <family val="2"/>
    </font>
    <font>
      <sz val="12"/>
      <name val="¹UAAA¼"/>
      <family val="2"/>
    </font>
    <font>
      <sz val="10"/>
      <name val="Bookman Old Style"/>
      <family val="1"/>
    </font>
    <font>
      <sz val="14"/>
      <name val="뼻뮝"/>
      <family val="3"/>
    </font>
    <font>
      <sz val="8"/>
      <name val="Arial"/>
      <family val="2"/>
    </font>
    <font>
      <sz val="12"/>
      <name val="新細明體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2"/>
      <name val="바탕체"/>
      <family val="3"/>
    </font>
    <font>
      <sz val="12"/>
      <name val="뼻뮝"/>
      <family val="3"/>
    </font>
    <font>
      <sz val="10"/>
      <name val="굴림체"/>
      <family val="3"/>
    </font>
    <font>
      <sz val="10"/>
      <name val="MS Serif"/>
      <family val="2"/>
    </font>
    <font>
      <sz val="10"/>
      <color indexed="16"/>
      <name val="MS Serif"/>
      <family val="2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</font>
    <font>
      <sz val="9.5"/>
      <color rgb="FFCCFF33"/>
      <name val="Calibri"/>
      <family val="2"/>
    </font>
    <font>
      <sz val="9.5"/>
      <color rgb="FF66FFFF"/>
      <name val="Calibri"/>
      <family val="2"/>
    </font>
    <font>
      <sz val="9.5"/>
      <color rgb="FFFF0000"/>
      <name val="Calibri"/>
      <family val="2"/>
    </font>
    <font>
      <sz val="9.5"/>
      <color rgb="FF0070C0"/>
      <name val="Calibri"/>
      <family val="2"/>
    </font>
    <font>
      <sz val="9.5"/>
      <color rgb="FFFFFF00"/>
      <name val="Calibri"/>
      <family val="2"/>
    </font>
    <font>
      <sz val="9.5"/>
      <color rgb="FF00B050"/>
      <name val="Calibri"/>
      <family val="2"/>
    </font>
    <font>
      <sz val="9.5"/>
      <color rgb="FF00C85A"/>
      <name val="Calibri"/>
      <family val="2"/>
    </font>
    <font>
      <sz val="9"/>
      <color rgb="FFB1F928"/>
      <name val="Calibri"/>
      <family val="2"/>
    </font>
    <font>
      <sz val="11"/>
      <color rgb="FF0000CC"/>
      <name val="Calibri"/>
      <family val="2"/>
    </font>
    <font>
      <b/>
      <sz val="12"/>
      <color rgb="FF0000CC"/>
      <name val="Calibri"/>
      <family val="2"/>
    </font>
    <font>
      <sz val="9.5"/>
      <color rgb="FF92D050"/>
      <name val="Calibri"/>
      <family val="2"/>
    </font>
    <font>
      <sz val="14"/>
      <color theme="1"/>
      <name val="Calibri"/>
      <family val="2"/>
    </font>
    <font>
      <sz val="14"/>
      <color theme="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sz val="8"/>
      <name val="Berlin Sans FB"/>
      <family val="2"/>
    </font>
    <font>
      <sz val="9.5"/>
      <name val="Arial"/>
      <family val="2"/>
    </font>
    <font>
      <sz val="11"/>
      <color theme="1"/>
      <name val="Cambria"/>
      <family val="1"/>
      <scheme val="major"/>
    </font>
    <font>
      <b/>
      <sz val="11"/>
      <color indexed="8"/>
      <name val="Cambria"/>
      <family val="1"/>
      <scheme val="major"/>
    </font>
    <font>
      <sz val="10"/>
      <name val="Cambria"/>
      <family val="1"/>
      <scheme val="major"/>
    </font>
    <font>
      <sz val="11"/>
      <color indexed="8"/>
      <name val="Cambria"/>
      <family val="1"/>
      <scheme val="major"/>
    </font>
    <font>
      <sz val="12"/>
      <color rgb="FF34F053"/>
      <name val="Calibri"/>
      <family val="2"/>
    </font>
    <font>
      <sz val="14"/>
      <color rgb="FF34F053"/>
      <name val="Calibri"/>
      <family val="2"/>
    </font>
    <font>
      <sz val="14"/>
      <color rgb="FFFF0000"/>
      <name val="Calibri"/>
      <family val="2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indexed="8"/>
      <name val="Calibri"/>
      <family val="2"/>
      <scheme val="minor"/>
    </font>
    <font>
      <sz val="11"/>
      <color theme="0"/>
      <name val="Calibri"/>
      <family val="2"/>
    </font>
    <font>
      <sz val="14"/>
      <color theme="1"/>
      <name val="Calibri"/>
      <family val="2"/>
      <scheme val="minor"/>
    </font>
    <font>
      <sz val="14"/>
      <color rgb="FF00B050"/>
      <name val="Calibri"/>
      <family val="2"/>
    </font>
    <font>
      <sz val="12"/>
      <color rgb="FF057D0B"/>
      <name val="Calibri"/>
      <family val="2"/>
    </font>
    <font>
      <u/>
      <sz val="11"/>
      <name val="Calibri"/>
      <family val="2"/>
    </font>
    <font>
      <sz val="12"/>
      <color rgb="FF0070C0"/>
      <name val="Calibri"/>
      <family val="2"/>
    </font>
    <font>
      <sz val="12"/>
      <color theme="4"/>
      <name val="Calibri"/>
      <family val="2"/>
    </font>
    <font>
      <sz val="12"/>
      <color theme="1"/>
      <name val="Calibri"/>
      <family val="2"/>
      <scheme val="minor"/>
    </font>
    <font>
      <sz val="14"/>
      <name val="Arial"/>
      <family val="2"/>
    </font>
    <font>
      <sz val="14"/>
      <color rgb="FFFFFF00"/>
      <name val="Calibri"/>
      <family val="2"/>
    </font>
    <font>
      <sz val="11"/>
      <color rgb="FF0070C0"/>
      <name val="Calibri"/>
      <family val="2"/>
    </font>
    <font>
      <sz val="11"/>
      <color rgb="FFFFFF00"/>
      <name val="Calibri"/>
      <family val="2"/>
    </font>
    <font>
      <sz val="11"/>
      <color rgb="FFFFC000"/>
      <name val="Calibri"/>
      <family val="2"/>
    </font>
    <font>
      <sz val="12"/>
      <color rgb="FFFF0000"/>
      <name val="Calibri"/>
      <family val="2"/>
    </font>
    <font>
      <sz val="9.5"/>
      <color theme="3" tint="0.39997558519241921"/>
      <name val="Calibri"/>
      <family val="2"/>
    </font>
    <font>
      <b/>
      <i/>
      <sz val="14"/>
      <name val="Calibri"/>
      <family val="2"/>
      <scheme val="minor"/>
    </font>
    <font>
      <sz val="11"/>
      <color rgb="FFFF0000"/>
      <name val="Calibri"/>
      <family val="2"/>
    </font>
    <font>
      <sz val="16"/>
      <name val="Calibri"/>
      <family val="2"/>
    </font>
    <font>
      <sz val="8"/>
      <name val="Calibri"/>
      <family val="2"/>
    </font>
    <font>
      <sz val="14"/>
      <color theme="1"/>
      <name val="Times New Roman"/>
      <family val="1"/>
    </font>
    <font>
      <vertAlign val="superscript"/>
      <sz val="14"/>
      <color theme="1"/>
      <name val="Calibri"/>
      <family val="2"/>
      <scheme val="minor"/>
    </font>
    <font>
      <sz val="12"/>
      <color rgb="FF00B0F0"/>
      <name val="Calibri"/>
      <family val="2"/>
    </font>
    <font>
      <sz val="14"/>
      <color rgb="FF0070C0"/>
      <name val="Calibri"/>
      <family val="2"/>
    </font>
    <font>
      <sz val="12"/>
      <color rgb="FF00B050"/>
      <name val="Calibri"/>
      <family val="2"/>
    </font>
    <font>
      <sz val="12"/>
      <color rgb="FFFFC000"/>
      <name val="Calibri"/>
      <family val="2"/>
    </font>
    <font>
      <sz val="14"/>
      <color rgb="FFFFC000"/>
      <name val="Calibri"/>
      <family val="2"/>
    </font>
    <font>
      <b/>
      <sz val="14"/>
      <color theme="1" tint="0.249977111117893"/>
      <name val="Calibri"/>
      <family val="2"/>
      <scheme val="minor"/>
    </font>
    <font>
      <sz val="14"/>
      <color theme="3" tint="0.39997558519241921"/>
      <name val="Calibri"/>
      <family val="2"/>
    </font>
    <font>
      <sz val="14"/>
      <color rgb="FF92D050"/>
      <name val="Calibri"/>
      <family val="2"/>
    </font>
    <font>
      <sz val="12"/>
      <name val="Times New Roman"/>
      <family val="1"/>
    </font>
    <font>
      <sz val="14"/>
      <color theme="1"/>
      <name val="Tahoma"/>
      <family val="2"/>
    </font>
    <font>
      <sz val="14"/>
      <color theme="1"/>
      <name val="Arial Narrow"/>
      <family val="2"/>
    </font>
    <font>
      <sz val="12"/>
      <color indexed="12"/>
      <name val="Calibri"/>
      <family val="2"/>
    </font>
    <font>
      <sz val="14"/>
      <color indexed="8"/>
      <name val="Times New Roman"/>
      <family val="1"/>
    </font>
    <font>
      <sz val="16"/>
      <color rgb="FFFF0000"/>
      <name val="Calibri"/>
      <family val="2"/>
    </font>
    <font>
      <sz val="12"/>
      <color rgb="FFFF0000"/>
      <name val="Calibri"/>
      <family val="2"/>
      <scheme val="minor"/>
    </font>
    <font>
      <sz val="11"/>
      <color rgb="FF34F053"/>
      <name val="Calibri"/>
      <family val="2"/>
    </font>
    <font>
      <sz val="14"/>
      <color rgb="FFFF0000"/>
      <name val="Calibri"/>
      <family val="2"/>
      <scheme val="minor"/>
    </font>
    <font>
      <sz val="12"/>
      <color rgb="FF0070C0"/>
      <name val="Times New Roman"/>
      <family val="1"/>
    </font>
    <font>
      <sz val="16"/>
      <color theme="1"/>
      <name val="Calibri"/>
      <family val="2"/>
    </font>
    <font>
      <sz val="11"/>
      <color rgb="FF00823B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4F053"/>
        <bgColor indexed="64"/>
      </patternFill>
    </fill>
  </fills>
  <borders count="1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/>
      <top style="hair">
        <color indexed="8"/>
      </top>
      <bottom style="medium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8"/>
      </top>
      <bottom style="hair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double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thin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8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hair">
        <color indexed="8"/>
      </top>
      <bottom style="double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hair">
        <color indexed="8"/>
      </bottom>
      <diagonal/>
    </border>
    <border>
      <left/>
      <right style="thin">
        <color indexed="8"/>
      </right>
      <top style="thin">
        <color indexed="64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8"/>
      </left>
      <right style="thin">
        <color indexed="8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/>
      <diagonal/>
    </border>
    <border>
      <left style="thin">
        <color indexed="64"/>
      </left>
      <right style="thin">
        <color indexed="8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/>
      <bottom style="hair">
        <color rgb="FF000000"/>
      </bottom>
      <diagonal/>
    </border>
    <border>
      <left style="thin">
        <color indexed="8"/>
      </left>
      <right style="thin">
        <color indexed="8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/>
      <diagonal/>
    </border>
    <border>
      <left style="thin">
        <color indexed="8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indexed="8"/>
      </bottom>
      <diagonal/>
    </border>
    <border>
      <left style="thin">
        <color auto="1"/>
      </left>
      <right style="thin">
        <color auto="1"/>
      </right>
      <top/>
      <bottom style="hair">
        <color indexed="8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indexed="8"/>
      </left>
      <right/>
      <top/>
      <bottom style="hair">
        <color rgb="FF000000"/>
      </bottom>
      <diagonal/>
    </border>
    <border>
      <left style="thin">
        <color auto="1"/>
      </left>
      <right/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81">
    <xf numFmtId="0" fontId="0" fillId="0" borderId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168" fontId="63" fillId="0" borderId="0" applyFill="0" applyBorder="0" applyAlignment="0"/>
    <xf numFmtId="43" fontId="27" fillId="0" borderId="0" applyFont="0" applyFill="0" applyBorder="0" applyAlignment="0" applyProtection="0">
      <alignment vertical="center"/>
    </xf>
    <xf numFmtId="165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7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3" fontId="33" fillId="0" borderId="0" applyFont="0" applyFill="0" applyBorder="0" applyAlignment="0" applyProtection="0"/>
    <xf numFmtId="0" fontId="68" fillId="0" borderId="0" applyNumberFormat="0" applyAlignment="0">
      <alignment horizontal="left"/>
    </xf>
    <xf numFmtId="44" fontId="27" fillId="0" borderId="0" applyFont="0" applyFill="0" applyBorder="0" applyAlignment="0" applyProtection="0">
      <alignment vertical="center"/>
    </xf>
    <xf numFmtId="173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9" fillId="0" borderId="0" applyNumberFormat="0" applyAlignment="0">
      <alignment horizontal="left"/>
    </xf>
    <xf numFmtId="2" fontId="33" fillId="0" borderId="0" applyFont="0" applyFill="0" applyBorder="0" applyAlignment="0" applyProtection="0"/>
    <xf numFmtId="38" fontId="59" fillId="3" borderId="0" applyNumberFormat="0" applyBorder="0" applyAlignment="0" applyProtection="0"/>
    <xf numFmtId="0" fontId="64" fillId="0" borderId="1" applyNumberFormat="0" applyAlignment="0" applyProtection="0">
      <alignment horizontal="left" vertical="center"/>
    </xf>
    <xf numFmtId="0" fontId="64" fillId="0" borderId="2">
      <alignment horizontal="left" vertical="center"/>
    </xf>
    <xf numFmtId="10" fontId="59" fillId="4" borderId="3" applyNumberFormat="0" applyBorder="0" applyAlignment="0" applyProtection="0"/>
    <xf numFmtId="0" fontId="5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/>
    <xf numFmtId="0" fontId="2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0" fontId="33" fillId="0" borderId="0" applyFont="0" applyFill="0" applyBorder="0" applyAlignment="0" applyProtection="0"/>
    <xf numFmtId="167" fontId="61" fillId="0" borderId="0" applyNumberFormat="0" applyFill="0" applyBorder="0" applyAlignment="0" applyProtection="0">
      <alignment horizontal="left"/>
    </xf>
    <xf numFmtId="40" fontId="62" fillId="0" borderId="0" applyBorder="0">
      <alignment horizontal="right"/>
    </xf>
    <xf numFmtId="40" fontId="58" fillId="0" borderId="0" applyFont="0" applyFill="0" applyBorder="0" applyAlignment="0" applyProtection="0"/>
    <xf numFmtId="3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10" fontId="33" fillId="0" borderId="0" applyFont="0" applyFill="0" applyBorder="0" applyAlignment="0" applyProtection="0"/>
    <xf numFmtId="0" fontId="66" fillId="0" borderId="0"/>
    <xf numFmtId="170" fontId="33" fillId="0" borderId="0" applyFont="0" applyFill="0" applyBorder="0" applyAlignment="0" applyProtection="0"/>
    <xf numFmtId="172" fontId="33" fillId="0" borderId="0" applyFont="0" applyFill="0" applyBorder="0" applyAlignment="0" applyProtection="0"/>
    <xf numFmtId="171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0" fontId="67" fillId="0" borderId="0"/>
    <xf numFmtId="0" fontId="60" fillId="0" borderId="0"/>
    <xf numFmtId="166" fontId="60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131" fillId="0" borderId="0">
      <alignment vertical="center"/>
    </xf>
    <xf numFmtId="0" fontId="33" fillId="0" borderId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</cellStyleXfs>
  <cellXfs count="1251">
    <xf numFmtId="0" fontId="0" fillId="0" borderId="0" xfId="0" applyAlignment="1"/>
    <xf numFmtId="43" fontId="2" fillId="0" borderId="0" xfId="8" applyFont="1" applyAlignment="1">
      <alignment horizontal="center"/>
    </xf>
    <xf numFmtId="43" fontId="0" fillId="0" borderId="0" xfId="8" applyFont="1" applyAlignment="1">
      <alignment horizontal="center"/>
    </xf>
    <xf numFmtId="43" fontId="0" fillId="0" borderId="0" xfId="8" applyFont="1" applyAlignment="1"/>
    <xf numFmtId="43" fontId="71" fillId="0" borderId="0" xfId="8" applyFont="1" applyAlignment="1"/>
    <xf numFmtId="43" fontId="0" fillId="0" borderId="0" xfId="0" applyNumberFormat="1" applyAlignment="1"/>
    <xf numFmtId="0" fontId="2" fillId="0" borderId="0" xfId="0" applyFont="1" applyAlignment="1">
      <alignment horizontal="center"/>
    </xf>
    <xf numFmtId="174" fontId="0" fillId="0" borderId="0" xfId="8" applyNumberFormat="1" applyFont="1" applyAlignme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5" fillId="0" borderId="0" xfId="45" applyFont="1" applyAlignment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10" xfId="0" applyFont="1" applyBorder="1" applyAlignment="1"/>
    <xf numFmtId="0" fontId="7" fillId="0" borderId="11" xfId="0" applyFont="1" applyBorder="1" applyAlignment="1"/>
    <xf numFmtId="0" fontId="0" fillId="0" borderId="12" xfId="0" applyBorder="1" applyAlignment="1">
      <alignment horizontal="center"/>
    </xf>
    <xf numFmtId="0" fontId="7" fillId="0" borderId="13" xfId="0" applyFont="1" applyBorder="1" applyAlignment="1"/>
    <xf numFmtId="0" fontId="7" fillId="0" borderId="12" xfId="0" applyFont="1" applyBorder="1" applyAlignment="1"/>
    <xf numFmtId="41" fontId="7" fillId="0" borderId="13" xfId="9" applyNumberFormat="1" applyFont="1" applyBorder="1" applyAlignment="1"/>
    <xf numFmtId="41" fontId="7" fillId="0" borderId="13" xfId="0" applyNumberFormat="1" applyFont="1" applyBorder="1" applyAlignment="1"/>
    <xf numFmtId="41" fontId="7" fillId="0" borderId="14" xfId="0" applyNumberFormat="1" applyFont="1" applyBorder="1" applyAlignment="1"/>
    <xf numFmtId="0" fontId="0" fillId="0" borderId="15" xfId="0" applyBorder="1" applyAlignment="1">
      <alignment horizontal="center"/>
    </xf>
    <xf numFmtId="0" fontId="7" fillId="0" borderId="16" xfId="0" applyFont="1" applyBorder="1" applyAlignment="1"/>
    <xf numFmtId="0" fontId="7" fillId="0" borderId="17" xfId="0" applyFont="1" applyBorder="1" applyAlignment="1"/>
    <xf numFmtId="0" fontId="7" fillId="0" borderId="0" xfId="0" applyFont="1" applyAlignme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9" fillId="0" borderId="0" xfId="0" applyFont="1" applyAlignment="1"/>
    <xf numFmtId="0" fontId="9" fillId="0" borderId="0" xfId="0" applyFont="1">
      <alignment vertical="center"/>
    </xf>
    <xf numFmtId="0" fontId="0" fillId="0" borderId="0" xfId="0" applyAlignment="1">
      <alignment horizontal="left"/>
    </xf>
    <xf numFmtId="175" fontId="0" fillId="0" borderId="0" xfId="9" applyNumberFormat="1" applyFont="1" applyAlignment="1"/>
    <xf numFmtId="0" fontId="3" fillId="0" borderId="0" xfId="0" applyFont="1" applyAlignment="1">
      <alignment horizontal="left"/>
    </xf>
    <xf numFmtId="0" fontId="7" fillId="7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8" xfId="0" applyFont="1" applyBorder="1" applyAlignment="1">
      <alignment horizontal="left"/>
    </xf>
    <xf numFmtId="0" fontId="7" fillId="0" borderId="19" xfId="0" applyFont="1" applyBorder="1" applyAlignment="1">
      <alignment horizontal="center"/>
    </xf>
    <xf numFmtId="15" fontId="0" fillId="0" borderId="20" xfId="0" applyNumberFormat="1" applyBorder="1" applyAlignment="1">
      <alignment horizontal="center"/>
    </xf>
    <xf numFmtId="0" fontId="0" fillId="0" borderId="20" xfId="0" applyBorder="1" applyAlignment="1"/>
    <xf numFmtId="0" fontId="7" fillId="0" borderId="20" xfId="0" applyFont="1" applyBorder="1" applyAlignment="1">
      <alignment horizontal="center"/>
    </xf>
    <xf numFmtId="2" fontId="7" fillId="0" borderId="20" xfId="0" applyNumberFormat="1" applyFont="1" applyBorder="1" applyAlignment="1">
      <alignment horizontal="right"/>
    </xf>
    <xf numFmtId="2" fontId="0" fillId="0" borderId="21" xfId="0" applyNumberFormat="1" applyBorder="1" applyAlignment="1">
      <alignment horizontal="left"/>
    </xf>
    <xf numFmtId="0" fontId="7" fillId="0" borderId="13" xfId="0" applyFont="1" applyBorder="1" applyAlignment="1">
      <alignment horizontal="center"/>
    </xf>
    <xf numFmtId="15" fontId="0" fillId="0" borderId="12" xfId="0" applyNumberFormat="1" applyBorder="1" applyAlignment="1">
      <alignment horizontal="center"/>
    </xf>
    <xf numFmtId="0" fontId="0" fillId="0" borderId="12" xfId="0" applyBorder="1" applyAlignment="1"/>
    <xf numFmtId="0" fontId="7" fillId="0" borderId="12" xfId="0" applyFont="1" applyBorder="1" applyAlignment="1">
      <alignment horizontal="center"/>
    </xf>
    <xf numFmtId="2" fontId="7" fillId="0" borderId="12" xfId="0" applyNumberFormat="1" applyFont="1" applyBorder="1" applyAlignment="1">
      <alignment horizontal="right"/>
    </xf>
    <xf numFmtId="2" fontId="0" fillId="0" borderId="14" xfId="0" applyNumberFormat="1" applyBorder="1" applyAlignment="1">
      <alignment horizontal="left"/>
    </xf>
    <xf numFmtId="0" fontId="7" fillId="0" borderId="12" xfId="0" applyFont="1" applyBorder="1" applyAlignment="1">
      <alignment horizontal="left"/>
    </xf>
    <xf numFmtId="175" fontId="3" fillId="0" borderId="0" xfId="9" applyNumberFormat="1" applyFont="1" applyAlignment="1"/>
    <xf numFmtId="175" fontId="3" fillId="0" borderId="0" xfId="9" applyNumberFormat="1" applyFont="1" applyBorder="1" applyAlignment="1"/>
    <xf numFmtId="0" fontId="7" fillId="7" borderId="8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176" fontId="7" fillId="0" borderId="4" xfId="0" applyNumberFormat="1" applyFont="1" applyBorder="1" applyAlignment="1">
      <alignment horizontal="center"/>
    </xf>
    <xf numFmtId="0" fontId="7" fillId="0" borderId="9" xfId="0" applyFont="1" applyBorder="1" applyAlignment="1"/>
    <xf numFmtId="175" fontId="7" fillId="0" borderId="4" xfId="9" applyNumberFormat="1" applyFont="1" applyBorder="1" applyAlignment="1"/>
    <xf numFmtId="0" fontId="7" fillId="0" borderId="18" xfId="0" applyFont="1" applyBorder="1" applyAlignment="1"/>
    <xf numFmtId="0" fontId="7" fillId="0" borderId="20" xfId="0" applyFont="1" applyBorder="1" applyAlignment="1"/>
    <xf numFmtId="0" fontId="7" fillId="0" borderId="19" xfId="0" applyFont="1" applyBorder="1" applyAlignment="1"/>
    <xf numFmtId="15" fontId="7" fillId="0" borderId="20" xfId="0" applyNumberFormat="1" applyFont="1" applyBorder="1" applyAlignment="1">
      <alignment horizontal="center"/>
    </xf>
    <xf numFmtId="0" fontId="7" fillId="0" borderId="20" xfId="0" applyFont="1" applyBorder="1" applyAlignment="1">
      <alignment horizontal="left" vertical="top" wrapText="1"/>
    </xf>
    <xf numFmtId="175" fontId="7" fillId="0" borderId="20" xfId="9" applyNumberFormat="1" applyFont="1" applyBorder="1" applyAlignment="1">
      <alignment horizontal="right"/>
    </xf>
    <xf numFmtId="0" fontId="7" fillId="0" borderId="21" xfId="0" applyFont="1" applyBorder="1" applyAlignment="1">
      <alignment horizontal="left"/>
    </xf>
    <xf numFmtId="15" fontId="7" fillId="0" borderId="12" xfId="0" applyNumberFormat="1" applyFont="1" applyBorder="1" applyAlignment="1">
      <alignment horizontal="center"/>
    </xf>
    <xf numFmtId="0" fontId="7" fillId="0" borderId="12" xfId="0" applyFont="1" applyBorder="1" applyAlignment="1">
      <alignment horizontal="left" vertical="top"/>
    </xf>
    <xf numFmtId="175" fontId="7" fillId="0" borderId="12" xfId="9" applyNumberFormat="1" applyFont="1" applyBorder="1" applyAlignment="1">
      <alignment horizontal="right" indent="3"/>
    </xf>
    <xf numFmtId="0" fontId="7" fillId="0" borderId="14" xfId="0" applyFont="1" applyBorder="1" applyAlignment="1">
      <alignment horizontal="left"/>
    </xf>
    <xf numFmtId="0" fontId="12" fillId="0" borderId="0" xfId="0" applyFont="1" applyAlignment="1">
      <alignment wrapText="1"/>
    </xf>
    <xf numFmtId="0" fontId="7" fillId="0" borderId="22" xfId="0" applyFont="1" applyBorder="1" applyAlignment="1">
      <alignment horizontal="center"/>
    </xf>
    <xf numFmtId="15" fontId="0" fillId="0" borderId="23" xfId="0" applyNumberFormat="1" applyBorder="1" applyAlignment="1">
      <alignment horizontal="center"/>
    </xf>
    <xf numFmtId="0" fontId="0" fillId="0" borderId="23" xfId="0" applyBorder="1" applyAlignment="1"/>
    <xf numFmtId="0" fontId="7" fillId="0" borderId="23" xfId="0" applyFont="1" applyBorder="1" applyAlignment="1">
      <alignment horizontal="center"/>
    </xf>
    <xf numFmtId="2" fontId="7" fillId="0" borderId="23" xfId="0" applyNumberFormat="1" applyFont="1" applyBorder="1" applyAlignment="1">
      <alignment horizontal="right"/>
    </xf>
    <xf numFmtId="2" fontId="0" fillId="0" borderId="24" xfId="0" applyNumberForma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23" xfId="0" applyFont="1" applyBorder="1" applyAlignment="1"/>
    <xf numFmtId="0" fontId="7" fillId="0" borderId="22" xfId="0" applyFont="1" applyBorder="1" applyAlignment="1"/>
    <xf numFmtId="15" fontId="7" fillId="0" borderId="23" xfId="0" applyNumberFormat="1" applyFont="1" applyBorder="1" applyAlignment="1">
      <alignment horizontal="center"/>
    </xf>
    <xf numFmtId="0" fontId="7" fillId="0" borderId="23" xfId="0" applyFont="1" applyBorder="1" applyAlignment="1">
      <alignment horizontal="left" vertical="top"/>
    </xf>
    <xf numFmtId="175" fontId="7" fillId="0" borderId="23" xfId="9" applyNumberFormat="1" applyFont="1" applyBorder="1" applyAlignment="1">
      <alignment horizontal="right" indent="3"/>
    </xf>
    <xf numFmtId="0" fontId="7" fillId="0" borderId="24" xfId="0" applyFont="1" applyBorder="1" applyAlignment="1">
      <alignment horizontal="left"/>
    </xf>
    <xf numFmtId="175" fontId="7" fillId="0" borderId="0" xfId="9" applyNumberFormat="1" applyFont="1" applyAlignment="1"/>
    <xf numFmtId="175" fontId="8" fillId="0" borderId="0" xfId="9" applyNumberFormat="1" applyFont="1" applyAlignment="1"/>
    <xf numFmtId="175" fontId="7" fillId="0" borderId="0" xfId="9" applyNumberFormat="1" applyFont="1" applyAlignment="1">
      <alignment wrapText="1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176" fontId="7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4" xfId="0" applyFont="1" applyBorder="1" applyAlignment="1">
      <alignment horizontal="right" vertical="top" wrapText="1"/>
    </xf>
    <xf numFmtId="41" fontId="7" fillId="0" borderId="0" xfId="9" applyNumberFormat="1" applyFont="1" applyAlignment="1"/>
    <xf numFmtId="177" fontId="7" fillId="0" borderId="10" xfId="0" applyNumberFormat="1" applyFont="1" applyBorder="1" applyAlignment="1"/>
    <xf numFmtId="15" fontId="7" fillId="0" borderId="19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175" fontId="7" fillId="0" borderId="20" xfId="9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41" fontId="7" fillId="0" borderId="20" xfId="9" applyNumberFormat="1" applyFont="1" applyBorder="1" applyAlignment="1">
      <alignment horizontal="right" vertical="top" wrapText="1"/>
    </xf>
    <xf numFmtId="15" fontId="7" fillId="0" borderId="13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43" fontId="7" fillId="0" borderId="12" xfId="8" applyFont="1" applyFill="1" applyBorder="1" applyAlignment="1">
      <alignment horizontal="right" vertical="center"/>
    </xf>
    <xf numFmtId="0" fontId="7" fillId="0" borderId="14" xfId="0" applyFont="1" applyBorder="1" applyAlignment="1">
      <alignment horizontal="left" vertical="top" wrapText="1"/>
    </xf>
    <xf numFmtId="41" fontId="7" fillId="0" borderId="12" xfId="9" applyNumberFormat="1" applyFont="1" applyBorder="1" applyAlignment="1">
      <alignment horizontal="right" vertical="top" wrapText="1"/>
    </xf>
    <xf numFmtId="0" fontId="4" fillId="0" borderId="0" xfId="0" applyFont="1" applyAlignment="1"/>
    <xf numFmtId="0" fontId="14" fillId="0" borderId="0" xfId="0" applyFont="1" applyAlignment="1">
      <alignment vertical="top" wrapText="1"/>
    </xf>
    <xf numFmtId="0" fontId="14" fillId="0" borderId="0" xfId="0" applyFont="1" applyAlignment="1"/>
    <xf numFmtId="0" fontId="15" fillId="0" borderId="0" xfId="0" applyFont="1" applyAlignment="1"/>
    <xf numFmtId="0" fontId="1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14" fillId="0" borderId="9" xfId="0" applyFont="1" applyBorder="1" applyAlignment="1">
      <alignment wrapText="1"/>
    </xf>
    <xf numFmtId="0" fontId="7" fillId="0" borderId="19" xfId="0" applyFont="1" applyBorder="1" applyAlignment="1">
      <alignment horizontal="left"/>
    </xf>
    <xf numFmtId="0" fontId="0" fillId="0" borderId="19" xfId="0" applyBorder="1" applyAlignment="1">
      <alignment horizontal="center" vertical="top" wrapText="1"/>
    </xf>
    <xf numFmtId="0" fontId="7" fillId="0" borderId="13" xfId="0" applyFont="1" applyBorder="1" applyAlignment="1">
      <alignment horizontal="left"/>
    </xf>
    <xf numFmtId="0" fontId="0" fillId="0" borderId="13" xfId="0" applyBorder="1" applyAlignment="1">
      <alignment horizontal="center" vertical="top" wrapText="1"/>
    </xf>
    <xf numFmtId="0" fontId="16" fillId="0" borderId="0" xfId="0" applyFont="1">
      <alignment vertical="center"/>
    </xf>
    <xf numFmtId="0" fontId="17" fillId="0" borderId="0" xfId="0" applyFont="1" applyAlignment="1"/>
    <xf numFmtId="0" fontId="18" fillId="5" borderId="0" xfId="0" applyFont="1" applyFill="1">
      <alignment vertical="center"/>
    </xf>
    <xf numFmtId="0" fontId="19" fillId="5" borderId="0" xfId="0" applyFont="1" applyFill="1">
      <alignment vertical="center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15" fillId="0" borderId="0" xfId="0" applyFont="1" applyAlignment="1">
      <alignment horizontal="center" vertical="top" wrapText="1"/>
    </xf>
    <xf numFmtId="0" fontId="21" fillId="5" borderId="0" xfId="0" applyFont="1" applyFill="1">
      <alignment vertical="center"/>
    </xf>
    <xf numFmtId="0" fontId="22" fillId="0" borderId="0" xfId="0" applyFont="1">
      <alignment vertical="center"/>
    </xf>
    <xf numFmtId="0" fontId="19" fillId="2" borderId="0" xfId="0" applyFont="1" applyFill="1">
      <alignment vertical="center"/>
    </xf>
    <xf numFmtId="0" fontId="72" fillId="0" borderId="0" xfId="0" applyFont="1">
      <alignment vertical="center"/>
    </xf>
    <xf numFmtId="0" fontId="73" fillId="5" borderId="0" xfId="0" applyFont="1" applyFill="1">
      <alignment vertical="center"/>
    </xf>
    <xf numFmtId="0" fontId="17" fillId="0" borderId="0" xfId="0" applyFont="1">
      <alignment vertical="center"/>
    </xf>
    <xf numFmtId="0" fontId="23" fillId="0" borderId="0" xfId="0" applyFont="1">
      <alignment vertical="center"/>
    </xf>
    <xf numFmtId="0" fontId="18" fillId="0" borderId="0" xfId="0" applyFont="1">
      <alignment vertical="center"/>
    </xf>
    <xf numFmtId="0" fontId="24" fillId="0" borderId="0" xfId="0" applyFont="1">
      <alignment vertical="center"/>
    </xf>
    <xf numFmtId="15" fontId="7" fillId="0" borderId="22" xfId="0" applyNumberFormat="1" applyFont="1" applyBorder="1" applyAlignment="1">
      <alignment horizontal="center"/>
    </xf>
    <xf numFmtId="0" fontId="0" fillId="0" borderId="22" xfId="0" applyBorder="1" applyAlignment="1">
      <alignment horizontal="center"/>
    </xf>
    <xf numFmtId="43" fontId="7" fillId="0" borderId="23" xfId="8" applyFont="1" applyFill="1" applyBorder="1" applyAlignment="1">
      <alignment horizontal="right" vertical="center"/>
    </xf>
    <xf numFmtId="0" fontId="7" fillId="0" borderId="24" xfId="0" applyFont="1" applyBorder="1" applyAlignment="1">
      <alignment horizontal="left" vertical="top" wrapText="1"/>
    </xf>
    <xf numFmtId="41" fontId="7" fillId="0" borderId="23" xfId="9" applyNumberFormat="1" applyFont="1" applyBorder="1" applyAlignment="1">
      <alignment horizontal="right" vertical="top" wrapText="1"/>
    </xf>
    <xf numFmtId="0" fontId="25" fillId="0" borderId="0" xfId="0" applyFont="1" applyAlignment="1"/>
    <xf numFmtId="0" fontId="7" fillId="0" borderId="22" xfId="0" applyFont="1" applyBorder="1" applyAlignment="1">
      <alignment horizontal="left"/>
    </xf>
    <xf numFmtId="0" fontId="0" fillId="0" borderId="22" xfId="0" applyBorder="1" applyAlignment="1">
      <alignment horizontal="center" vertical="top" wrapText="1"/>
    </xf>
    <xf numFmtId="0" fontId="14" fillId="0" borderId="0" xfId="0" applyFont="1" applyAlignment="1">
      <alignment horizontal="center"/>
    </xf>
    <xf numFmtId="0" fontId="26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15" fontId="7" fillId="0" borderId="13" xfId="0" applyNumberFormat="1" applyFont="1" applyBorder="1" applyAlignment="1">
      <alignment horizontal="left"/>
    </xf>
    <xf numFmtId="43" fontId="7" fillId="0" borderId="13" xfId="8" applyFont="1" applyBorder="1" applyAlignment="1">
      <alignment horizontal="left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/>
    </xf>
    <xf numFmtId="0" fontId="7" fillId="8" borderId="13" xfId="0" applyFont="1" applyFill="1" applyBorder="1" applyAlignment="1">
      <alignment horizontal="left"/>
    </xf>
    <xf numFmtId="176" fontId="7" fillId="0" borderId="13" xfId="0" applyNumberFormat="1" applyFont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7" fillId="8" borderId="13" xfId="0" applyFont="1" applyFill="1" applyBorder="1" applyAlignment="1">
      <alignment horizontal="left" vertical="center" wrapText="1"/>
    </xf>
    <xf numFmtId="43" fontId="7" fillId="0" borderId="13" xfId="8" applyFont="1" applyBorder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7" fillId="0" borderId="10" xfId="0" applyFont="1" applyBorder="1" applyAlignment="1">
      <alignment horizontal="left"/>
    </xf>
    <xf numFmtId="41" fontId="7" fillId="0" borderId="13" xfId="9" applyNumberFormat="1" applyFont="1" applyFill="1" applyBorder="1" applyAlignment="1">
      <alignment horizontal="center" vertical="center"/>
    </xf>
    <xf numFmtId="41" fontId="12" fillId="0" borderId="0" xfId="0" applyNumberFormat="1" applyFont="1" applyAlignment="1">
      <alignment wrapText="1"/>
    </xf>
    <xf numFmtId="15" fontId="7" fillId="0" borderId="13" xfId="0" applyNumberFormat="1" applyFont="1" applyBorder="1" applyAlignment="1">
      <alignment horizontal="center" vertical="center"/>
    </xf>
    <xf numFmtId="0" fontId="74" fillId="5" borderId="0" xfId="0" applyFont="1" applyFill="1">
      <alignment vertical="center"/>
    </xf>
    <xf numFmtId="0" fontId="75" fillId="0" borderId="0" xfId="0" applyFont="1" applyAlignment="1"/>
    <xf numFmtId="0" fontId="5" fillId="0" borderId="13" xfId="0" applyFont="1" applyBorder="1" applyAlignment="1">
      <alignment horizontal="left"/>
    </xf>
    <xf numFmtId="0" fontId="76" fillId="0" borderId="0" xfId="0" applyFont="1" applyAlignment="1"/>
    <xf numFmtId="0" fontId="77" fillId="0" borderId="0" xfId="0" applyFont="1" applyAlignment="1"/>
    <xf numFmtId="0" fontId="28" fillId="8" borderId="13" xfId="0" applyFont="1" applyFill="1" applyBorder="1" applyAlignment="1">
      <alignment horizontal="left"/>
    </xf>
    <xf numFmtId="43" fontId="28" fillId="8" borderId="13" xfId="8" applyFont="1" applyFill="1" applyBorder="1" applyAlignment="1">
      <alignment vertical="center"/>
    </xf>
    <xf numFmtId="0" fontId="78" fillId="0" borderId="0" xfId="0" applyFont="1" applyAlignment="1"/>
    <xf numFmtId="0" fontId="7" fillId="8" borderId="13" xfId="0" applyFont="1" applyFill="1" applyBorder="1">
      <alignment vertical="center"/>
    </xf>
    <xf numFmtId="0" fontId="7" fillId="0" borderId="13" xfId="0" applyFont="1" applyBorder="1" applyAlignment="1">
      <alignment horizontal="center" vertical="center"/>
    </xf>
    <xf numFmtId="0" fontId="29" fillId="0" borderId="13" xfId="0" applyFont="1" applyBorder="1" applyAlignment="1">
      <alignment wrapText="1"/>
    </xf>
    <xf numFmtId="176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left" vertical="top" wrapText="1"/>
    </xf>
    <xf numFmtId="43" fontId="7" fillId="0" borderId="13" xfId="8" applyFont="1" applyFill="1" applyBorder="1" applyAlignment="1">
      <alignment horizontal="right"/>
    </xf>
    <xf numFmtId="0" fontId="74" fillId="0" borderId="0" xfId="0" applyFont="1" applyAlignment="1"/>
    <xf numFmtId="0" fontId="7" fillId="0" borderId="0" xfId="0" applyFont="1" applyAlignment="1">
      <alignment horizontal="center" vertical="center"/>
    </xf>
    <xf numFmtId="41" fontId="30" fillId="0" borderId="0" xfId="0" applyNumberFormat="1" applyFont="1" applyAlignment="1">
      <alignment vertical="center" wrapText="1"/>
    </xf>
    <xf numFmtId="0" fontId="7" fillId="0" borderId="0" xfId="0" applyFont="1">
      <alignment vertical="center"/>
    </xf>
    <xf numFmtId="41" fontId="30" fillId="0" borderId="0" xfId="0" applyNumberFormat="1" applyFont="1" applyAlignment="1">
      <alignment horizontal="center" vertical="center"/>
    </xf>
    <xf numFmtId="41" fontId="5" fillId="0" borderId="13" xfId="9" applyNumberFormat="1" applyFont="1" applyFill="1" applyBorder="1" applyAlignment="1">
      <alignment horizontal="center"/>
    </xf>
    <xf numFmtId="0" fontId="5" fillId="0" borderId="13" xfId="0" applyFont="1" applyBorder="1">
      <alignment vertical="center"/>
    </xf>
    <xf numFmtId="0" fontId="79" fillId="0" borderId="0" xfId="0" applyFont="1" applyAlignment="1"/>
    <xf numFmtId="41" fontId="7" fillId="0" borderId="13" xfId="9" applyNumberFormat="1" applyFont="1" applyFill="1" applyBorder="1" applyAlignment="1">
      <alignment vertical="center"/>
    </xf>
    <xf numFmtId="43" fontId="7" fillId="0" borderId="13" xfId="8" applyFont="1" applyFill="1" applyBorder="1" applyAlignment="1">
      <alignment horizontal="right" vertical="center"/>
    </xf>
    <xf numFmtId="2" fontId="7" fillId="0" borderId="13" xfId="0" applyNumberFormat="1" applyFont="1" applyBorder="1" applyAlignment="1">
      <alignment horizontal="left" vertical="center" wrapText="1"/>
    </xf>
    <xf numFmtId="43" fontId="7" fillId="0" borderId="13" xfId="8" applyFont="1" applyBorder="1" applyAlignment="1">
      <alignment horizontal="right" vertical="center"/>
    </xf>
    <xf numFmtId="15" fontId="7" fillId="0" borderId="13" xfId="0" applyNumberFormat="1" applyFont="1" applyBorder="1">
      <alignment vertical="center"/>
    </xf>
    <xf numFmtId="43" fontId="7" fillId="0" borderId="13" xfId="8" applyFont="1" applyFill="1" applyBorder="1" applyAlignment="1">
      <alignment horizontal="right" vertical="center" wrapText="1"/>
    </xf>
    <xf numFmtId="0" fontId="31" fillId="0" borderId="0" xfId="0" applyFont="1" applyAlignment="1"/>
    <xf numFmtId="177" fontId="7" fillId="0" borderId="13" xfId="0" applyNumberFormat="1" applyFont="1" applyBorder="1">
      <alignment vertical="center"/>
    </xf>
    <xf numFmtId="178" fontId="7" fillId="0" borderId="13" xfId="0" applyNumberFormat="1" applyFont="1" applyBorder="1" applyAlignment="1">
      <alignment horizontal="center" vertical="center"/>
    </xf>
    <xf numFmtId="41" fontId="7" fillId="0" borderId="13" xfId="9" applyNumberFormat="1" applyFont="1" applyBorder="1" applyAlignment="1">
      <alignment horizontal="center" vertical="center"/>
    </xf>
    <xf numFmtId="0" fontId="80" fillId="0" borderId="0" xfId="0" applyFont="1" applyAlignment="1">
      <alignment horizontal="center"/>
    </xf>
    <xf numFmtId="41" fontId="81" fillId="0" borderId="0" xfId="0" applyNumberFormat="1" applyFont="1" applyAlignment="1">
      <alignment wrapText="1"/>
    </xf>
    <xf numFmtId="0" fontId="82" fillId="0" borderId="0" xfId="0" applyFont="1">
      <alignment vertical="center"/>
    </xf>
    <xf numFmtId="176" fontId="28" fillId="0" borderId="13" xfId="0" applyNumberFormat="1" applyFont="1" applyBorder="1" applyAlignment="1">
      <alignment horizontal="center" vertical="center"/>
    </xf>
    <xf numFmtId="0" fontId="28" fillId="0" borderId="13" xfId="0" applyFont="1" applyBorder="1">
      <alignment vertical="center"/>
    </xf>
    <xf numFmtId="0" fontId="28" fillId="0" borderId="13" xfId="0" applyFont="1" applyBorder="1" applyAlignment="1">
      <alignment horizontal="center"/>
    </xf>
    <xf numFmtId="43" fontId="28" fillId="0" borderId="13" xfId="8" applyFont="1" applyBorder="1" applyAlignment="1">
      <alignment horizontal="right" vertical="center"/>
    </xf>
    <xf numFmtId="0" fontId="28" fillId="0" borderId="13" xfId="0" applyFont="1" applyBorder="1" applyAlignment="1">
      <alignment horizontal="left" vertical="center"/>
    </xf>
    <xf numFmtId="43" fontId="7" fillId="8" borderId="13" xfId="8" applyFont="1" applyFill="1" applyBorder="1" applyAlignment="1">
      <alignment horizontal="right" vertical="center"/>
    </xf>
    <xf numFmtId="15" fontId="7" fillId="0" borderId="10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41" fontId="28" fillId="0" borderId="13" xfId="9" applyNumberFormat="1" applyFont="1" applyBorder="1" applyAlignment="1">
      <alignment horizontal="center" vertical="center"/>
    </xf>
    <xf numFmtId="41" fontId="28" fillId="0" borderId="13" xfId="9" applyNumberFormat="1" applyFont="1" applyFill="1" applyBorder="1" applyAlignment="1">
      <alignment horizontal="center" vertical="center"/>
    </xf>
    <xf numFmtId="41" fontId="7" fillId="8" borderId="13" xfId="9" applyNumberFormat="1" applyFont="1" applyFill="1" applyBorder="1" applyAlignment="1">
      <alignment vertical="center"/>
    </xf>
    <xf numFmtId="177" fontId="7" fillId="8" borderId="13" xfId="0" applyNumberFormat="1" applyFont="1" applyFill="1" applyBorder="1">
      <alignment vertical="center"/>
    </xf>
    <xf numFmtId="177" fontId="12" fillId="0" borderId="0" xfId="0" applyNumberFormat="1" applyFont="1" applyAlignment="1">
      <alignment wrapText="1"/>
    </xf>
    <xf numFmtId="175" fontId="7" fillId="0" borderId="13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31" xfId="0" applyFont="1" applyBorder="1" applyAlignment="1"/>
    <xf numFmtId="0" fontId="7" fillId="0" borderId="31" xfId="0" applyFont="1" applyBorder="1" applyAlignment="1">
      <alignment horizontal="left"/>
    </xf>
    <xf numFmtId="0" fontId="10" fillId="0" borderId="0" xfId="0" applyFont="1" applyAlignment="1"/>
    <xf numFmtId="0" fontId="10" fillId="0" borderId="0" xfId="0" applyFont="1" applyAlignment="1">
      <alignment horizontal="left"/>
    </xf>
    <xf numFmtId="41" fontId="30" fillId="0" borderId="0" xfId="9" applyNumberFormat="1" applyFont="1" applyBorder="1" applyAlignment="1"/>
    <xf numFmtId="0" fontId="32" fillId="0" borderId="0" xfId="0" applyFont="1" applyAlignment="1"/>
    <xf numFmtId="0" fontId="32" fillId="0" borderId="0" xfId="0" applyFont="1" applyAlignment="1">
      <alignment wrapText="1"/>
    </xf>
    <xf numFmtId="0" fontId="33" fillId="0" borderId="0" xfId="44" applyAlignment="1">
      <alignment horizontal="center"/>
    </xf>
    <xf numFmtId="0" fontId="33" fillId="0" borderId="0" xfId="44" applyAlignment="1"/>
    <xf numFmtId="43" fontId="33" fillId="0" borderId="0" xfId="8" applyFont="1" applyAlignment="1"/>
    <xf numFmtId="0" fontId="33" fillId="0" borderId="0" xfId="44" applyAlignment="1">
      <alignment horizontal="left"/>
    </xf>
    <xf numFmtId="0" fontId="5" fillId="0" borderId="0" xfId="44" applyFont="1" applyAlignment="1"/>
    <xf numFmtId="0" fontId="5" fillId="0" borderId="0" xfId="44" applyFont="1" applyAlignment="1">
      <alignment horizontal="center"/>
    </xf>
    <xf numFmtId="0" fontId="34" fillId="0" borderId="0" xfId="44" applyFont="1" applyAlignment="1">
      <alignment horizontal="center"/>
    </xf>
    <xf numFmtId="0" fontId="34" fillId="0" borderId="0" xfId="44" applyFont="1" applyAlignment="1"/>
    <xf numFmtId="0" fontId="5" fillId="0" borderId="0" xfId="44" applyFont="1" applyAlignment="1">
      <alignment horizontal="left"/>
    </xf>
    <xf numFmtId="0" fontId="28" fillId="0" borderId="0" xfId="44" applyFont="1" applyAlignment="1"/>
    <xf numFmtId="0" fontId="36" fillId="0" borderId="0" xfId="44" applyFont="1" applyAlignment="1"/>
    <xf numFmtId="0" fontId="37" fillId="0" borderId="0" xfId="44" applyFont="1" applyAlignment="1">
      <alignment horizontal="center"/>
    </xf>
    <xf numFmtId="0" fontId="38" fillId="0" borderId="10" xfId="44" applyFont="1" applyBorder="1" applyAlignment="1">
      <alignment horizontal="center"/>
    </xf>
    <xf numFmtId="0" fontId="38" fillId="0" borderId="5" xfId="44" applyFont="1" applyBorder="1" applyAlignment="1">
      <alignment horizontal="center"/>
    </xf>
    <xf numFmtId="0" fontId="38" fillId="0" borderId="10" xfId="44" applyFont="1" applyBorder="1" applyAlignment="1"/>
    <xf numFmtId="0" fontId="39" fillId="0" borderId="33" xfId="44" applyFont="1" applyBorder="1" applyAlignment="1">
      <alignment horizontal="center"/>
    </xf>
    <xf numFmtId="0" fontId="39" fillId="0" borderId="6" xfId="44" applyFont="1" applyBorder="1" applyAlignment="1">
      <alignment horizontal="center"/>
    </xf>
    <xf numFmtId="0" fontId="38" fillId="0" borderId="34" xfId="44" applyFont="1" applyBorder="1" applyAlignment="1">
      <alignment horizontal="center"/>
    </xf>
    <xf numFmtId="14" fontId="38" fillId="0" borderId="5" xfId="44" applyNumberFormat="1" applyFont="1" applyBorder="1" applyAlignment="1">
      <alignment horizontal="center"/>
    </xf>
    <xf numFmtId="0" fontId="38" fillId="0" borderId="5" xfId="44" applyFont="1" applyBorder="1" applyAlignment="1">
      <alignment horizontal="left"/>
    </xf>
    <xf numFmtId="0" fontId="38" fillId="0" borderId="5" xfId="44" applyFont="1" applyBorder="1" applyAlignment="1"/>
    <xf numFmtId="0" fontId="38" fillId="0" borderId="35" xfId="44" applyFont="1" applyBorder="1" applyAlignment="1">
      <alignment horizontal="center"/>
    </xf>
    <xf numFmtId="14" fontId="38" fillId="0" borderId="10" xfId="44" applyNumberFormat="1" applyFont="1" applyBorder="1" applyAlignment="1">
      <alignment horizontal="center"/>
    </xf>
    <xf numFmtId="0" fontId="38" fillId="0" borderId="10" xfId="44" applyFont="1" applyBorder="1" applyAlignment="1">
      <alignment horizontal="left"/>
    </xf>
    <xf numFmtId="0" fontId="38" fillId="0" borderId="36" xfId="44" applyFont="1" applyBorder="1" applyAlignment="1">
      <alignment horizontal="center"/>
    </xf>
    <xf numFmtId="0" fontId="38" fillId="0" borderId="13" xfId="44" applyFont="1" applyBorder="1" applyAlignment="1">
      <alignment horizontal="left"/>
    </xf>
    <xf numFmtId="0" fontId="38" fillId="0" borderId="13" xfId="44" applyFont="1" applyBorder="1" applyAlignment="1">
      <alignment horizontal="center"/>
    </xf>
    <xf numFmtId="0" fontId="38" fillId="0" borderId="13" xfId="44" applyFont="1" applyBorder="1" applyAlignment="1"/>
    <xf numFmtId="43" fontId="34" fillId="0" borderId="0" xfId="8" applyFont="1" applyAlignment="1"/>
    <xf numFmtId="43" fontId="37" fillId="0" borderId="0" xfId="8" applyFont="1" applyAlignment="1">
      <alignment horizontal="center"/>
    </xf>
    <xf numFmtId="43" fontId="38" fillId="0" borderId="32" xfId="8" applyFont="1" applyBorder="1" applyAlignment="1"/>
    <xf numFmtId="0" fontId="38" fillId="0" borderId="32" xfId="44" applyFont="1" applyBorder="1" applyAlignment="1"/>
    <xf numFmtId="43" fontId="38" fillId="0" borderId="10" xfId="8" applyFont="1" applyBorder="1" applyAlignment="1">
      <alignment horizontal="center"/>
    </xf>
    <xf numFmtId="0" fontId="38" fillId="0" borderId="9" xfId="44" applyFont="1" applyBorder="1" applyAlignment="1">
      <alignment horizontal="center"/>
    </xf>
    <xf numFmtId="0" fontId="39" fillId="0" borderId="8" xfId="44" applyFont="1" applyBorder="1" applyAlignment="1">
      <alignment horizontal="center"/>
    </xf>
    <xf numFmtId="43" fontId="41" fillId="0" borderId="10" xfId="8" applyFont="1" applyBorder="1" applyAlignment="1">
      <alignment horizontal="center" wrapText="1"/>
    </xf>
    <xf numFmtId="0" fontId="41" fillId="0" borderId="9" xfId="0" applyFont="1" applyBorder="1" applyAlignment="1"/>
    <xf numFmtId="41" fontId="41" fillId="0" borderId="10" xfId="9" applyNumberFormat="1" applyFont="1" applyBorder="1" applyAlignment="1"/>
    <xf numFmtId="14" fontId="38" fillId="0" borderId="4" xfId="44" applyNumberFormat="1" applyFont="1" applyBorder="1" applyAlignment="1">
      <alignment horizontal="center"/>
    </xf>
    <xf numFmtId="14" fontId="38" fillId="0" borderId="9" xfId="44" applyNumberFormat="1" applyFont="1" applyBorder="1" applyAlignment="1">
      <alignment horizontal="center"/>
    </xf>
    <xf numFmtId="43" fontId="41" fillId="0" borderId="13" xfId="8" applyFont="1" applyBorder="1" applyAlignment="1">
      <alignment horizontal="center" wrapText="1"/>
    </xf>
    <xf numFmtId="0" fontId="41" fillId="0" borderId="12" xfId="0" applyFont="1" applyBorder="1" applyAlignment="1"/>
    <xf numFmtId="41" fontId="41" fillId="0" borderId="13" xfId="9" applyNumberFormat="1" applyFont="1" applyBorder="1" applyAlignment="1"/>
    <xf numFmtId="176" fontId="38" fillId="0" borderId="12" xfId="0" applyNumberFormat="1" applyFont="1" applyBorder="1" applyAlignment="1">
      <alignment horizontal="center" vertical="center"/>
    </xf>
    <xf numFmtId="0" fontId="34" fillId="0" borderId="0" xfId="44" applyFont="1" applyAlignment="1">
      <alignment horizontal="left"/>
    </xf>
    <xf numFmtId="0" fontId="37" fillId="0" borderId="0" xfId="44" applyFont="1" applyAlignment="1">
      <alignment horizontal="left"/>
    </xf>
    <xf numFmtId="0" fontId="38" fillId="0" borderId="32" xfId="44" applyFont="1" applyBorder="1" applyAlignment="1">
      <alignment horizontal="left"/>
    </xf>
    <xf numFmtId="0" fontId="38" fillId="0" borderId="37" xfId="44" applyFont="1" applyBorder="1" applyAlignment="1"/>
    <xf numFmtId="43" fontId="38" fillId="0" borderId="5" xfId="8" applyFont="1" applyBorder="1" applyAlignment="1">
      <alignment horizontal="center"/>
    </xf>
    <xf numFmtId="41" fontId="38" fillId="0" borderId="5" xfId="10" applyFont="1" applyBorder="1" applyAlignment="1">
      <alignment horizontal="right"/>
    </xf>
    <xf numFmtId="41" fontId="38" fillId="0" borderId="26" xfId="10" applyFont="1" applyBorder="1" applyAlignment="1">
      <alignment horizontal="right"/>
    </xf>
    <xf numFmtId="14" fontId="38" fillId="0" borderId="10" xfId="44" applyNumberFormat="1" applyFont="1" applyBorder="1" applyAlignment="1"/>
    <xf numFmtId="41" fontId="38" fillId="0" borderId="10" xfId="10" applyFont="1" applyBorder="1" applyAlignment="1">
      <alignment horizontal="right"/>
    </xf>
    <xf numFmtId="14" fontId="38" fillId="0" borderId="13" xfId="44" applyNumberFormat="1" applyFont="1" applyBorder="1" applyAlignment="1">
      <alignment horizontal="center"/>
    </xf>
    <xf numFmtId="43" fontId="38" fillId="0" borderId="13" xfId="8" applyFont="1" applyBorder="1" applyAlignment="1">
      <alignment horizontal="center"/>
    </xf>
    <xf numFmtId="41" fontId="38" fillId="0" borderId="13" xfId="10" applyFont="1" applyBorder="1" applyAlignment="1">
      <alignment horizontal="right"/>
    </xf>
    <xf numFmtId="0" fontId="38" fillId="0" borderId="38" xfId="44" applyFont="1" applyBorder="1" applyAlignment="1"/>
    <xf numFmtId="0" fontId="38" fillId="0" borderId="39" xfId="44" applyFont="1" applyBorder="1" applyAlignment="1">
      <alignment horizontal="center"/>
    </xf>
    <xf numFmtId="0" fontId="38" fillId="0" borderId="39" xfId="44" applyFont="1" applyBorder="1" applyAlignment="1"/>
    <xf numFmtId="0" fontId="39" fillId="0" borderId="40" xfId="44" applyFont="1" applyBorder="1" applyAlignment="1">
      <alignment horizontal="center"/>
    </xf>
    <xf numFmtId="0" fontId="38" fillId="0" borderId="41" xfId="44" applyFont="1" applyBorder="1" applyAlignment="1"/>
    <xf numFmtId="0" fontId="38" fillId="0" borderId="42" xfId="44" applyFont="1" applyBorder="1" applyAlignment="1"/>
    <xf numFmtId="0" fontId="33" fillId="0" borderId="43" xfId="44" applyBorder="1" applyAlignment="1"/>
    <xf numFmtId="0" fontId="33" fillId="0" borderId="31" xfId="44" applyBorder="1" applyAlignment="1"/>
    <xf numFmtId="0" fontId="38" fillId="0" borderId="44" xfId="44" applyFont="1" applyBorder="1" applyAlignment="1">
      <alignment horizontal="center"/>
    </xf>
    <xf numFmtId="0" fontId="38" fillId="0" borderId="26" xfId="44" applyFont="1" applyBorder="1" applyAlignment="1">
      <alignment horizontal="left"/>
    </xf>
    <xf numFmtId="0" fontId="38" fillId="0" borderId="26" xfId="44" applyFont="1" applyBorder="1" applyAlignment="1">
      <alignment horizontal="center"/>
    </xf>
    <xf numFmtId="0" fontId="38" fillId="0" borderId="26" xfId="44" applyFont="1" applyBorder="1" applyAlignment="1"/>
    <xf numFmtId="0" fontId="33" fillId="0" borderId="45" xfId="44" applyBorder="1" applyAlignment="1">
      <alignment horizontal="center"/>
    </xf>
    <xf numFmtId="0" fontId="33" fillId="0" borderId="45" xfId="44" applyBorder="1" applyAlignment="1"/>
    <xf numFmtId="43" fontId="38" fillId="0" borderId="26" xfId="8" applyFont="1" applyBorder="1" applyAlignment="1">
      <alignment horizontal="center"/>
    </xf>
    <xf numFmtId="0" fontId="38" fillId="0" borderId="46" xfId="44" applyFont="1" applyBorder="1" applyAlignment="1"/>
    <xf numFmtId="41" fontId="38" fillId="0" borderId="47" xfId="10" applyFont="1" applyBorder="1" applyAlignment="1"/>
    <xf numFmtId="14" fontId="38" fillId="0" borderId="26" xfId="44" applyNumberFormat="1" applyFont="1" applyBorder="1" applyAlignment="1">
      <alignment horizontal="center"/>
    </xf>
    <xf numFmtId="43" fontId="43" fillId="0" borderId="45" xfId="8" applyFont="1" applyBorder="1" applyAlignment="1">
      <alignment horizontal="center"/>
    </xf>
    <xf numFmtId="0" fontId="43" fillId="0" borderId="45" xfId="44" applyFont="1" applyBorder="1" applyAlignment="1"/>
    <xf numFmtId="41" fontId="43" fillId="0" borderId="45" xfId="10" applyFont="1" applyBorder="1" applyAlignment="1"/>
    <xf numFmtId="14" fontId="33" fillId="0" borderId="45" xfId="44" applyNumberFormat="1" applyBorder="1" applyAlignment="1">
      <alignment horizontal="center"/>
    </xf>
    <xf numFmtId="43" fontId="5" fillId="0" borderId="0" xfId="8" applyFont="1" applyAlignment="1"/>
    <xf numFmtId="0" fontId="38" fillId="0" borderId="12" xfId="44" applyFont="1" applyBorder="1" applyAlignment="1"/>
    <xf numFmtId="0" fontId="33" fillId="0" borderId="45" xfId="44" applyBorder="1" applyAlignment="1">
      <alignment horizontal="left"/>
    </xf>
    <xf numFmtId="41" fontId="43" fillId="0" borderId="45" xfId="10" applyFont="1" applyBorder="1" applyAlignment="1">
      <alignment horizontal="right"/>
    </xf>
    <xf numFmtId="0" fontId="38" fillId="0" borderId="48" xfId="44" applyFont="1" applyBorder="1" applyAlignment="1"/>
    <xf numFmtId="0" fontId="34" fillId="6" borderId="32" xfId="44" applyFont="1" applyFill="1" applyBorder="1" applyAlignment="1"/>
    <xf numFmtId="0" fontId="34" fillId="6" borderId="10" xfId="44" applyFont="1" applyFill="1" applyBorder="1" applyAlignment="1">
      <alignment horizontal="center"/>
    </xf>
    <xf numFmtId="0" fontId="34" fillId="6" borderId="5" xfId="44" applyFont="1" applyFill="1" applyBorder="1" applyAlignment="1">
      <alignment horizontal="center"/>
    </xf>
    <xf numFmtId="0" fontId="34" fillId="6" borderId="5" xfId="44" applyFont="1" applyFill="1" applyBorder="1" applyAlignment="1"/>
    <xf numFmtId="0" fontId="34" fillId="6" borderId="49" xfId="44" applyFont="1" applyFill="1" applyBorder="1" applyAlignment="1">
      <alignment horizontal="center"/>
    </xf>
    <xf numFmtId="0" fontId="34" fillId="6" borderId="49" xfId="44" applyFont="1" applyFill="1" applyBorder="1" applyAlignment="1"/>
    <xf numFmtId="0" fontId="34" fillId="0" borderId="50" xfId="44" applyFont="1" applyBorder="1" applyAlignment="1">
      <alignment horizontal="center"/>
    </xf>
    <xf numFmtId="0" fontId="34" fillId="0" borderId="16" xfId="44" applyFont="1" applyBorder="1" applyAlignment="1">
      <alignment horizontal="center"/>
    </xf>
    <xf numFmtId="0" fontId="34" fillId="0" borderId="35" xfId="44" applyFont="1" applyBorder="1" applyAlignment="1">
      <alignment horizontal="center"/>
    </xf>
    <xf numFmtId="0" fontId="34" fillId="0" borderId="9" xfId="44" applyFont="1" applyBorder="1" applyAlignment="1">
      <alignment horizontal="center"/>
    </xf>
    <xf numFmtId="0" fontId="34" fillId="0" borderId="51" xfId="44" applyFont="1" applyBorder="1" applyAlignment="1">
      <alignment horizontal="center"/>
    </xf>
    <xf numFmtId="0" fontId="34" fillId="0" borderId="10" xfId="44" applyFont="1" applyBorder="1" applyAlignment="1">
      <alignment horizontal="center"/>
    </xf>
    <xf numFmtId="0" fontId="34" fillId="0" borderId="44" xfId="44" applyFont="1" applyBorder="1" applyAlignment="1">
      <alignment horizontal="center" vertical="center"/>
    </xf>
    <xf numFmtId="15" fontId="34" fillId="0" borderId="12" xfId="0" applyNumberFormat="1" applyFont="1" applyBorder="1" applyAlignment="1">
      <alignment horizontal="center" vertical="center" wrapText="1"/>
    </xf>
    <xf numFmtId="0" fontId="34" fillId="0" borderId="26" xfId="44" applyFont="1" applyBorder="1" applyAlignment="1">
      <alignment horizontal="center" vertical="center" wrapText="1"/>
    </xf>
    <xf numFmtId="0" fontId="34" fillId="0" borderId="26" xfId="44" applyFont="1" applyBorder="1" applyAlignment="1">
      <alignment horizontal="center"/>
    </xf>
    <xf numFmtId="0" fontId="34" fillId="0" borderId="13" xfId="45" applyFont="1" applyBorder="1" applyAlignment="1">
      <alignment horizontal="center" vertical="center" wrapText="1"/>
    </xf>
    <xf numFmtId="175" fontId="34" fillId="0" borderId="12" xfId="9" applyNumberFormat="1" applyFont="1" applyBorder="1" applyAlignment="1">
      <alignment horizontal="center" vertical="center" wrapText="1"/>
    </xf>
    <xf numFmtId="0" fontId="34" fillId="0" borderId="36" xfId="44" applyFont="1" applyBorder="1" applyAlignment="1">
      <alignment horizontal="center" vertical="center"/>
    </xf>
    <xf numFmtId="0" fontId="34" fillId="0" borderId="13" xfId="44" applyFont="1" applyBorder="1" applyAlignment="1">
      <alignment horizontal="center" vertical="center" wrapText="1"/>
    </xf>
    <xf numFmtId="0" fontId="34" fillId="0" borderId="13" xfId="44" applyFont="1" applyBorder="1" applyAlignment="1">
      <alignment horizontal="center"/>
    </xf>
    <xf numFmtId="179" fontId="34" fillId="0" borderId="13" xfId="45" applyNumberFormat="1" applyFont="1" applyBorder="1" applyAlignment="1">
      <alignment horizontal="center" vertical="center"/>
    </xf>
    <xf numFmtId="0" fontId="44" fillId="0" borderId="26" xfId="44" applyFont="1" applyBorder="1" applyAlignment="1">
      <alignment horizontal="center"/>
    </xf>
    <xf numFmtId="0" fontId="34" fillId="0" borderId="26" xfId="45" applyFont="1" applyBorder="1" applyAlignment="1">
      <alignment horizontal="center" vertical="center" wrapText="1"/>
    </xf>
    <xf numFmtId="0" fontId="34" fillId="0" borderId="52" xfId="44" applyFont="1" applyBorder="1" applyAlignment="1">
      <alignment horizontal="center"/>
    </xf>
    <xf numFmtId="0" fontId="34" fillId="0" borderId="47" xfId="44" applyFont="1" applyBorder="1" applyAlignment="1"/>
    <xf numFmtId="0" fontId="34" fillId="0" borderId="47" xfId="44" applyFont="1" applyBorder="1" applyAlignment="1">
      <alignment horizontal="center"/>
    </xf>
    <xf numFmtId="14" fontId="34" fillId="0" borderId="0" xfId="44" applyNumberFormat="1" applyFont="1" applyAlignment="1">
      <alignment horizontal="center"/>
    </xf>
    <xf numFmtId="14" fontId="33" fillId="0" borderId="0" xfId="44" applyNumberFormat="1" applyAlignment="1">
      <alignment horizontal="center"/>
    </xf>
    <xf numFmtId="0" fontId="43" fillId="0" borderId="0" xfId="44" applyFont="1" applyAlignment="1">
      <alignment horizontal="center"/>
    </xf>
    <xf numFmtId="0" fontId="34" fillId="6" borderId="53" xfId="44" applyFont="1" applyFill="1" applyBorder="1" applyAlignment="1"/>
    <xf numFmtId="0" fontId="34" fillId="6" borderId="54" xfId="44" applyFont="1" applyFill="1" applyBorder="1" applyAlignment="1">
      <alignment horizontal="center"/>
    </xf>
    <xf numFmtId="0" fontId="34" fillId="0" borderId="13" xfId="0" applyFont="1" applyBorder="1" applyAlignment="1">
      <alignment vertical="center" wrapText="1"/>
    </xf>
    <xf numFmtId="41" fontId="34" fillId="0" borderId="13" xfId="9" applyNumberFormat="1" applyFont="1" applyBorder="1" applyAlignment="1">
      <alignment horizontal="center" vertical="center" wrapText="1"/>
    </xf>
    <xf numFmtId="15" fontId="34" fillId="0" borderId="55" xfId="0" applyNumberFormat="1" applyFont="1" applyBorder="1" applyAlignment="1">
      <alignment horizontal="center" vertical="center" wrapText="1"/>
    </xf>
    <xf numFmtId="179" fontId="34" fillId="0" borderId="56" xfId="45" applyNumberFormat="1" applyFont="1" applyBorder="1">
      <alignment vertical="center"/>
    </xf>
    <xf numFmtId="0" fontId="34" fillId="0" borderId="13" xfId="45" applyFont="1" applyBorder="1" applyAlignment="1">
      <alignment horizontal="center"/>
    </xf>
    <xf numFmtId="0" fontId="34" fillId="0" borderId="13" xfId="45" applyFont="1" applyBorder="1" applyAlignment="1">
      <alignment horizontal="center" vertical="center"/>
    </xf>
    <xf numFmtId="179" fontId="34" fillId="0" borderId="14" xfId="45" applyNumberFormat="1" applyFont="1" applyBorder="1">
      <alignment vertical="center"/>
    </xf>
    <xf numFmtId="0" fontId="34" fillId="0" borderId="12" xfId="0" applyFont="1" applyBorder="1" applyAlignment="1">
      <alignment vertical="center" wrapText="1"/>
    </xf>
    <xf numFmtId="15" fontId="34" fillId="0" borderId="13" xfId="0" applyNumberFormat="1" applyFont="1" applyBorder="1" applyAlignment="1">
      <alignment horizontal="center" vertical="center" wrapText="1"/>
    </xf>
    <xf numFmtId="179" fontId="34" fillId="0" borderId="13" xfId="45" applyNumberFormat="1" applyFont="1" applyBorder="1">
      <alignment vertical="center"/>
    </xf>
    <xf numFmtId="0" fontId="34" fillId="0" borderId="46" xfId="0" applyFont="1" applyBorder="1" applyAlignment="1">
      <alignment vertical="center" wrapText="1"/>
    </xf>
    <xf numFmtId="0" fontId="34" fillId="0" borderId="26" xfId="44" applyFont="1" applyBorder="1" applyAlignment="1">
      <alignment horizontal="center" vertical="center"/>
    </xf>
    <xf numFmtId="41" fontId="34" fillId="0" borderId="26" xfId="9" applyNumberFormat="1" applyFont="1" applyBorder="1" applyAlignment="1">
      <alignment horizontal="center" vertical="center" wrapText="1"/>
    </xf>
    <xf numFmtId="15" fontId="34" fillId="0" borderId="26" xfId="0" applyNumberFormat="1" applyFont="1" applyBorder="1" applyAlignment="1">
      <alignment horizontal="center" vertical="center" wrapText="1"/>
    </xf>
    <xf numFmtId="0" fontId="34" fillId="0" borderId="57" xfId="44" applyFont="1" applyBorder="1" applyAlignment="1"/>
    <xf numFmtId="41" fontId="34" fillId="0" borderId="47" xfId="10" applyFont="1" applyBorder="1" applyAlignment="1"/>
    <xf numFmtId="41" fontId="5" fillId="0" borderId="0" xfId="10" applyFont="1" applyBorder="1" applyAlignment="1"/>
    <xf numFmtId="0" fontId="43" fillId="0" borderId="0" xfId="44" applyFont="1" applyAlignment="1"/>
    <xf numFmtId="41" fontId="43" fillId="0" borderId="0" xfId="10" applyFont="1" applyBorder="1" applyAlignment="1"/>
    <xf numFmtId="0" fontId="34" fillId="6" borderId="38" xfId="44" applyFont="1" applyFill="1" applyBorder="1" applyAlignment="1"/>
    <xf numFmtId="0" fontId="34" fillId="6" borderId="39" xfId="44" applyFont="1" applyFill="1" applyBorder="1" applyAlignment="1">
      <alignment horizontal="center"/>
    </xf>
    <xf numFmtId="0" fontId="34" fillId="6" borderId="58" xfId="44" applyFont="1" applyFill="1" applyBorder="1" applyAlignment="1">
      <alignment horizontal="center"/>
    </xf>
    <xf numFmtId="0" fontId="34" fillId="0" borderId="59" xfId="44" applyFont="1" applyBorder="1" applyAlignment="1">
      <alignment horizontal="center"/>
    </xf>
    <xf numFmtId="0" fontId="34" fillId="0" borderId="39" xfId="44" applyFont="1" applyBorder="1" applyAlignment="1">
      <alignment horizontal="center"/>
    </xf>
    <xf numFmtId="0" fontId="34" fillId="0" borderId="13" xfId="45" applyFont="1" applyBorder="1" applyAlignment="1">
      <alignment horizontal="left" vertical="center" wrapText="1"/>
    </xf>
    <xf numFmtId="175" fontId="34" fillId="0" borderId="13" xfId="45" applyNumberFormat="1" applyFont="1" applyBorder="1" applyAlignment="1">
      <alignment horizontal="center" vertical="center"/>
    </xf>
    <xf numFmtId="0" fontId="34" fillId="0" borderId="30" xfId="45" applyFont="1" applyBorder="1" applyAlignment="1">
      <alignment horizontal="left" vertical="center" wrapText="1"/>
    </xf>
    <xf numFmtId="41" fontId="34" fillId="0" borderId="13" xfId="9" applyNumberFormat="1" applyFont="1" applyBorder="1" applyAlignment="1">
      <alignment horizontal="center" vertical="center"/>
    </xf>
    <xf numFmtId="41" fontId="34" fillId="0" borderId="13" xfId="45" applyNumberFormat="1" applyFont="1" applyBorder="1" applyAlignment="1">
      <alignment horizontal="center" vertical="center"/>
    </xf>
    <xf numFmtId="179" fontId="34" fillId="0" borderId="42" xfId="45" applyNumberFormat="1" applyFont="1" applyBorder="1">
      <alignment vertical="center"/>
    </xf>
    <xf numFmtId="0" fontId="34" fillId="0" borderId="60" xfId="44" applyFont="1" applyBorder="1" applyAlignment="1">
      <alignment horizontal="left" vertical="center" wrapText="1"/>
    </xf>
    <xf numFmtId="0" fontId="34" fillId="0" borderId="42" xfId="44" applyFont="1" applyBorder="1" applyAlignment="1">
      <alignment horizontal="center"/>
    </xf>
    <xf numFmtId="0" fontId="34" fillId="0" borderId="48" xfId="44" applyFont="1" applyBorder="1" applyAlignment="1">
      <alignment horizontal="center"/>
    </xf>
    <xf numFmtId="41" fontId="34" fillId="0" borderId="47" xfId="10" applyFont="1" applyBorder="1" applyAlignment="1">
      <alignment horizontal="right"/>
    </xf>
    <xf numFmtId="0" fontId="34" fillId="0" borderId="61" xfId="44" applyFont="1" applyBorder="1" applyAlignment="1"/>
    <xf numFmtId="41" fontId="5" fillId="0" borderId="0" xfId="10" applyFont="1" applyBorder="1" applyAlignment="1">
      <alignment horizontal="right"/>
    </xf>
    <xf numFmtId="0" fontId="42" fillId="0" borderId="0" xfId="0" applyFont="1" applyAlignment="1">
      <alignment horizontal="center"/>
    </xf>
    <xf numFmtId="0" fontId="45" fillId="0" borderId="0" xfId="44" applyFont="1" applyAlignment="1"/>
    <xf numFmtId="0" fontId="46" fillId="0" borderId="0" xfId="44" applyFont="1" applyAlignment="1"/>
    <xf numFmtId="41" fontId="43" fillId="0" borderId="0" xfId="10" applyFont="1" applyBorder="1" applyAlignment="1">
      <alignment horizontal="right"/>
    </xf>
    <xf numFmtId="41" fontId="33" fillId="0" borderId="0" xfId="44" applyNumberFormat="1" applyAlignment="1">
      <alignment horizontal="center"/>
    </xf>
    <xf numFmtId="0" fontId="43" fillId="0" borderId="0" xfId="44" applyFont="1">
      <alignment vertical="center"/>
    </xf>
    <xf numFmtId="14" fontId="33" fillId="0" borderId="0" xfId="44" applyNumberFormat="1" applyAlignment="1"/>
    <xf numFmtId="177" fontId="43" fillId="0" borderId="0" xfId="18" applyNumberFormat="1" applyFont="1" applyBorder="1" applyAlignment="1">
      <alignment horizontal="right"/>
    </xf>
    <xf numFmtId="0" fontId="47" fillId="0" borderId="0" xfId="44" applyFont="1" applyAlignment="1"/>
    <xf numFmtId="0" fontId="48" fillId="0" borderId="0" xfId="44" applyFont="1" applyAlignment="1"/>
    <xf numFmtId="41" fontId="43" fillId="0" borderId="0" xfId="44" applyNumberFormat="1" applyFont="1" applyAlignment="1"/>
    <xf numFmtId="41" fontId="43" fillId="0" borderId="0" xfId="44" applyNumberFormat="1" applyFont="1" applyAlignment="1">
      <alignment horizontal="center"/>
    </xf>
    <xf numFmtId="0" fontId="47" fillId="0" borderId="0" xfId="44" applyFont="1" applyAlignment="1">
      <alignment horizontal="center"/>
    </xf>
    <xf numFmtId="0" fontId="49" fillId="0" borderId="6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/>
    </xf>
    <xf numFmtId="0" fontId="7" fillId="0" borderId="63" xfId="0" applyFont="1" applyBorder="1" applyAlignment="1">
      <alignment horizontal="center"/>
    </xf>
    <xf numFmtId="176" fontId="7" fillId="0" borderId="63" xfId="0" applyNumberFormat="1" applyFont="1" applyBorder="1" applyAlignment="1">
      <alignment horizontal="center"/>
    </xf>
    <xf numFmtId="15" fontId="7" fillId="0" borderId="12" xfId="0" applyNumberFormat="1" applyFont="1" applyBorder="1" applyAlignment="1">
      <alignment horizontal="center" vertical="center" wrapText="1"/>
    </xf>
    <xf numFmtId="0" fontId="7" fillId="0" borderId="46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175" fontId="7" fillId="0" borderId="12" xfId="9" applyNumberFormat="1" applyFont="1" applyBorder="1" applyAlignment="1">
      <alignment horizontal="center" vertical="center" wrapText="1"/>
    </xf>
    <xf numFmtId="0" fontId="7" fillId="0" borderId="13" xfId="45" applyFont="1" applyBorder="1" applyAlignment="1">
      <alignment horizontal="center" vertical="center" wrapText="1"/>
    </xf>
    <xf numFmtId="0" fontId="7" fillId="0" borderId="13" xfId="0" applyFont="1" applyBorder="1" applyAlignment="1">
      <alignment vertical="center" wrapText="1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/>
    <xf numFmtId="0" fontId="7" fillId="0" borderId="62" xfId="0" applyFont="1" applyBorder="1" applyAlignment="1"/>
    <xf numFmtId="0" fontId="7" fillId="0" borderId="63" xfId="0" applyFont="1" applyBorder="1" applyAlignment="1"/>
    <xf numFmtId="0" fontId="7" fillId="0" borderId="13" xfId="45" applyFont="1" applyBorder="1" applyAlignment="1">
      <alignment horizontal="left" vertical="center" wrapText="1"/>
    </xf>
    <xf numFmtId="176" fontId="7" fillId="0" borderId="19" xfId="0" applyNumberFormat="1" applyFont="1" applyBorder="1" applyAlignment="1">
      <alignment horizontal="center"/>
    </xf>
    <xf numFmtId="176" fontId="7" fillId="0" borderId="13" xfId="0" applyNumberFormat="1" applyFont="1" applyBorder="1" applyAlignment="1">
      <alignment horizontal="center"/>
    </xf>
    <xf numFmtId="176" fontId="7" fillId="0" borderId="20" xfId="0" applyNumberFormat="1" applyFont="1" applyBorder="1" applyAlignment="1">
      <alignment horizontal="center"/>
    </xf>
    <xf numFmtId="176" fontId="7" fillId="0" borderId="12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7" fillId="0" borderId="64" xfId="0" applyFont="1" applyBorder="1" applyAlignment="1"/>
    <xf numFmtId="0" fontId="3" fillId="0" borderId="16" xfId="0" applyFont="1" applyBorder="1" applyAlignment="1">
      <alignment horizontal="center" vertical="top" wrapText="1"/>
    </xf>
    <xf numFmtId="0" fontId="25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8" fillId="0" borderId="13" xfId="0" applyFont="1" applyBorder="1" applyAlignment="1">
      <alignment horizontal="left"/>
    </xf>
    <xf numFmtId="43" fontId="28" fillId="0" borderId="13" xfId="8" applyFont="1" applyFill="1" applyBorder="1" applyAlignment="1">
      <alignment vertical="center"/>
    </xf>
    <xf numFmtId="15" fontId="28" fillId="0" borderId="13" xfId="0" applyNumberFormat="1" applyFont="1" applyBorder="1" applyAlignment="1">
      <alignment horizontal="center" vertical="center"/>
    </xf>
    <xf numFmtId="15" fontId="28" fillId="0" borderId="13" xfId="0" applyNumberFormat="1" applyFont="1" applyBorder="1" applyAlignment="1">
      <alignment horizontal="center"/>
    </xf>
    <xf numFmtId="43" fontId="28" fillId="0" borderId="25" xfId="44" applyNumberFormat="1" applyFont="1" applyBorder="1" applyAlignment="1">
      <alignment vertical="top"/>
    </xf>
    <xf numFmtId="0" fontId="28" fillId="8" borderId="13" xfId="0" applyFont="1" applyFill="1" applyBorder="1">
      <alignment vertical="center"/>
    </xf>
    <xf numFmtId="43" fontId="28" fillId="8" borderId="13" xfId="8" applyFont="1" applyFill="1" applyBorder="1" applyAlignment="1">
      <alignment horizontal="center"/>
    </xf>
    <xf numFmtId="43" fontId="28" fillId="0" borderId="13" xfId="8" applyFont="1" applyBorder="1" applyAlignment="1">
      <alignment horizontal="center"/>
    </xf>
    <xf numFmtId="43" fontId="28" fillId="0" borderId="26" xfId="8" applyFont="1" applyFill="1" applyBorder="1" applyAlignment="1">
      <alignment vertical="center"/>
    </xf>
    <xf numFmtId="177" fontId="28" fillId="0" borderId="13" xfId="8" applyNumberFormat="1" applyFont="1" applyFill="1" applyBorder="1" applyAlignment="1">
      <alignment vertical="center"/>
    </xf>
    <xf numFmtId="41" fontId="51" fillId="0" borderId="13" xfId="9" applyNumberFormat="1" applyFont="1" applyFill="1" applyBorder="1" applyAlignment="1">
      <alignment horizontal="center" vertical="center"/>
    </xf>
    <xf numFmtId="41" fontId="83" fillId="8" borderId="13" xfId="9" applyNumberFormat="1" applyFont="1" applyFill="1" applyBorder="1" applyAlignment="1">
      <alignment horizontal="center" vertical="center"/>
    </xf>
    <xf numFmtId="0" fontId="28" fillId="8" borderId="13" xfId="0" applyFont="1" applyFill="1" applyBorder="1" applyAlignment="1">
      <alignment horizontal="left" vertical="center" wrapText="1"/>
    </xf>
    <xf numFmtId="0" fontId="28" fillId="0" borderId="12" xfId="0" applyFont="1" applyBorder="1" applyAlignment="1">
      <alignment horizontal="center"/>
    </xf>
    <xf numFmtId="43" fontId="28" fillId="0" borderId="13" xfId="8" applyFont="1" applyFill="1" applyBorder="1" applyAlignment="1">
      <alignment horizontal="right"/>
    </xf>
    <xf numFmtId="41" fontId="28" fillId="0" borderId="13" xfId="9" applyNumberFormat="1" applyFont="1" applyFill="1" applyBorder="1" applyAlignment="1">
      <alignment vertical="center"/>
    </xf>
    <xf numFmtId="177" fontId="28" fillId="0" borderId="13" xfId="0" applyNumberFormat="1" applyFont="1" applyBorder="1">
      <alignment vertical="center"/>
    </xf>
    <xf numFmtId="43" fontId="28" fillId="0" borderId="13" xfId="8" applyFont="1" applyBorder="1" applyAlignment="1">
      <alignment horizontal="right"/>
    </xf>
    <xf numFmtId="177" fontId="28" fillId="0" borderId="13" xfId="8" applyNumberFormat="1" applyFont="1" applyFill="1" applyBorder="1" applyAlignment="1">
      <alignment horizontal="center" vertical="center"/>
    </xf>
    <xf numFmtId="43" fontId="28" fillId="8" borderId="13" xfId="8" applyFont="1" applyFill="1" applyBorder="1" applyAlignment="1">
      <alignment horizontal="right" vertical="center"/>
    </xf>
    <xf numFmtId="0" fontId="28" fillId="0" borderId="28" xfId="41" applyFont="1" applyBorder="1" applyAlignment="1">
      <alignment horizontal="center" vertical="center"/>
    </xf>
    <xf numFmtId="41" fontId="28" fillId="8" borderId="13" xfId="9" applyNumberFormat="1" applyFont="1" applyFill="1" applyBorder="1" applyAlignment="1">
      <alignment vertical="center"/>
    </xf>
    <xf numFmtId="177" fontId="28" fillId="8" borderId="13" xfId="0" applyNumberFormat="1" applyFont="1" applyFill="1" applyBorder="1">
      <alignment vertical="center"/>
    </xf>
    <xf numFmtId="0" fontId="28" fillId="0" borderId="13" xfId="0" applyFont="1" applyBorder="1" applyAlignment="1">
      <alignment horizontal="center" vertical="center"/>
    </xf>
    <xf numFmtId="177" fontId="54" fillId="0" borderId="27" xfId="17" applyNumberFormat="1" applyFont="1" applyFill="1" applyBorder="1" applyAlignment="1">
      <alignment vertical="center"/>
    </xf>
    <xf numFmtId="0" fontId="28" fillId="0" borderId="0" xfId="0" applyFont="1" applyAlignment="1"/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5" fillId="0" borderId="0" xfId="0" applyFont="1" applyAlignment="1"/>
    <xf numFmtId="0" fontId="35" fillId="0" borderId="0" xfId="0" applyFont="1" applyAlignment="1"/>
    <xf numFmtId="0" fontId="35" fillId="0" borderId="0" xfId="0" applyFont="1" applyAlignment="1">
      <alignment horizontal="left"/>
    </xf>
    <xf numFmtId="0" fontId="28" fillId="0" borderId="0" xfId="0" applyFont="1" applyAlignment="1">
      <alignment wrapText="1"/>
    </xf>
    <xf numFmtId="0" fontId="28" fillId="0" borderId="0" xfId="0" applyFont="1" applyAlignment="1">
      <alignment horizontal="left" wrapText="1"/>
    </xf>
    <xf numFmtId="0" fontId="51" fillId="0" borderId="0" xfId="0" applyFont="1" applyAlignment="1"/>
    <xf numFmtId="0" fontId="51" fillId="0" borderId="0" xfId="0" applyFont="1" applyAlignment="1">
      <alignment horizontal="left"/>
    </xf>
    <xf numFmtId="15" fontId="7" fillId="0" borderId="13" xfId="0" applyNumberFormat="1" applyFont="1" applyBorder="1" applyAlignment="1"/>
    <xf numFmtId="0" fontId="51" fillId="0" borderId="13" xfId="0" applyFont="1" applyBorder="1" applyAlignment="1"/>
    <xf numFmtId="0" fontId="51" fillId="8" borderId="13" xfId="0" applyFont="1" applyFill="1" applyBorder="1" applyAlignment="1"/>
    <xf numFmtId="3" fontId="29" fillId="0" borderId="67" xfId="0" applyNumberFormat="1" applyFont="1" applyBorder="1" applyAlignment="1">
      <alignment horizontal="center"/>
    </xf>
    <xf numFmtId="0" fontId="51" fillId="0" borderId="67" xfId="0" applyFont="1" applyBorder="1" applyAlignment="1"/>
    <xf numFmtId="0" fontId="29" fillId="0" borderId="67" xfId="0" applyFont="1" applyBorder="1" applyAlignment="1">
      <alignment horizontal="center"/>
    </xf>
    <xf numFmtId="0" fontId="85" fillId="0" borderId="67" xfId="0" applyFont="1" applyBorder="1" applyAlignment="1"/>
    <xf numFmtId="164" fontId="0" fillId="0" borderId="0" xfId="29" applyNumberFormat="1" applyFont="1" applyAlignment="1"/>
    <xf numFmtId="164" fontId="0" fillId="0" borderId="0" xfId="0" applyNumberFormat="1" applyAlignment="1"/>
    <xf numFmtId="4" fontId="0" fillId="0" borderId="0" xfId="0" applyNumberFormat="1" applyAlignment="1"/>
    <xf numFmtId="4" fontId="86" fillId="0" borderId="0" xfId="0" applyNumberFormat="1" applyFont="1" applyAlignment="1"/>
    <xf numFmtId="4" fontId="8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41" fontId="17" fillId="0" borderId="0" xfId="0" applyNumberFormat="1" applyFont="1" applyAlignment="1"/>
    <xf numFmtId="176" fontId="7" fillId="0" borderId="13" xfId="0" applyNumberFormat="1" applyFont="1" applyBorder="1">
      <alignment vertical="center"/>
    </xf>
    <xf numFmtId="3" fontId="87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3" fontId="0" fillId="0" borderId="0" xfId="0" applyNumberFormat="1" applyAlignment="1"/>
    <xf numFmtId="43" fontId="70" fillId="0" borderId="0" xfId="8" applyFont="1" applyBorder="1" applyAlignment="1">
      <alignment horizontal="right" vertical="center"/>
    </xf>
    <xf numFmtId="180" fontId="28" fillId="0" borderId="13" xfId="8" applyNumberFormat="1" applyFont="1" applyFill="1" applyBorder="1" applyAlignment="1">
      <alignment horizontal="right"/>
    </xf>
    <xf numFmtId="0" fontId="28" fillId="0" borderId="0" xfId="0" applyFont="1">
      <alignment vertical="center"/>
    </xf>
    <xf numFmtId="0" fontId="83" fillId="8" borderId="13" xfId="0" applyFont="1" applyFill="1" applyBorder="1" applyAlignment="1">
      <alignment horizontal="left"/>
    </xf>
    <xf numFmtId="176" fontId="28" fillId="0" borderId="83" xfId="0" applyNumberFormat="1" applyFont="1" applyBorder="1" applyAlignment="1">
      <alignment horizontal="center" vertical="center"/>
    </xf>
    <xf numFmtId="0" fontId="28" fillId="0" borderId="83" xfId="0" applyFont="1" applyBorder="1" applyAlignment="1">
      <alignment horizontal="left"/>
    </xf>
    <xf numFmtId="181" fontId="85" fillId="0" borderId="82" xfId="0" applyNumberFormat="1" applyFont="1" applyBorder="1" applyAlignment="1">
      <alignment horizontal="right" vertical="center"/>
    </xf>
    <xf numFmtId="0" fontId="85" fillId="0" borderId="82" xfId="0" applyFont="1" applyBorder="1" applyAlignment="1">
      <alignment horizontal="left" vertical="center"/>
    </xf>
    <xf numFmtId="41" fontId="85" fillId="0" borderId="82" xfId="0" applyNumberFormat="1" applyFont="1" applyBorder="1">
      <alignment vertical="center"/>
    </xf>
    <xf numFmtId="41" fontId="51" fillId="0" borderId="83" xfId="9" applyNumberFormat="1" applyFont="1" applyFill="1" applyBorder="1" applyAlignment="1">
      <alignment horizontal="center" vertical="center"/>
    </xf>
    <xf numFmtId="0" fontId="28" fillId="0" borderId="83" xfId="0" applyFont="1" applyBorder="1" applyAlignment="1">
      <alignment horizontal="center" vertical="center"/>
    </xf>
    <xf numFmtId="0" fontId="28" fillId="0" borderId="83" xfId="0" applyFont="1" applyBorder="1" applyAlignment="1">
      <alignment horizontal="left" vertical="center"/>
    </xf>
    <xf numFmtId="0" fontId="28" fillId="0" borderId="83" xfId="0" applyFont="1" applyBorder="1" applyAlignment="1">
      <alignment horizontal="center"/>
    </xf>
    <xf numFmtId="0" fontId="1" fillId="0" borderId="0" xfId="45" applyFont="1" applyAlignment="1"/>
    <xf numFmtId="0" fontId="1" fillId="0" borderId="0" xfId="45" applyFont="1" applyAlignment="1">
      <alignment horizontal="center"/>
    </xf>
    <xf numFmtId="183" fontId="1" fillId="0" borderId="0" xfId="45" applyNumberFormat="1" applyFont="1" applyAlignment="1">
      <alignment horizontal="left"/>
    </xf>
    <xf numFmtId="0" fontId="88" fillId="0" borderId="0" xfId="45" applyFont="1" applyAlignment="1">
      <alignment horizontal="center"/>
    </xf>
    <xf numFmtId="0" fontId="89" fillId="0" borderId="0" xfId="45" applyFont="1" applyAlignment="1">
      <alignment horizontal="center"/>
    </xf>
    <xf numFmtId="0" fontId="90" fillId="0" borderId="0" xfId="45" applyFont="1" applyAlignment="1"/>
    <xf numFmtId="0" fontId="90" fillId="0" borderId="0" xfId="45" applyFont="1" applyAlignment="1">
      <alignment horizontal="center"/>
    </xf>
    <xf numFmtId="0" fontId="48" fillId="0" borderId="0" xfId="45" applyFont="1" applyAlignment="1">
      <alignment horizontal="center"/>
    </xf>
    <xf numFmtId="0" fontId="33" fillId="0" borderId="0" xfId="45" applyAlignment="1"/>
    <xf numFmtId="0" fontId="33" fillId="0" borderId="0" xfId="45" applyAlignment="1">
      <alignment horizontal="center"/>
    </xf>
    <xf numFmtId="0" fontId="91" fillId="0" borderId="0" xfId="45" applyFont="1" applyAlignment="1">
      <alignment horizontal="center"/>
    </xf>
    <xf numFmtId="0" fontId="92" fillId="0" borderId="3" xfId="45" applyFont="1" applyBorder="1" applyAlignment="1"/>
    <xf numFmtId="41" fontId="92" fillId="0" borderId="3" xfId="75" applyFont="1" applyBorder="1"/>
    <xf numFmtId="41" fontId="92" fillId="0" borderId="3" xfId="45" applyNumberFormat="1" applyFont="1" applyBorder="1" applyAlignment="1"/>
    <xf numFmtId="0" fontId="93" fillId="0" borderId="3" xfId="45" applyFont="1" applyBorder="1" applyAlignment="1">
      <alignment horizontal="center"/>
    </xf>
    <xf numFmtId="183" fontId="92" fillId="0" borderId="3" xfId="45" applyNumberFormat="1" applyFont="1" applyBorder="1" applyAlignment="1">
      <alignment horizontal="left"/>
    </xf>
    <xf numFmtId="0" fontId="92" fillId="0" borderId="3" xfId="45" applyFont="1" applyBorder="1" applyAlignment="1">
      <alignment horizontal="center"/>
    </xf>
    <xf numFmtId="0" fontId="94" fillId="0" borderId="65" xfId="45" applyFont="1" applyBorder="1" applyAlignment="1">
      <alignment horizontal="left" vertical="center" wrapText="1"/>
    </xf>
    <xf numFmtId="183" fontId="94" fillId="0" borderId="65" xfId="45" applyNumberFormat="1" applyFont="1" applyBorder="1" applyAlignment="1">
      <alignment horizontal="left" vertical="center" wrapText="1"/>
    </xf>
    <xf numFmtId="0" fontId="94" fillId="0" borderId="87" xfId="45" applyFont="1" applyBorder="1" applyAlignment="1">
      <alignment horizontal="left" vertical="center" wrapText="1"/>
    </xf>
    <xf numFmtId="177" fontId="94" fillId="0" borderId="28" xfId="19" applyNumberFormat="1" applyFont="1" applyFill="1" applyBorder="1" applyAlignment="1">
      <alignment vertical="center" wrapText="1"/>
    </xf>
    <xf numFmtId="177" fontId="94" fillId="0" borderId="65" xfId="45" applyNumberFormat="1" applyFont="1" applyBorder="1" applyAlignment="1">
      <alignment vertical="center" wrapText="1"/>
    </xf>
    <xf numFmtId="0" fontId="94" fillId="0" borderId="88" xfId="45" applyFont="1" applyBorder="1" applyAlignment="1">
      <alignment vertical="center" wrapText="1"/>
    </xf>
    <xf numFmtId="0" fontId="94" fillId="0" borderId="89" xfId="45" applyFont="1" applyBorder="1" applyAlignment="1">
      <alignment horizontal="center" vertical="center" wrapText="1"/>
    </xf>
    <xf numFmtId="0" fontId="94" fillId="0" borderId="65" xfId="45" applyFont="1" applyBorder="1" applyAlignment="1">
      <alignment vertical="center" wrapText="1"/>
    </xf>
    <xf numFmtId="0" fontId="94" fillId="0" borderId="65" xfId="45" applyFont="1" applyBorder="1" applyAlignment="1">
      <alignment horizontal="center" vertical="center" wrapText="1"/>
    </xf>
    <xf numFmtId="177" fontId="94" fillId="0" borderId="65" xfId="45" applyNumberFormat="1" applyFont="1" applyBorder="1" applyAlignment="1">
      <alignment horizontal="left" vertical="center" wrapText="1"/>
    </xf>
    <xf numFmtId="0" fontId="94" fillId="0" borderId="28" xfId="45" applyFont="1" applyBorder="1" applyAlignment="1">
      <alignment vertical="center" wrapText="1"/>
    </xf>
    <xf numFmtId="184" fontId="94" fillId="0" borderId="65" xfId="45" applyNumberFormat="1" applyFont="1" applyBorder="1" applyAlignment="1">
      <alignment horizontal="left" vertical="center" wrapText="1"/>
    </xf>
    <xf numFmtId="0" fontId="94" fillId="0" borderId="65" xfId="45" quotePrefix="1" applyFont="1" applyBorder="1" applyAlignment="1">
      <alignment horizontal="center" vertical="center" wrapText="1"/>
    </xf>
    <xf numFmtId="0" fontId="95" fillId="0" borderId="3" xfId="45" applyFont="1" applyBorder="1" applyAlignment="1">
      <alignment horizontal="center"/>
    </xf>
    <xf numFmtId="183" fontId="95" fillId="0" borderId="3" xfId="45" quotePrefix="1" applyNumberFormat="1" applyFont="1" applyBorder="1" applyAlignment="1">
      <alignment horizontal="center"/>
    </xf>
    <xf numFmtId="0" fontId="95" fillId="0" borderId="93" xfId="45" applyFont="1" applyBorder="1" applyAlignment="1">
      <alignment horizontal="center"/>
    </xf>
    <xf numFmtId="0" fontId="14" fillId="0" borderId="0" xfId="45" applyFont="1" applyAlignment="1"/>
    <xf numFmtId="0" fontId="14" fillId="0" borderId="0" xfId="45" applyFont="1" applyAlignment="1">
      <alignment horizontal="center"/>
    </xf>
    <xf numFmtId="183" fontId="14" fillId="0" borderId="0" xfId="45" applyNumberFormat="1" applyFont="1" applyAlignment="1">
      <alignment horizontal="left"/>
    </xf>
    <xf numFmtId="0" fontId="29" fillId="0" borderId="0" xfId="45" applyFont="1" applyAlignment="1"/>
    <xf numFmtId="0" fontId="15" fillId="0" borderId="0" xfId="45" applyFont="1" applyAlignment="1"/>
    <xf numFmtId="0" fontId="15" fillId="0" borderId="0" xfId="45" applyFont="1" applyAlignment="1">
      <alignment horizontal="center"/>
    </xf>
    <xf numFmtId="0" fontId="88" fillId="0" borderId="0" xfId="45" applyFont="1" applyAlignment="1"/>
    <xf numFmtId="0" fontId="89" fillId="0" borderId="0" xfId="45" applyFont="1" applyAlignment="1"/>
    <xf numFmtId="0" fontId="91" fillId="0" borderId="0" xfId="45" applyFont="1" applyAlignment="1"/>
    <xf numFmtId="41" fontId="94" fillId="0" borderId="65" xfId="45" applyNumberFormat="1" applyFont="1" applyBorder="1" applyAlignment="1">
      <alignment vertical="center" wrapText="1"/>
    </xf>
    <xf numFmtId="177" fontId="94" fillId="0" borderId="28" xfId="19" applyNumberFormat="1" applyFont="1" applyBorder="1" applyAlignment="1">
      <alignment vertical="center" wrapText="1"/>
    </xf>
    <xf numFmtId="0" fontId="94" fillId="0" borderId="89" xfId="45" applyFont="1" applyBorder="1" applyAlignment="1">
      <alignment vertical="center" wrapText="1"/>
    </xf>
    <xf numFmtId="183" fontId="94" fillId="0" borderId="87" xfId="45" applyNumberFormat="1" applyFont="1" applyBorder="1" applyAlignment="1">
      <alignment horizontal="left" vertical="center" wrapText="1"/>
    </xf>
    <xf numFmtId="177" fontId="94" fillId="0" borderId="100" xfId="19" applyNumberFormat="1" applyFont="1" applyBorder="1" applyAlignment="1">
      <alignment vertical="center" wrapText="1"/>
    </xf>
    <xf numFmtId="177" fontId="94" fillId="0" borderId="87" xfId="45" applyNumberFormat="1" applyFont="1" applyBorder="1" applyAlignment="1">
      <alignment vertical="center" wrapText="1"/>
    </xf>
    <xf numFmtId="0" fontId="94" fillId="0" borderId="94" xfId="45" applyFont="1" applyBorder="1" applyAlignment="1">
      <alignment vertical="center" wrapText="1"/>
    </xf>
    <xf numFmtId="0" fontId="94" fillId="0" borderId="95" xfId="45" applyFont="1" applyBorder="1" applyAlignment="1">
      <alignment vertical="center" wrapText="1"/>
    </xf>
    <xf numFmtId="0" fontId="94" fillId="0" borderId="87" xfId="45" applyFont="1" applyBorder="1" applyAlignment="1">
      <alignment vertical="center" wrapText="1"/>
    </xf>
    <xf numFmtId="0" fontId="94" fillId="0" borderId="87" xfId="45" applyFont="1" applyBorder="1" applyAlignment="1">
      <alignment horizontal="center" vertical="center" wrapText="1"/>
    </xf>
    <xf numFmtId="0" fontId="94" fillId="0" borderId="101" xfId="45" applyFont="1" applyBorder="1" applyAlignment="1">
      <alignment vertical="center" wrapText="1"/>
    </xf>
    <xf numFmtId="0" fontId="94" fillId="0" borderId="102" xfId="45" applyFont="1" applyBorder="1" applyAlignment="1">
      <alignment vertical="center" wrapText="1"/>
    </xf>
    <xf numFmtId="0" fontId="0" fillId="9" borderId="0" xfId="0" applyFill="1" applyAlignment="1"/>
    <xf numFmtId="0" fontId="94" fillId="0" borderId="103" xfId="45" applyFont="1" applyBorder="1" applyAlignment="1">
      <alignment horizontal="left" vertical="center" wrapText="1"/>
    </xf>
    <xf numFmtId="177" fontId="94" fillId="0" borderId="104" xfId="19" applyNumberFormat="1" applyFont="1" applyBorder="1" applyAlignment="1">
      <alignment vertical="center" wrapText="1"/>
    </xf>
    <xf numFmtId="177" fontId="94" fillId="0" borderId="103" xfId="45" applyNumberFormat="1" applyFont="1" applyBorder="1" applyAlignment="1">
      <alignment vertical="center" wrapText="1"/>
    </xf>
    <xf numFmtId="0" fontId="94" fillId="0" borderId="104" xfId="45" applyFont="1" applyBorder="1" applyAlignment="1">
      <alignment vertical="center" wrapText="1"/>
    </xf>
    <xf numFmtId="0" fontId="94" fillId="0" borderId="105" xfId="45" applyFont="1" applyBorder="1" applyAlignment="1">
      <alignment vertical="center" wrapText="1"/>
    </xf>
    <xf numFmtId="0" fontId="94" fillId="0" borderId="103" xfId="45" applyFont="1" applyBorder="1" applyAlignment="1">
      <alignment vertical="center" wrapText="1"/>
    </xf>
    <xf numFmtId="183" fontId="94" fillId="0" borderId="103" xfId="45" applyNumberFormat="1" applyFont="1" applyBorder="1" applyAlignment="1">
      <alignment horizontal="left" vertical="center" wrapText="1"/>
    </xf>
    <xf numFmtId="0" fontId="94" fillId="0" borderId="103" xfId="45" applyFont="1" applyBorder="1" applyAlignment="1">
      <alignment horizontal="center" vertical="center" wrapText="1"/>
    </xf>
    <xf numFmtId="0" fontId="94" fillId="0" borderId="106" xfId="45" applyFont="1" applyBorder="1" applyAlignment="1">
      <alignment horizontal="left" vertical="center" wrapText="1"/>
    </xf>
    <xf numFmtId="0" fontId="76" fillId="9" borderId="0" xfId="0" applyFont="1" applyFill="1">
      <alignment vertical="center"/>
    </xf>
    <xf numFmtId="0" fontId="83" fillId="0" borderId="13" xfId="0" applyFont="1" applyBorder="1" applyAlignment="1">
      <alignment horizontal="left"/>
    </xf>
    <xf numFmtId="43" fontId="7" fillId="0" borderId="10" xfId="8" applyFont="1" applyFill="1" applyBorder="1" applyAlignment="1">
      <alignment horizontal="right" vertical="center"/>
    </xf>
    <xf numFmtId="43" fontId="28" fillId="0" borderId="10" xfId="8" applyFont="1" applyFill="1" applyBorder="1" applyAlignment="1">
      <alignment horizontal="right" vertical="center"/>
    </xf>
    <xf numFmtId="0" fontId="28" fillId="0" borderId="0" xfId="0" applyFont="1" applyAlignment="1">
      <alignment horizontal="center" vertical="center"/>
    </xf>
    <xf numFmtId="176" fontId="28" fillId="8" borderId="13" xfId="0" applyNumberFormat="1" applyFont="1" applyFill="1" applyBorder="1" applyAlignment="1">
      <alignment horizontal="center" vertical="center"/>
    </xf>
    <xf numFmtId="15" fontId="28" fillId="8" borderId="13" xfId="0" applyNumberFormat="1" applyFont="1" applyFill="1" applyBorder="1" applyAlignment="1">
      <alignment horizontal="center" vertical="center"/>
    </xf>
    <xf numFmtId="2" fontId="0" fillId="0" borderId="55" xfId="0" applyNumberFormat="1" applyBorder="1" applyAlignment="1">
      <alignment horizontal="right" vertical="center"/>
    </xf>
    <xf numFmtId="41" fontId="0" fillId="0" borderId="56" xfId="0" applyNumberFormat="1" applyBorder="1" applyAlignment="1">
      <alignment horizontal="center" vertical="center"/>
    </xf>
    <xf numFmtId="0" fontId="38" fillId="0" borderId="51" xfId="44" applyFont="1" applyBorder="1" applyAlignment="1">
      <alignment horizontal="center"/>
    </xf>
    <xf numFmtId="0" fontId="38" fillId="0" borderId="37" xfId="44" applyFont="1" applyBorder="1" applyAlignment="1">
      <alignment horizontal="center"/>
    </xf>
    <xf numFmtId="0" fontId="96" fillId="0" borderId="0" xfId="0" applyFont="1" applyAlignment="1"/>
    <xf numFmtId="0" fontId="38" fillId="0" borderId="14" xfId="44" applyFont="1" applyBorder="1" applyAlignment="1">
      <alignment horizontal="center"/>
    </xf>
    <xf numFmtId="0" fontId="38" fillId="0" borderId="18" xfId="44" applyFont="1" applyBorder="1" applyAlignment="1">
      <alignment horizontal="center"/>
    </xf>
    <xf numFmtId="0" fontId="39" fillId="0" borderId="7" xfId="44" applyFont="1" applyBorder="1" applyAlignment="1">
      <alignment horizontal="center"/>
    </xf>
    <xf numFmtId="0" fontId="38" fillId="0" borderId="4" xfId="44" applyFont="1" applyBorder="1" applyAlignment="1">
      <alignment horizontal="left"/>
    </xf>
    <xf numFmtId="0" fontId="38" fillId="0" borderId="9" xfId="44" applyFont="1" applyBorder="1" applyAlignment="1">
      <alignment horizontal="left"/>
    </xf>
    <xf numFmtId="0" fontId="38" fillId="0" borderId="12" xfId="44" applyFont="1" applyBorder="1" applyAlignment="1">
      <alignment horizontal="left"/>
    </xf>
    <xf numFmtId="0" fontId="38" fillId="0" borderId="46" xfId="44" applyFont="1" applyBorder="1" applyAlignment="1">
      <alignment horizontal="left"/>
    </xf>
    <xf numFmtId="0" fontId="38" fillId="0" borderId="66" xfId="44" applyFont="1" applyBorder="1" applyAlignment="1">
      <alignment horizontal="center"/>
    </xf>
    <xf numFmtId="43" fontId="54" fillId="0" borderId="27" xfId="8" applyFont="1" applyFill="1" applyBorder="1" applyAlignment="1">
      <alignment vertical="center"/>
    </xf>
    <xf numFmtId="0" fontId="7" fillId="0" borderId="64" xfId="0" applyFont="1" applyBorder="1" applyAlignment="1">
      <alignment horizontal="center"/>
    </xf>
    <xf numFmtId="15" fontId="7" fillId="0" borderId="22" xfId="0" applyNumberFormat="1" applyFont="1" applyBorder="1" applyAlignment="1"/>
    <xf numFmtId="15" fontId="7" fillId="0" borderId="0" xfId="0" applyNumberFormat="1" applyFont="1" applyAlignment="1"/>
    <xf numFmtId="0" fontId="0" fillId="0" borderId="13" xfId="0" applyBorder="1" applyAlignment="1"/>
    <xf numFmtId="0" fontId="0" fillId="0" borderId="30" xfId="0" applyBorder="1" applyAlignment="1"/>
    <xf numFmtId="43" fontId="28" fillId="0" borderId="83" xfId="8" applyFont="1" applyFill="1" applyBorder="1" applyAlignment="1">
      <alignment horizontal="right" vertical="center"/>
    </xf>
    <xf numFmtId="0" fontId="28" fillId="0" borderId="83" xfId="0" applyFont="1" applyBorder="1" applyAlignment="1">
      <alignment horizontal="center" vertical="center" wrapText="1"/>
    </xf>
    <xf numFmtId="41" fontId="28" fillId="0" borderId="13" xfId="9" applyNumberFormat="1" applyFont="1" applyFill="1" applyBorder="1" applyAlignment="1">
      <alignment horizontal="right" vertical="center"/>
    </xf>
    <xf numFmtId="177" fontId="28" fillId="0" borderId="13" xfId="0" applyNumberFormat="1" applyFont="1" applyBorder="1" applyAlignment="1">
      <alignment horizontal="right" vertical="center" indent="1"/>
    </xf>
    <xf numFmtId="43" fontId="28" fillId="0" borderId="13" xfId="8" applyFont="1" applyFill="1" applyBorder="1" applyAlignment="1">
      <alignment horizontal="right" vertical="center" indent="1"/>
    </xf>
    <xf numFmtId="41" fontId="28" fillId="0" borderId="13" xfId="9" applyNumberFormat="1" applyFont="1" applyFill="1" applyBorder="1" applyAlignment="1">
      <alignment horizontal="right" vertical="center" indent="1"/>
    </xf>
    <xf numFmtId="0" fontId="28" fillId="0" borderId="10" xfId="0" applyFont="1" applyBorder="1" applyAlignment="1">
      <alignment horizontal="center"/>
    </xf>
    <xf numFmtId="0" fontId="28" fillId="0" borderId="10" xfId="0" applyFont="1" applyBorder="1" applyAlignment="1">
      <alignment horizontal="left"/>
    </xf>
    <xf numFmtId="181" fontId="28" fillId="0" borderId="10" xfId="0" applyNumberFormat="1" applyFont="1" applyBorder="1" applyAlignment="1">
      <alignment horizontal="right"/>
    </xf>
    <xf numFmtId="41" fontId="28" fillId="0" borderId="10" xfId="0" applyNumberFormat="1" applyFont="1" applyBorder="1" applyAlignment="1">
      <alignment horizontal="right"/>
    </xf>
    <xf numFmtId="181" fontId="28" fillId="0" borderId="13" xfId="0" applyNumberFormat="1" applyFont="1" applyBorder="1" applyAlignment="1">
      <alignment horizontal="right"/>
    </xf>
    <xf numFmtId="41" fontId="28" fillId="0" borderId="13" xfId="0" applyNumberFormat="1" applyFont="1" applyBorder="1" applyAlignment="1">
      <alignment horizontal="right"/>
    </xf>
    <xf numFmtId="182" fontId="28" fillId="0" borderId="13" xfId="0" applyNumberFormat="1" applyFont="1" applyBorder="1" applyAlignment="1">
      <alignment horizontal="center"/>
    </xf>
    <xf numFmtId="182" fontId="28" fillId="0" borderId="83" xfId="0" applyNumberFormat="1" applyFont="1" applyBorder="1" applyAlignment="1">
      <alignment horizontal="center"/>
    </xf>
    <xf numFmtId="181" fontId="28" fillId="0" borderId="83" xfId="0" applyNumberFormat="1" applyFont="1" applyBorder="1" applyAlignment="1">
      <alignment horizontal="right"/>
    </xf>
    <xf numFmtId="41" fontId="28" fillId="0" borderId="83" xfId="0" applyNumberFormat="1" applyFont="1" applyBorder="1" applyAlignment="1">
      <alignment horizontal="right"/>
    </xf>
    <xf numFmtId="0" fontId="5" fillId="0" borderId="26" xfId="0" applyFont="1" applyBorder="1" applyAlignment="1">
      <alignment horizontal="left"/>
    </xf>
    <xf numFmtId="0" fontId="7" fillId="0" borderId="0" xfId="0" applyFont="1" applyAlignment="1">
      <alignment horizontal="left" vertical="center"/>
    </xf>
    <xf numFmtId="41" fontId="7" fillId="0" borderId="51" xfId="9" applyNumberFormat="1" applyFont="1" applyFill="1" applyBorder="1" applyAlignment="1">
      <alignment vertical="center"/>
    </xf>
    <xf numFmtId="15" fontId="0" fillId="0" borderId="12" xfId="0" applyNumberFormat="1" applyBorder="1" applyAlignment="1"/>
    <xf numFmtId="43" fontId="7" fillId="0" borderId="30" xfId="8" applyFont="1" applyFill="1" applyBorder="1" applyAlignment="1">
      <alignment horizontal="right" vertical="center"/>
    </xf>
    <xf numFmtId="43" fontId="7" fillId="0" borderId="12" xfId="8" applyFont="1" applyFill="1" applyBorder="1" applyAlignment="1">
      <alignment horizontal="left" vertical="center"/>
    </xf>
    <xf numFmtId="43" fontId="38" fillId="0" borderId="13" xfId="44" applyNumberFormat="1" applyFont="1" applyBorder="1" applyAlignment="1">
      <alignment horizontal="left"/>
    </xf>
    <xf numFmtId="43" fontId="38" fillId="0" borderId="13" xfId="44" applyNumberFormat="1" applyFont="1" applyBorder="1" applyAlignment="1"/>
    <xf numFmtId="176" fontId="28" fillId="0" borderId="51" xfId="0" applyNumberFormat="1" applyFont="1" applyBorder="1" applyAlignment="1">
      <alignment horizontal="center" vertical="center"/>
    </xf>
    <xf numFmtId="177" fontId="28" fillId="0" borderId="51" xfId="8" applyNumberFormat="1" applyFont="1" applyFill="1" applyBorder="1" applyAlignment="1">
      <alignment horizontal="center" vertical="top" wrapText="1"/>
    </xf>
    <xf numFmtId="0" fontId="85" fillId="0" borderId="13" xfId="0" applyFont="1" applyBorder="1" applyAlignment="1">
      <alignment horizontal="center" vertical="center" wrapText="1"/>
    </xf>
    <xf numFmtId="177" fontId="28" fillId="0" borderId="13" xfId="0" applyNumberFormat="1" applyFont="1" applyBorder="1" applyAlignment="1">
      <alignment horizontal="right"/>
    </xf>
    <xf numFmtId="0" fontId="83" fillId="8" borderId="13" xfId="0" applyFont="1" applyFill="1" applyBorder="1">
      <alignment vertical="center"/>
    </xf>
    <xf numFmtId="0" fontId="83" fillId="0" borderId="13" xfId="0" applyFont="1" applyBorder="1" applyAlignment="1">
      <alignment wrapText="1"/>
    </xf>
    <xf numFmtId="176" fontId="28" fillId="0" borderId="64" xfId="0" applyNumberFormat="1" applyFont="1" applyBorder="1" applyAlignment="1">
      <alignment horizontal="center" vertical="center"/>
    </xf>
    <xf numFmtId="0" fontId="28" fillId="0" borderId="64" xfId="0" applyFont="1" applyBorder="1" applyAlignment="1">
      <alignment horizontal="left"/>
    </xf>
    <xf numFmtId="0" fontId="28" fillId="0" borderId="64" xfId="0" applyFont="1" applyBorder="1">
      <alignment vertical="center"/>
    </xf>
    <xf numFmtId="43" fontId="28" fillId="0" borderId="64" xfId="8" applyFont="1" applyBorder="1" applyAlignment="1">
      <alignment horizontal="right"/>
    </xf>
    <xf numFmtId="41" fontId="28" fillId="0" borderId="64" xfId="9" applyNumberFormat="1" applyFont="1" applyFill="1" applyBorder="1" applyAlignment="1">
      <alignment vertical="center"/>
    </xf>
    <xf numFmtId="177" fontId="28" fillId="0" borderId="64" xfId="8" applyNumberFormat="1" applyFont="1" applyFill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83" fillId="0" borderId="83" xfId="0" applyFont="1" applyBorder="1" applyAlignment="1">
      <alignment horizontal="left" vertical="center"/>
    </xf>
    <xf numFmtId="0" fontId="7" fillId="8" borderId="0" xfId="0" applyFont="1" applyFill="1" applyAlignment="1">
      <alignment horizontal="center" vertical="center"/>
    </xf>
    <xf numFmtId="15" fontId="38" fillId="0" borderId="12" xfId="0" applyNumberFormat="1" applyFont="1" applyBorder="1" applyAlignment="1">
      <alignment horizontal="center" vertical="center" wrapText="1"/>
    </xf>
    <xf numFmtId="15" fontId="38" fillId="0" borderId="14" xfId="0" applyNumberFormat="1" applyFont="1" applyBorder="1" applyAlignment="1">
      <alignment horizontal="center" vertical="center" wrapText="1"/>
    </xf>
    <xf numFmtId="41" fontId="41" fillId="0" borderId="12" xfId="9" applyNumberFormat="1" applyFont="1" applyBorder="1" applyAlignment="1"/>
    <xf numFmtId="0" fontId="38" fillId="0" borderId="12" xfId="44" applyFont="1" applyBorder="1" applyAlignment="1">
      <alignment horizontal="center"/>
    </xf>
    <xf numFmtId="14" fontId="38" fillId="0" borderId="12" xfId="44" applyNumberFormat="1" applyFont="1" applyBorder="1" applyAlignment="1">
      <alignment horizontal="center"/>
    </xf>
    <xf numFmtId="43" fontId="38" fillId="0" borderId="12" xfId="8" applyFont="1" applyBorder="1" applyAlignment="1">
      <alignment horizontal="center"/>
    </xf>
    <xf numFmtId="41" fontId="38" fillId="0" borderId="12" xfId="10" applyFont="1" applyBorder="1" applyAlignment="1">
      <alignment horizontal="right"/>
    </xf>
    <xf numFmtId="41" fontId="38" fillId="0" borderId="13" xfId="44" applyNumberFormat="1" applyFont="1" applyBorder="1" applyAlignment="1"/>
    <xf numFmtId="0" fontId="99" fillId="0" borderId="65" xfId="0" applyFont="1" applyBorder="1" applyAlignment="1">
      <alignment horizontal="center" vertical="center"/>
    </xf>
    <xf numFmtId="0" fontId="99" fillId="0" borderId="65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102" fillId="8" borderId="13" xfId="0" applyFont="1" applyFill="1" applyBorder="1" applyAlignment="1">
      <alignment horizontal="center"/>
    </xf>
    <xf numFmtId="0" fontId="105" fillId="0" borderId="0" xfId="0" applyFont="1" applyAlignment="1"/>
    <xf numFmtId="0" fontId="28" fillId="0" borderId="10" xfId="0" applyFont="1" applyBorder="1" applyAlignment="1">
      <alignment horizontal="left" vertical="center"/>
    </xf>
    <xf numFmtId="176" fontId="83" fillId="0" borderId="13" xfId="0" applyNumberFormat="1" applyFont="1" applyBorder="1" applyAlignment="1">
      <alignment horizontal="center" vertical="center"/>
    </xf>
    <xf numFmtId="176" fontId="83" fillId="0" borderId="51" xfId="0" applyNumberFormat="1" applyFont="1" applyBorder="1" applyAlignment="1">
      <alignment horizontal="center" vertical="center"/>
    </xf>
    <xf numFmtId="176" fontId="83" fillId="0" borderId="0" xfId="0" applyNumberFormat="1" applyFont="1" applyAlignment="1">
      <alignment horizontal="center" vertical="center"/>
    </xf>
    <xf numFmtId="176" fontId="28" fillId="0" borderId="10" xfId="0" applyNumberFormat="1" applyFont="1" applyBorder="1" applyAlignment="1">
      <alignment horizontal="center" vertical="center"/>
    </xf>
    <xf numFmtId="0" fontId="99" fillId="0" borderId="65" xfId="0" applyFont="1" applyBorder="1" applyAlignment="1">
      <alignment horizontal="left"/>
    </xf>
    <xf numFmtId="181" fontId="99" fillId="0" borderId="65" xfId="0" applyNumberFormat="1" applyFont="1" applyBorder="1" applyAlignment="1">
      <alignment horizontal="right"/>
    </xf>
    <xf numFmtId="41" fontId="99" fillId="0" borderId="65" xfId="0" applyNumberFormat="1" applyFont="1" applyBorder="1" applyAlignment="1">
      <alignment horizontal="right"/>
    </xf>
    <xf numFmtId="182" fontId="99" fillId="0" borderId="65" xfId="0" applyNumberFormat="1" applyFont="1" applyBorder="1" applyAlignment="1">
      <alignment horizontal="center"/>
    </xf>
    <xf numFmtId="2" fontId="0" fillId="0" borderId="51" xfId="0" applyNumberFormat="1" applyBorder="1" applyAlignment="1">
      <alignment horizontal="left"/>
    </xf>
    <xf numFmtId="0" fontId="7" fillId="0" borderId="51" xfId="0" applyFont="1" applyBorder="1" applyAlignment="1">
      <alignment horizontal="left"/>
    </xf>
    <xf numFmtId="15" fontId="7" fillId="0" borderId="19" xfId="0" applyNumberFormat="1" applyFont="1" applyBorder="1" applyAlignment="1"/>
    <xf numFmtId="0" fontId="106" fillId="0" borderId="13" xfId="0" applyFont="1" applyBorder="1">
      <alignment vertical="center"/>
    </xf>
    <xf numFmtId="0" fontId="7" fillId="0" borderId="49" xfId="0" applyFont="1" applyBorder="1" applyAlignment="1">
      <alignment horizontal="center"/>
    </xf>
    <xf numFmtId="15" fontId="0" fillId="0" borderId="49" xfId="0" applyNumberFormat="1" applyBorder="1" applyAlignment="1">
      <alignment horizontal="center"/>
    </xf>
    <xf numFmtId="0" fontId="0" fillId="0" borderId="49" xfId="0" applyBorder="1" applyAlignment="1"/>
    <xf numFmtId="0" fontId="7" fillId="0" borderId="47" xfId="0" applyFont="1" applyBorder="1" applyAlignment="1">
      <alignment horizontal="center"/>
    </xf>
    <xf numFmtId="0" fontId="7" fillId="0" borderId="47" xfId="0" applyFont="1" applyBorder="1" applyAlignment="1"/>
    <xf numFmtId="15" fontId="7" fillId="0" borderId="49" xfId="0" applyNumberFormat="1" applyFont="1" applyBorder="1" applyAlignment="1">
      <alignment horizontal="center"/>
    </xf>
    <xf numFmtId="0" fontId="7" fillId="0" borderId="49" xfId="0" applyFont="1" applyBorder="1" applyAlignment="1">
      <alignment horizontal="left" vertical="top" wrapText="1"/>
    </xf>
    <xf numFmtId="15" fontId="7" fillId="0" borderId="49" xfId="0" applyNumberFormat="1" applyFont="1" applyBorder="1" applyAlignment="1"/>
    <xf numFmtId="2" fontId="7" fillId="0" borderId="107" xfId="0" applyNumberFormat="1" applyFont="1" applyBorder="1" applyAlignment="1">
      <alignment horizontal="right"/>
    </xf>
    <xf numFmtId="2" fontId="0" fillId="0" borderId="108" xfId="0" applyNumberFormat="1" applyBorder="1" applyAlignment="1">
      <alignment horizontal="left"/>
    </xf>
    <xf numFmtId="175" fontId="7" fillId="0" borderId="107" xfId="9" applyNumberFormat="1" applyFont="1" applyBorder="1" applyAlignment="1">
      <alignment horizontal="right"/>
    </xf>
    <xf numFmtId="0" fontId="7" fillId="0" borderId="108" xfId="0" applyFont="1" applyBorder="1" applyAlignment="1">
      <alignment horizontal="left"/>
    </xf>
    <xf numFmtId="0" fontId="7" fillId="0" borderId="45" xfId="0" applyFont="1" applyBorder="1" applyAlignment="1">
      <alignment horizontal="center"/>
    </xf>
    <xf numFmtId="0" fontId="107" fillId="0" borderId="0" xfId="0" applyFont="1" applyAlignment="1"/>
    <xf numFmtId="0" fontId="108" fillId="0" borderId="0" xfId="0" applyFont="1" applyAlignment="1"/>
    <xf numFmtId="0" fontId="99" fillId="0" borderId="0" xfId="0" applyFont="1" applyAlignment="1">
      <alignment horizontal="center"/>
    </xf>
    <xf numFmtId="0" fontId="99" fillId="0" borderId="0" xfId="0" applyFont="1" applyAlignment="1">
      <alignment horizontal="center" vertical="center"/>
    </xf>
    <xf numFmtId="182" fontId="99" fillId="0" borderId="0" xfId="0" applyNumberFormat="1" applyFont="1" applyAlignment="1">
      <alignment horizontal="center"/>
    </xf>
    <xf numFmtId="0" fontId="99" fillId="0" borderId="0" xfId="0" applyFont="1" applyAlignment="1">
      <alignment horizontal="left"/>
    </xf>
    <xf numFmtId="181" fontId="99" fillId="0" borderId="0" xfId="0" applyNumberFormat="1" applyFont="1" applyAlignment="1">
      <alignment horizontal="right"/>
    </xf>
    <xf numFmtId="41" fontId="99" fillId="0" borderId="0" xfId="0" applyNumberFormat="1" applyFont="1" applyAlignment="1">
      <alignment horizontal="right"/>
    </xf>
    <xf numFmtId="0" fontId="28" fillId="0" borderId="102" xfId="41" applyFont="1" applyBorder="1" applyAlignment="1">
      <alignment horizontal="center" vertical="center"/>
    </xf>
    <xf numFmtId="41" fontId="28" fillId="0" borderId="109" xfId="9" applyNumberFormat="1" applyFont="1" applyFill="1" applyBorder="1" applyAlignment="1">
      <alignment vertical="center"/>
    </xf>
    <xf numFmtId="41" fontId="28" fillId="0" borderId="110" xfId="9" applyNumberFormat="1" applyFont="1" applyFill="1" applyBorder="1" applyAlignment="1">
      <alignment vertical="center"/>
    </xf>
    <xf numFmtId="41" fontId="28" fillId="0" borderId="29" xfId="9" applyNumberFormat="1" applyFont="1" applyFill="1" applyBorder="1" applyAlignment="1">
      <alignment vertical="center"/>
    </xf>
    <xf numFmtId="0" fontId="51" fillId="8" borderId="19" xfId="0" applyFont="1" applyFill="1" applyBorder="1" applyAlignment="1"/>
    <xf numFmtId="0" fontId="7" fillId="0" borderId="30" xfId="0" applyFont="1" applyBorder="1">
      <alignment vertical="center"/>
    </xf>
    <xf numFmtId="43" fontId="7" fillId="0" borderId="10" xfId="8" applyFont="1" applyFill="1" applyBorder="1" applyAlignment="1">
      <alignment horizontal="right"/>
    </xf>
    <xf numFmtId="0" fontId="7" fillId="0" borderId="0" xfId="0" applyFont="1" applyAlignment="1">
      <alignment horizontal="left" vertical="center" wrapText="1"/>
    </xf>
    <xf numFmtId="41" fontId="7" fillId="0" borderId="66" xfId="9" applyNumberFormat="1" applyFont="1" applyFill="1" applyBorder="1" applyAlignment="1">
      <alignment vertical="center"/>
    </xf>
    <xf numFmtId="0" fontId="51" fillId="0" borderId="65" xfId="0" applyFont="1" applyBorder="1" applyAlignment="1"/>
    <xf numFmtId="181" fontId="28" fillId="0" borderId="65" xfId="23" applyNumberFormat="1" applyFont="1" applyBorder="1" applyAlignment="1">
      <alignment horizontal="right" vertical="center"/>
    </xf>
    <xf numFmtId="43" fontId="28" fillId="0" borderId="65" xfId="23" applyFont="1" applyBorder="1" applyAlignment="1">
      <alignment horizontal="center"/>
    </xf>
    <xf numFmtId="41" fontId="28" fillId="0" borderId="65" xfId="23" applyNumberFormat="1" applyFont="1" applyBorder="1" applyAlignment="1">
      <alignment horizontal="center"/>
    </xf>
    <xf numFmtId="41" fontId="28" fillId="0" borderId="65" xfId="9" applyNumberFormat="1" applyFont="1" applyFill="1" applyBorder="1" applyAlignment="1">
      <alignment horizontal="right" vertical="center"/>
    </xf>
    <xf numFmtId="181" fontId="83" fillId="0" borderId="65" xfId="0" applyNumberFormat="1" applyFont="1" applyBorder="1" applyAlignment="1">
      <alignment horizontal="right" vertical="center"/>
    </xf>
    <xf numFmtId="43" fontId="28" fillId="0" borderId="65" xfId="23" applyFont="1" applyFill="1" applyBorder="1" applyAlignment="1">
      <alignment horizontal="center"/>
    </xf>
    <xf numFmtId="176" fontId="28" fillId="0" borderId="82" xfId="0" applyNumberFormat="1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103" fillId="0" borderId="93" xfId="0" applyFont="1" applyBorder="1" applyAlignment="1"/>
    <xf numFmtId="43" fontId="103" fillId="0" borderId="93" xfId="8" applyFont="1" applyBorder="1" applyAlignment="1">
      <alignment horizontal="center"/>
    </xf>
    <xf numFmtId="0" fontId="103" fillId="0" borderId="93" xfId="0" applyFont="1" applyBorder="1" applyAlignment="1">
      <alignment horizontal="center" wrapText="1"/>
    </xf>
    <xf numFmtId="176" fontId="103" fillId="0" borderId="93" xfId="0" applyNumberFormat="1" applyFont="1" applyBorder="1" applyAlignment="1">
      <alignment horizontal="center"/>
    </xf>
    <xf numFmtId="41" fontId="7" fillId="0" borderId="26" xfId="9" applyNumberFormat="1" applyFont="1" applyFill="1" applyBorder="1" applyAlignment="1">
      <alignment horizontal="center" vertical="center"/>
    </xf>
    <xf numFmtId="0" fontId="7" fillId="0" borderId="26" xfId="0" applyFont="1" applyBorder="1" applyAlignment="1">
      <alignment horizontal="left"/>
    </xf>
    <xf numFmtId="43" fontId="28" fillId="0" borderId="13" xfId="8" applyFont="1" applyFill="1" applyBorder="1" applyAlignment="1">
      <alignment horizontal="right" vertical="center"/>
    </xf>
    <xf numFmtId="41" fontId="7" fillId="0" borderId="26" xfId="9" applyNumberFormat="1" applyFont="1" applyFill="1" applyBorder="1" applyAlignment="1">
      <alignment vertical="center"/>
    </xf>
    <xf numFmtId="43" fontId="110" fillId="0" borderId="13" xfId="8" applyFont="1" applyFill="1" applyBorder="1" applyAlignment="1">
      <alignment vertical="center"/>
    </xf>
    <xf numFmtId="0" fontId="83" fillId="8" borderId="13" xfId="0" applyFont="1" applyFill="1" applyBorder="1" applyAlignment="1"/>
    <xf numFmtId="0" fontId="111" fillId="5" borderId="0" xfId="0" applyFont="1" applyFill="1">
      <alignment vertical="center"/>
    </xf>
    <xf numFmtId="0" fontId="83" fillId="0" borderId="13" xfId="0" applyFont="1" applyBorder="1" applyAlignment="1"/>
    <xf numFmtId="0" fontId="112" fillId="0" borderId="0" xfId="0" applyFont="1" applyAlignment="1"/>
    <xf numFmtId="0" fontId="100" fillId="0" borderId="13" xfId="0" applyFont="1" applyBorder="1" applyAlignment="1">
      <alignment horizontal="center" vertical="center"/>
    </xf>
    <xf numFmtId="43" fontId="103" fillId="0" borderId="13" xfId="8" applyFont="1" applyFill="1" applyBorder="1" applyAlignment="1">
      <alignment horizontal="center" vertical="center"/>
    </xf>
    <xf numFmtId="41" fontId="101" fillId="0" borderId="65" xfId="0" applyNumberFormat="1" applyFont="1" applyBorder="1" applyAlignment="1">
      <alignment vertical="center" wrapText="1"/>
    </xf>
    <xf numFmtId="0" fontId="101" fillId="0" borderId="111" xfId="0" applyFont="1" applyBorder="1" applyAlignment="1">
      <alignment horizontal="left" vertical="center" wrapText="1"/>
    </xf>
    <xf numFmtId="0" fontId="101" fillId="0" borderId="65" xfId="0" applyFont="1" applyBorder="1" applyAlignment="1">
      <alignment horizontal="center" vertical="center" wrapText="1"/>
    </xf>
    <xf numFmtId="41" fontId="28" fillId="8" borderId="13" xfId="8" applyNumberFormat="1" applyFont="1" applyFill="1" applyBorder="1" applyAlignment="1">
      <alignment vertical="center"/>
    </xf>
    <xf numFmtId="41" fontId="28" fillId="0" borderId="13" xfId="8" applyNumberFormat="1" applyFont="1" applyFill="1" applyBorder="1" applyAlignment="1">
      <alignment vertical="center"/>
    </xf>
    <xf numFmtId="41" fontId="28" fillId="8" borderId="25" xfId="8" applyNumberFormat="1" applyFont="1" applyFill="1" applyBorder="1" applyAlignment="1">
      <alignment horizontal="center" vertical="top" wrapText="1"/>
    </xf>
    <xf numFmtId="185" fontId="28" fillId="0" borderId="51" xfId="0" applyNumberFormat="1" applyFont="1" applyBorder="1" applyAlignment="1">
      <alignment horizontal="center"/>
    </xf>
    <xf numFmtId="43" fontId="85" fillId="0" borderId="13" xfId="8" applyFont="1" applyBorder="1" applyAlignment="1">
      <alignment horizontal="center" vertical="center" wrapText="1"/>
    </xf>
    <xf numFmtId="41" fontId="85" fillId="0" borderId="13" xfId="0" applyNumberFormat="1" applyFont="1" applyBorder="1" applyAlignment="1">
      <alignment horizontal="center" vertical="center"/>
    </xf>
    <xf numFmtId="41" fontId="103" fillId="0" borderId="93" xfId="0" applyNumberFormat="1" applyFont="1" applyBorder="1" applyAlignment="1">
      <alignment horizontal="center"/>
    </xf>
    <xf numFmtId="0" fontId="28" fillId="0" borderId="13" xfId="0" applyFont="1" applyBorder="1" applyAlignment="1">
      <alignment horizontal="center" vertical="center" wrapText="1"/>
    </xf>
    <xf numFmtId="0" fontId="113" fillId="0" borderId="0" xfId="0" applyFont="1" applyAlignment="1"/>
    <xf numFmtId="0" fontId="114" fillId="0" borderId="0" xfId="0" applyFont="1" applyAlignment="1"/>
    <xf numFmtId="0" fontId="115" fillId="0" borderId="0" xfId="0" applyFont="1" applyAlignment="1"/>
    <xf numFmtId="0" fontId="101" fillId="0" borderId="0" xfId="0" applyFont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116" fillId="0" borderId="0" xfId="0" applyFont="1" applyAlignment="1"/>
    <xf numFmtId="0" fontId="7" fillId="8" borderId="10" xfId="0" applyFont="1" applyFill="1" applyBorder="1" applyAlignment="1">
      <alignment horizontal="left"/>
    </xf>
    <xf numFmtId="43" fontId="7" fillId="8" borderId="10" xfId="8" applyFont="1" applyFill="1" applyBorder="1" applyAlignment="1">
      <alignment horizontal="right" vertical="center"/>
    </xf>
    <xf numFmtId="0" fontId="98" fillId="0" borderId="83" xfId="0" applyFont="1" applyBorder="1" applyAlignment="1">
      <alignment horizontal="left" vertical="center"/>
    </xf>
    <xf numFmtId="0" fontId="103" fillId="0" borderId="13" xfId="0" applyFont="1" applyBorder="1" applyAlignment="1">
      <alignment horizontal="left" vertical="center" wrapText="1"/>
    </xf>
    <xf numFmtId="0" fontId="103" fillId="0" borderId="111" xfId="0" applyFont="1" applyBorder="1" applyAlignment="1">
      <alignment horizontal="left" vertical="center" wrapText="1"/>
    </xf>
    <xf numFmtId="0" fontId="83" fillId="0" borderId="26" xfId="0" applyFont="1" applyBorder="1" applyAlignment="1">
      <alignment horizontal="left"/>
    </xf>
    <xf numFmtId="0" fontId="103" fillId="0" borderId="13" xfId="0" applyFont="1" applyBorder="1" applyAlignment="1">
      <alignment wrapText="1"/>
    </xf>
    <xf numFmtId="0" fontId="83" fillId="0" borderId="65" xfId="0" applyFont="1" applyBorder="1" applyAlignment="1"/>
    <xf numFmtId="0" fontId="83" fillId="0" borderId="13" xfId="0" applyFont="1" applyBorder="1" applyAlignment="1">
      <alignment horizontal="left" vertical="center"/>
    </xf>
    <xf numFmtId="0" fontId="75" fillId="8" borderId="0" xfId="0" applyFont="1" applyFill="1">
      <alignment vertical="center"/>
    </xf>
    <xf numFmtId="43" fontId="28" fillId="0" borderId="65" xfId="23" applyFont="1" applyBorder="1" applyAlignment="1">
      <alignment horizontal="left"/>
    </xf>
    <xf numFmtId="176" fontId="103" fillId="0" borderId="0" xfId="0" applyNumberFormat="1" applyFont="1" applyAlignment="1">
      <alignment horizontal="center"/>
    </xf>
    <xf numFmtId="0" fontId="7" fillId="0" borderId="26" xfId="0" applyFont="1" applyBorder="1" applyAlignment="1">
      <alignment horizontal="center"/>
    </xf>
    <xf numFmtId="0" fontId="28" fillId="0" borderId="26" xfId="0" applyFont="1" applyBorder="1" applyAlignment="1">
      <alignment horizontal="left"/>
    </xf>
    <xf numFmtId="43" fontId="28" fillId="0" borderId="26" xfId="8" applyFont="1" applyBorder="1" applyAlignment="1">
      <alignment horizontal="center"/>
    </xf>
    <xf numFmtId="41" fontId="28" fillId="0" borderId="26" xfId="9" applyNumberFormat="1" applyFont="1" applyFill="1" applyBorder="1" applyAlignment="1">
      <alignment horizontal="center" vertical="center"/>
    </xf>
    <xf numFmtId="0" fontId="104" fillId="0" borderId="19" xfId="0" applyFont="1" applyBorder="1" applyAlignment="1">
      <alignment horizontal="left"/>
    </xf>
    <xf numFmtId="43" fontId="28" fillId="0" borderId="19" xfId="8" applyFont="1" applyBorder="1" applyAlignment="1">
      <alignment horizontal="center"/>
    </xf>
    <xf numFmtId="0" fontId="28" fillId="0" borderId="19" xfId="0" applyFont="1" applyBorder="1" applyAlignment="1">
      <alignment horizontal="left"/>
    </xf>
    <xf numFmtId="41" fontId="28" fillId="0" borderId="19" xfId="9" applyNumberFormat="1" applyFont="1" applyFill="1" applyBorder="1" applyAlignment="1">
      <alignment horizontal="center" vertical="center"/>
    </xf>
    <xf numFmtId="0" fontId="109" fillId="0" borderId="115" xfId="0" applyFont="1" applyBorder="1" applyAlignment="1"/>
    <xf numFmtId="0" fontId="103" fillId="0" borderId="115" xfId="0" applyFont="1" applyBorder="1" applyAlignment="1">
      <alignment vertical="center" wrapText="1"/>
    </xf>
    <xf numFmtId="43" fontId="109" fillId="0" borderId="115" xfId="8" applyFont="1" applyBorder="1" applyAlignment="1">
      <alignment horizontal="center" vertical="center" wrapText="1"/>
    </xf>
    <xf numFmtId="41" fontId="109" fillId="0" borderId="115" xfId="0" applyNumberFormat="1" applyFont="1" applyBorder="1">
      <alignment vertical="center"/>
    </xf>
    <xf numFmtId="41" fontId="109" fillId="0" borderId="115" xfId="0" applyNumberFormat="1" applyFont="1" applyBorder="1" applyAlignment="1"/>
    <xf numFmtId="0" fontId="103" fillId="0" borderId="115" xfId="0" applyFont="1" applyBorder="1" applyAlignment="1">
      <alignment horizontal="center"/>
    </xf>
    <xf numFmtId="0" fontId="109" fillId="0" borderId="115" xfId="0" applyFont="1" applyBorder="1" applyAlignment="1">
      <alignment horizontal="center"/>
    </xf>
    <xf numFmtId="0" fontId="109" fillId="0" borderId="116" xfId="0" applyFont="1" applyBorder="1" applyAlignment="1">
      <alignment horizontal="center"/>
    </xf>
    <xf numFmtId="177" fontId="28" fillId="0" borderId="26" xfId="0" applyNumberFormat="1" applyFont="1" applyBorder="1">
      <alignment vertical="center"/>
    </xf>
    <xf numFmtId="0" fontId="28" fillId="0" borderId="117" xfId="0" applyFont="1" applyBorder="1">
      <alignment vertical="center"/>
    </xf>
    <xf numFmtId="176" fontId="7" fillId="0" borderId="26" xfId="0" applyNumberFormat="1" applyFont="1" applyBorder="1">
      <alignment vertical="center"/>
    </xf>
    <xf numFmtId="176" fontId="28" fillId="0" borderId="19" xfId="0" applyNumberFormat="1" applyFont="1" applyBorder="1" applyAlignment="1">
      <alignment horizontal="center" vertical="center"/>
    </xf>
    <xf numFmtId="176" fontId="7" fillId="0" borderId="62" xfId="0" applyNumberFormat="1" applyFont="1" applyBorder="1">
      <alignment vertical="center"/>
    </xf>
    <xf numFmtId="0" fontId="52" fillId="0" borderId="5" xfId="0" applyFont="1" applyBorder="1" applyAlignment="1">
      <alignment vertical="center" wrapText="1"/>
    </xf>
    <xf numFmtId="43" fontId="28" fillId="0" borderId="5" xfId="44" applyNumberFormat="1" applyFont="1" applyBorder="1">
      <alignment vertical="center"/>
    </xf>
    <xf numFmtId="0" fontId="28" fillId="0" borderId="5" xfId="0" applyFont="1" applyBorder="1" applyAlignment="1">
      <alignment vertical="center" wrapText="1"/>
    </xf>
    <xf numFmtId="177" fontId="28" fillId="0" borderId="5" xfId="8" applyNumberFormat="1" applyFont="1" applyFill="1" applyBorder="1" applyAlignment="1">
      <alignment vertical="center" wrapText="1"/>
    </xf>
    <xf numFmtId="0" fontId="119" fillId="0" borderId="13" xfId="0" applyFont="1" applyBorder="1">
      <alignment vertical="center"/>
    </xf>
    <xf numFmtId="176" fontId="28" fillId="0" borderId="26" xfId="0" applyNumberFormat="1" applyFont="1" applyBorder="1" applyAlignment="1">
      <alignment horizontal="center" vertical="center"/>
    </xf>
    <xf numFmtId="0" fontId="109" fillId="0" borderId="118" xfId="0" applyFont="1" applyBorder="1" applyAlignment="1">
      <alignment horizontal="center"/>
    </xf>
    <xf numFmtId="15" fontId="28" fillId="0" borderId="26" xfId="0" applyNumberFormat="1" applyFont="1" applyBorder="1" applyAlignment="1">
      <alignment horizontal="center" vertical="center"/>
    </xf>
    <xf numFmtId="0" fontId="28" fillId="0" borderId="26" xfId="0" applyFont="1" applyBorder="1">
      <alignment vertical="center"/>
    </xf>
    <xf numFmtId="0" fontId="101" fillId="0" borderId="87" xfId="0" applyFont="1" applyBorder="1" applyAlignment="1">
      <alignment horizontal="center" vertical="center" wrapText="1"/>
    </xf>
    <xf numFmtId="177" fontId="28" fillId="0" borderId="26" xfId="8" applyNumberFormat="1" applyFont="1" applyFill="1" applyBorder="1" applyAlignment="1">
      <alignment vertical="center"/>
    </xf>
    <xf numFmtId="41" fontId="51" fillId="0" borderId="26" xfId="9" applyNumberFormat="1" applyFont="1" applyFill="1" applyBorder="1" applyAlignment="1">
      <alignment horizontal="center" vertical="center"/>
    </xf>
    <xf numFmtId="0" fontId="28" fillId="0" borderId="26" xfId="0" applyFont="1" applyBorder="1" applyAlignment="1">
      <alignment horizontal="left" vertical="center"/>
    </xf>
    <xf numFmtId="15" fontId="28" fillId="0" borderId="19" xfId="0" applyNumberFormat="1" applyFont="1" applyBorder="1" applyAlignment="1">
      <alignment horizontal="center" vertical="center"/>
    </xf>
    <xf numFmtId="0" fontId="28" fillId="0" borderId="19" xfId="0" applyFont="1" applyBorder="1">
      <alignment vertical="center"/>
    </xf>
    <xf numFmtId="0" fontId="103" fillId="0" borderId="19" xfId="0" applyFont="1" applyBorder="1" applyAlignment="1">
      <alignment wrapText="1"/>
    </xf>
    <xf numFmtId="43" fontId="103" fillId="0" borderId="19" xfId="8" applyFont="1" applyFill="1" applyBorder="1" applyAlignment="1">
      <alignment horizontal="center" vertical="center"/>
    </xf>
    <xf numFmtId="0" fontId="100" fillId="0" borderId="19" xfId="0" applyFont="1" applyBorder="1" applyAlignment="1">
      <alignment horizontal="center" vertical="center"/>
    </xf>
    <xf numFmtId="41" fontId="101" fillId="0" borderId="119" xfId="0" applyNumberFormat="1" applyFont="1" applyBorder="1" applyAlignment="1">
      <alignment vertical="center" wrapText="1"/>
    </xf>
    <xf numFmtId="41" fontId="51" fillId="0" borderId="19" xfId="9" applyNumberFormat="1" applyFont="1" applyFill="1" applyBorder="1" applyAlignment="1">
      <alignment horizontal="center" vertical="center"/>
    </xf>
    <xf numFmtId="0" fontId="28" fillId="0" borderId="19" xfId="0" applyFont="1" applyBorder="1" applyAlignment="1">
      <alignment horizontal="left" vertical="center"/>
    </xf>
    <xf numFmtId="0" fontId="103" fillId="0" borderId="115" xfId="0" applyFont="1" applyBorder="1" applyAlignment="1">
      <alignment horizontal="left" vertical="center"/>
    </xf>
    <xf numFmtId="43" fontId="109" fillId="0" borderId="115" xfId="8" applyFont="1" applyBorder="1" applyAlignment="1">
      <alignment horizontal="center" vertical="center"/>
    </xf>
    <xf numFmtId="0" fontId="101" fillId="0" borderId="115" xfId="0" applyFont="1" applyBorder="1" applyAlignment="1">
      <alignment horizontal="center" vertical="center" wrapText="1"/>
    </xf>
    <xf numFmtId="41" fontId="109" fillId="0" borderId="115" xfId="0" applyNumberFormat="1" applyFont="1" applyBorder="1" applyAlignment="1">
      <alignment horizontal="right" vertical="center"/>
    </xf>
    <xf numFmtId="0" fontId="103" fillId="0" borderId="115" xfId="0" applyFont="1" applyBorder="1" applyAlignment="1">
      <alignment horizontal="center" vertical="center"/>
    </xf>
    <xf numFmtId="0" fontId="109" fillId="0" borderId="115" xfId="0" applyFont="1" applyBorder="1" applyAlignment="1">
      <alignment horizontal="center" vertical="center"/>
    </xf>
    <xf numFmtId="0" fontId="109" fillId="0" borderId="116" xfId="0" applyFont="1" applyBorder="1" applyAlignment="1">
      <alignment horizontal="center" vertical="center"/>
    </xf>
    <xf numFmtId="0" fontId="103" fillId="0" borderId="115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/>
    </xf>
    <xf numFmtId="43" fontId="28" fillId="8" borderId="26" xfId="8" applyFont="1" applyFill="1" applyBorder="1" applyAlignment="1">
      <alignment vertical="center"/>
    </xf>
    <xf numFmtId="0" fontId="28" fillId="8" borderId="26" xfId="0" applyFont="1" applyFill="1" applyBorder="1" applyAlignment="1">
      <alignment horizontal="left"/>
    </xf>
    <xf numFmtId="177" fontId="28" fillId="8" borderId="26" xfId="8" applyNumberFormat="1" applyFont="1" applyFill="1" applyBorder="1" applyAlignment="1">
      <alignment vertical="center"/>
    </xf>
    <xf numFmtId="176" fontId="84" fillId="8" borderId="26" xfId="0" applyNumberFormat="1" applyFont="1" applyFill="1" applyBorder="1" applyAlignment="1">
      <alignment horizontal="center" vertical="center"/>
    </xf>
    <xf numFmtId="176" fontId="28" fillId="0" borderId="120" xfId="0" applyNumberFormat="1" applyFont="1" applyBorder="1" applyAlignment="1">
      <alignment horizontal="center" vertical="center"/>
    </xf>
    <xf numFmtId="0" fontId="103" fillId="0" borderId="30" xfId="0" applyFont="1" applyBorder="1" applyAlignment="1">
      <alignment horizontal="center"/>
    </xf>
    <xf numFmtId="43" fontId="103" fillId="0" borderId="115" xfId="8" applyFont="1" applyBorder="1" applyAlignment="1">
      <alignment horizontal="center" vertical="center" wrapText="1"/>
    </xf>
    <xf numFmtId="41" fontId="103" fillId="0" borderId="115" xfId="0" applyNumberFormat="1" applyFont="1" applyBorder="1" applyAlignment="1">
      <alignment horizontal="right" vertical="center" wrapText="1"/>
    </xf>
    <xf numFmtId="41" fontId="103" fillId="0" borderId="115" xfId="0" applyNumberFormat="1" applyFont="1" applyBorder="1" applyAlignment="1"/>
    <xf numFmtId="15" fontId="28" fillId="0" borderId="120" xfId="0" applyNumberFormat="1" applyFont="1" applyBorder="1" applyAlignment="1">
      <alignment horizontal="center" vertical="center"/>
    </xf>
    <xf numFmtId="0" fontId="103" fillId="0" borderId="116" xfId="0" applyFont="1" applyBorder="1" applyAlignment="1">
      <alignment horizontal="center"/>
    </xf>
    <xf numFmtId="0" fontId="97" fillId="0" borderId="0" xfId="0" applyFont="1" applyAlignment="1"/>
    <xf numFmtId="0" fontId="28" fillId="0" borderId="122" xfId="0" applyFont="1" applyBorder="1" applyAlignment="1">
      <alignment horizontal="center"/>
    </xf>
    <xf numFmtId="176" fontId="28" fillId="0" borderId="122" xfId="0" applyNumberFormat="1" applyFont="1" applyBorder="1" applyAlignment="1">
      <alignment horizontal="center" vertical="center"/>
    </xf>
    <xf numFmtId="0" fontId="28" fillId="0" borderId="122" xfId="0" applyFont="1" applyBorder="1" applyAlignment="1">
      <alignment horizontal="left" vertical="center"/>
    </xf>
    <xf numFmtId="180" fontId="28" fillId="0" borderId="26" xfId="8" applyNumberFormat="1" applyFont="1" applyFill="1" applyBorder="1" applyAlignment="1">
      <alignment horizontal="right"/>
    </xf>
    <xf numFmtId="41" fontId="28" fillId="0" borderId="26" xfId="9" applyNumberFormat="1" applyFont="1" applyFill="1" applyBorder="1" applyAlignment="1">
      <alignment horizontal="right" vertical="center"/>
    </xf>
    <xf numFmtId="0" fontId="109" fillId="0" borderId="118" xfId="0" applyFont="1" applyBorder="1" applyAlignment="1"/>
    <xf numFmtId="0" fontId="28" fillId="0" borderId="120" xfId="0" applyFont="1" applyBorder="1" applyAlignment="1">
      <alignment horizontal="left" vertical="center"/>
    </xf>
    <xf numFmtId="0" fontId="28" fillId="0" borderId="120" xfId="0" applyFont="1" applyBorder="1" applyAlignment="1">
      <alignment horizontal="center"/>
    </xf>
    <xf numFmtId="41" fontId="28" fillId="0" borderId="120" xfId="9" applyNumberFormat="1" applyFont="1" applyFill="1" applyBorder="1" applyAlignment="1">
      <alignment horizontal="right" vertical="center"/>
    </xf>
    <xf numFmtId="0" fontId="109" fillId="0" borderId="123" xfId="0" applyFont="1" applyBorder="1" applyAlignment="1">
      <alignment horizontal="center"/>
    </xf>
    <xf numFmtId="0" fontId="109" fillId="0" borderId="123" xfId="0" applyFont="1" applyBorder="1" applyAlignment="1"/>
    <xf numFmtId="43" fontId="103" fillId="0" borderId="123" xfId="8" applyFont="1" applyBorder="1" applyAlignment="1">
      <alignment horizontal="center" vertical="center" wrapText="1"/>
    </xf>
    <xf numFmtId="0" fontId="103" fillId="0" borderId="123" xfId="0" applyFont="1" applyBorder="1" applyAlignment="1">
      <alignment horizontal="center" vertical="center" wrapText="1"/>
    </xf>
    <xf numFmtId="41" fontId="103" fillId="0" borderId="123" xfId="0" applyNumberFormat="1" applyFont="1" applyBorder="1" applyAlignment="1"/>
    <xf numFmtId="41" fontId="121" fillId="0" borderId="123" xfId="0" applyNumberFormat="1" applyFont="1" applyBorder="1" applyAlignment="1">
      <alignment horizontal="right" vertical="center" wrapText="1"/>
    </xf>
    <xf numFmtId="0" fontId="103" fillId="0" borderId="123" xfId="0" applyFont="1" applyBorder="1" applyAlignment="1">
      <alignment horizontal="center"/>
    </xf>
    <xf numFmtId="0" fontId="103" fillId="0" borderId="124" xfId="0" applyFont="1" applyBorder="1" applyAlignment="1">
      <alignment horizontal="center"/>
    </xf>
    <xf numFmtId="0" fontId="109" fillId="0" borderId="125" xfId="0" applyFont="1" applyBorder="1" applyAlignment="1">
      <alignment horizontal="center"/>
    </xf>
    <xf numFmtId="0" fontId="103" fillId="0" borderId="123" xfId="0" applyFont="1" applyBorder="1" applyAlignment="1">
      <alignment vertical="center" wrapText="1"/>
    </xf>
    <xf numFmtId="0" fontId="51" fillId="0" borderId="19" xfId="0" applyFont="1" applyBorder="1" applyAlignment="1"/>
    <xf numFmtId="41" fontId="28" fillId="0" borderId="126" xfId="9" applyNumberFormat="1" applyFont="1" applyFill="1" applyBorder="1" applyAlignment="1">
      <alignment vertical="center"/>
    </xf>
    <xf numFmtId="177" fontId="103" fillId="0" borderId="123" xfId="0" applyNumberFormat="1" applyFont="1" applyBorder="1" applyAlignment="1">
      <alignment horizontal="right"/>
    </xf>
    <xf numFmtId="177" fontId="103" fillId="0" borderId="123" xfId="0" applyNumberFormat="1" applyFont="1" applyBorder="1" applyAlignment="1">
      <alignment horizontal="right" vertical="center" wrapText="1"/>
    </xf>
    <xf numFmtId="0" fontId="103" fillId="0" borderId="123" xfId="0" applyFont="1" applyBorder="1" applyAlignment="1">
      <alignment horizontal="center" vertical="center"/>
    </xf>
    <xf numFmtId="0" fontId="123" fillId="0" borderId="0" xfId="0" applyFont="1" applyAlignment="1"/>
    <xf numFmtId="0" fontId="124" fillId="0" borderId="0" xfId="0" applyFont="1" applyAlignment="1"/>
    <xf numFmtId="0" fontId="103" fillId="0" borderId="123" xfId="0" applyFont="1" applyBorder="1" applyAlignment="1">
      <alignment horizontal="left" vertical="center" wrapText="1"/>
    </xf>
    <xf numFmtId="0" fontId="125" fillId="0" borderId="0" xfId="0" applyFont="1" applyAlignment="1"/>
    <xf numFmtId="0" fontId="99" fillId="0" borderId="115" xfId="0" applyFont="1" applyBorder="1" applyAlignment="1">
      <alignment horizontal="left" vertical="center"/>
    </xf>
    <xf numFmtId="43" fontId="103" fillId="0" borderId="115" xfId="8" applyFont="1" applyBorder="1" applyAlignment="1">
      <alignment horizontal="center" vertical="center"/>
    </xf>
    <xf numFmtId="41" fontId="103" fillId="0" borderId="115" xfId="0" applyNumberFormat="1" applyFont="1" applyBorder="1" applyAlignment="1">
      <alignment horizontal="right" vertical="center"/>
    </xf>
    <xf numFmtId="0" fontId="109" fillId="0" borderId="129" xfId="0" applyFont="1" applyBorder="1" applyAlignment="1">
      <alignment horizontal="center"/>
    </xf>
    <xf numFmtId="0" fontId="109" fillId="0" borderId="130" xfId="0" applyFont="1" applyBorder="1" applyAlignment="1">
      <alignment horizontal="center"/>
    </xf>
    <xf numFmtId="0" fontId="101" fillId="0" borderId="123" xfId="0" applyFont="1" applyBorder="1" applyAlignment="1">
      <alignment horizontal="left" vertical="center" wrapText="1"/>
    </xf>
    <xf numFmtId="0" fontId="7" fillId="0" borderId="131" xfId="0" applyFont="1" applyBorder="1" applyAlignment="1">
      <alignment horizontal="center"/>
    </xf>
    <xf numFmtId="15" fontId="28" fillId="0" borderId="131" xfId="0" applyNumberFormat="1" applyFont="1" applyBorder="1" applyAlignment="1">
      <alignment horizontal="center"/>
    </xf>
    <xf numFmtId="0" fontId="28" fillId="0" borderId="131" xfId="0" applyFont="1" applyBorder="1" applyAlignment="1">
      <alignment horizontal="center"/>
    </xf>
    <xf numFmtId="176" fontId="28" fillId="0" borderId="131" xfId="0" applyNumberFormat="1" applyFont="1" applyBorder="1" applyAlignment="1">
      <alignment horizontal="center" vertical="center"/>
    </xf>
    <xf numFmtId="0" fontId="28" fillId="0" borderId="131" xfId="0" applyFont="1" applyBorder="1" applyAlignment="1">
      <alignment horizontal="left"/>
    </xf>
    <xf numFmtId="43" fontId="109" fillId="0" borderId="127" xfId="8" applyFont="1" applyBorder="1" applyAlignment="1">
      <alignment horizontal="center" vertical="center"/>
    </xf>
    <xf numFmtId="0" fontId="103" fillId="0" borderId="127" xfId="0" applyFont="1" applyBorder="1" applyAlignment="1">
      <alignment horizontal="center" vertical="center"/>
    </xf>
    <xf numFmtId="41" fontId="109" fillId="0" borderId="127" xfId="0" applyNumberFormat="1" applyFont="1" applyBorder="1" applyAlignment="1">
      <alignment horizontal="right" vertical="center"/>
    </xf>
    <xf numFmtId="0" fontId="126" fillId="8" borderId="0" xfId="0" applyFont="1" applyFill="1" applyAlignment="1"/>
    <xf numFmtId="15" fontId="28" fillId="0" borderId="131" xfId="0" applyNumberFormat="1" applyFont="1" applyBorder="1" applyAlignment="1">
      <alignment horizontal="center" vertical="center"/>
    </xf>
    <xf numFmtId="0" fontId="28" fillId="0" borderId="131" xfId="0" applyFont="1" applyBorder="1">
      <alignment vertical="center"/>
    </xf>
    <xf numFmtId="0" fontId="83" fillId="0" borderId="131" xfId="0" applyFont="1" applyBorder="1" applyAlignment="1">
      <alignment horizontal="left"/>
    </xf>
    <xf numFmtId="43" fontId="28" fillId="0" borderId="131" xfId="8" applyFont="1" applyFill="1" applyBorder="1" applyAlignment="1">
      <alignment vertical="center"/>
    </xf>
    <xf numFmtId="0" fontId="28" fillId="0" borderId="131" xfId="0" applyFont="1" applyBorder="1" applyAlignment="1">
      <alignment horizontal="center" vertical="center" wrapText="1"/>
    </xf>
    <xf numFmtId="177" fontId="28" fillId="0" borderId="131" xfId="8" applyNumberFormat="1" applyFont="1" applyFill="1" applyBorder="1" applyAlignment="1">
      <alignment vertical="center"/>
    </xf>
    <xf numFmtId="41" fontId="51" fillId="0" borderId="131" xfId="9" applyNumberFormat="1" applyFont="1" applyFill="1" applyBorder="1" applyAlignment="1">
      <alignment horizontal="center" vertical="center"/>
    </xf>
    <xf numFmtId="0" fontId="28" fillId="0" borderId="131" xfId="0" applyFont="1" applyBorder="1" applyAlignment="1">
      <alignment horizontal="left" vertical="center"/>
    </xf>
    <xf numFmtId="0" fontId="109" fillId="0" borderId="30" xfId="0" applyFont="1" applyBorder="1" applyAlignment="1">
      <alignment horizontal="center"/>
    </xf>
    <xf numFmtId="0" fontId="126" fillId="0" borderId="0" xfId="0" applyFont="1" applyAlignment="1"/>
    <xf numFmtId="0" fontId="127" fillId="0" borderId="0" xfId="0" applyFont="1" applyAlignment="1"/>
    <xf numFmtId="0" fontId="7" fillId="0" borderId="131" xfId="0" applyFont="1" applyBorder="1" applyAlignment="1">
      <alignment horizontal="left"/>
    </xf>
    <xf numFmtId="176" fontId="28" fillId="0" borderId="30" xfId="0" applyNumberFormat="1" applyFont="1" applyBorder="1" applyAlignment="1">
      <alignment horizontal="center" vertical="center"/>
    </xf>
    <xf numFmtId="15" fontId="28" fillId="8" borderId="131" xfId="0" applyNumberFormat="1" applyFont="1" applyFill="1" applyBorder="1" applyAlignment="1">
      <alignment horizontal="center" vertical="center"/>
    </xf>
    <xf numFmtId="0" fontId="128" fillId="8" borderId="127" xfId="0" applyFont="1" applyFill="1" applyBorder="1" applyAlignment="1">
      <alignment horizontal="left" vertical="center"/>
    </xf>
    <xf numFmtId="176" fontId="83" fillId="0" borderId="131" xfId="0" applyNumberFormat="1" applyFont="1" applyBorder="1" applyAlignment="1">
      <alignment horizontal="center" vertical="center"/>
    </xf>
    <xf numFmtId="43" fontId="28" fillId="0" borderId="131" xfId="8" applyFont="1" applyBorder="1" applyAlignment="1">
      <alignment horizontal="right" vertical="center"/>
    </xf>
    <xf numFmtId="41" fontId="28" fillId="0" borderId="131" xfId="9" applyNumberFormat="1" applyFont="1" applyBorder="1" applyAlignment="1">
      <alignment horizontal="center" vertical="center"/>
    </xf>
    <xf numFmtId="41" fontId="28" fillId="0" borderId="131" xfId="9" applyNumberFormat="1" applyFont="1" applyFill="1" applyBorder="1" applyAlignment="1">
      <alignment horizontal="center" vertical="center"/>
    </xf>
    <xf numFmtId="15" fontId="7" fillId="0" borderId="131" xfId="0" applyNumberFormat="1" applyFont="1" applyBorder="1" applyAlignment="1">
      <alignment horizontal="center" vertical="center"/>
    </xf>
    <xf numFmtId="0" fontId="7" fillId="0" borderId="131" xfId="0" applyFont="1" applyBorder="1" applyAlignment="1">
      <alignment horizontal="center" vertical="center"/>
    </xf>
    <xf numFmtId="43" fontId="28" fillId="0" borderId="131" xfId="8" applyFont="1" applyBorder="1" applyAlignment="1">
      <alignment horizontal="right"/>
    </xf>
    <xf numFmtId="41" fontId="28" fillId="0" borderId="131" xfId="9" applyNumberFormat="1" applyFont="1" applyFill="1" applyBorder="1" applyAlignment="1">
      <alignment vertical="center"/>
    </xf>
    <xf numFmtId="177" fontId="28" fillId="0" borderId="131" xfId="8" applyNumberFormat="1" applyFont="1" applyFill="1" applyBorder="1" applyAlignment="1">
      <alignment horizontal="center" vertical="center"/>
    </xf>
    <xf numFmtId="0" fontId="124" fillId="0" borderId="0" xfId="0" applyFont="1">
      <alignment vertical="center"/>
    </xf>
    <xf numFmtId="0" fontId="28" fillId="0" borderId="30" xfId="0" applyFont="1" applyBorder="1" applyAlignment="1">
      <alignment horizontal="left"/>
    </xf>
    <xf numFmtId="41" fontId="98" fillId="0" borderId="0" xfId="0" applyNumberFormat="1" applyFont="1">
      <alignment vertical="center"/>
    </xf>
    <xf numFmtId="0" fontId="129" fillId="0" borderId="0" xfId="0" applyFont="1">
      <alignment vertical="center"/>
    </xf>
    <xf numFmtId="176" fontId="7" fillId="0" borderId="132" xfId="0" applyNumberFormat="1" applyFont="1" applyBorder="1" applyAlignment="1">
      <alignment horizontal="center" vertical="center"/>
    </xf>
    <xf numFmtId="0" fontId="7" fillId="0" borderId="132" xfId="0" applyFont="1" applyBorder="1" applyAlignment="1">
      <alignment horizontal="center"/>
    </xf>
    <xf numFmtId="0" fontId="7" fillId="0" borderId="132" xfId="0" applyFont="1" applyBorder="1" applyAlignment="1">
      <alignment horizontal="left"/>
    </xf>
    <xf numFmtId="41" fontId="7" fillId="8" borderId="131" xfId="9" applyNumberFormat="1" applyFont="1" applyFill="1" applyBorder="1" applyAlignment="1">
      <alignment vertical="center"/>
    </xf>
    <xf numFmtId="177" fontId="7" fillId="8" borderId="131" xfId="0" applyNumberFormat="1" applyFont="1" applyFill="1" applyBorder="1">
      <alignment vertical="center"/>
    </xf>
    <xf numFmtId="0" fontId="98" fillId="0" borderId="0" xfId="0" applyFont="1" applyAlignment="1"/>
    <xf numFmtId="0" fontId="129" fillId="0" borderId="0" xfId="0" applyFont="1" applyAlignment="1"/>
    <xf numFmtId="177" fontId="124" fillId="0" borderId="0" xfId="0" applyNumberFormat="1" applyFont="1" applyAlignment="1"/>
    <xf numFmtId="41" fontId="28" fillId="0" borderId="131" xfId="9" applyNumberFormat="1" applyFont="1" applyFill="1" applyBorder="1" applyAlignment="1">
      <alignment horizontal="right" vertical="center"/>
    </xf>
    <xf numFmtId="177" fontId="28" fillId="0" borderId="131" xfId="0" applyNumberFormat="1" applyFont="1" applyBorder="1" applyAlignment="1">
      <alignment horizontal="right" vertical="center" indent="1"/>
    </xf>
    <xf numFmtId="176" fontId="28" fillId="0" borderId="132" xfId="0" applyNumberFormat="1" applyFont="1" applyBorder="1" applyAlignment="1">
      <alignment horizontal="center" vertical="center"/>
    </xf>
    <xf numFmtId="0" fontId="28" fillId="0" borderId="132" xfId="0" applyFont="1" applyBorder="1" applyAlignment="1">
      <alignment horizontal="center" vertical="center"/>
    </xf>
    <xf numFmtId="0" fontId="28" fillId="0" borderId="132" xfId="0" applyFont="1" applyBorder="1" applyAlignment="1">
      <alignment horizontal="left" vertical="center"/>
    </xf>
    <xf numFmtId="0" fontId="28" fillId="0" borderId="132" xfId="0" applyFont="1" applyBorder="1" applyAlignment="1">
      <alignment horizontal="center"/>
    </xf>
    <xf numFmtId="180" fontId="28" fillId="0" borderId="131" xfId="8" applyNumberFormat="1" applyFont="1" applyFill="1" applyBorder="1" applyAlignment="1">
      <alignment horizontal="right"/>
    </xf>
    <xf numFmtId="0" fontId="7" fillId="0" borderId="131" xfId="0" applyFont="1" applyBorder="1">
      <alignment vertical="center"/>
    </xf>
    <xf numFmtId="0" fontId="28" fillId="0" borderId="66" xfId="0" applyFont="1" applyBorder="1" applyAlignment="1">
      <alignment horizontal="left"/>
    </xf>
    <xf numFmtId="0" fontId="7" fillId="0" borderId="131" xfId="0" applyFont="1" applyBorder="1" applyAlignment="1"/>
    <xf numFmtId="0" fontId="103" fillId="0" borderId="128" xfId="0" applyFont="1" applyBorder="1" applyAlignment="1"/>
    <xf numFmtId="43" fontId="103" fillId="0" borderId="128" xfId="8" applyFont="1" applyBorder="1" applyAlignment="1">
      <alignment horizontal="center"/>
    </xf>
    <xf numFmtId="0" fontId="103" fillId="0" borderId="128" xfId="0" applyFont="1" applyBorder="1" applyAlignment="1">
      <alignment horizontal="center" wrapText="1"/>
    </xf>
    <xf numFmtId="41" fontId="103" fillId="0" borderId="128" xfId="0" applyNumberFormat="1" applyFont="1" applyBorder="1" applyAlignment="1">
      <alignment horizontal="center"/>
    </xf>
    <xf numFmtId="177" fontId="28" fillId="0" borderId="131" xfId="0" applyNumberFormat="1" applyFont="1" applyBorder="1" applyAlignment="1">
      <alignment horizontal="right"/>
    </xf>
    <xf numFmtId="0" fontId="28" fillId="0" borderId="131" xfId="0" applyFont="1" applyBorder="1" applyAlignment="1">
      <alignment horizontal="center" vertical="center"/>
    </xf>
    <xf numFmtId="0" fontId="103" fillId="0" borderId="121" xfId="0" applyFont="1" applyBorder="1">
      <alignment vertical="center"/>
    </xf>
    <xf numFmtId="0" fontId="103" fillId="0" borderId="133" xfId="0" applyFont="1" applyBorder="1" applyAlignment="1">
      <alignment vertical="center" wrapText="1"/>
    </xf>
    <xf numFmtId="177" fontId="28" fillId="0" borderId="26" xfId="0" applyNumberFormat="1" applyFont="1" applyBorder="1" applyAlignment="1">
      <alignment horizontal="right"/>
    </xf>
    <xf numFmtId="43" fontId="109" fillId="0" borderId="134" xfId="8" applyFont="1" applyBorder="1" applyAlignment="1">
      <alignment horizontal="center" vertical="center" wrapText="1"/>
    </xf>
    <xf numFmtId="41" fontId="109" fillId="0" borderId="134" xfId="0" applyNumberFormat="1" applyFont="1" applyBorder="1">
      <alignment vertical="center"/>
    </xf>
    <xf numFmtId="41" fontId="109" fillId="0" borderId="134" xfId="0" applyNumberFormat="1" applyFont="1" applyBorder="1" applyAlignment="1"/>
    <xf numFmtId="0" fontId="103" fillId="0" borderId="135" xfId="0" applyFont="1" applyBorder="1" applyAlignment="1">
      <alignment horizontal="center" vertical="center"/>
    </xf>
    <xf numFmtId="0" fontId="101" fillId="0" borderId="121" xfId="0" applyFont="1" applyBorder="1" applyAlignment="1">
      <alignment horizontal="center" vertical="center" wrapText="1"/>
    </xf>
    <xf numFmtId="165" fontId="101" fillId="0" borderId="121" xfId="9" applyFont="1" applyFill="1" applyBorder="1" applyAlignment="1">
      <alignment horizontal="right" vertical="center"/>
    </xf>
    <xf numFmtId="41" fontId="101" fillId="0" borderId="121" xfId="0" applyNumberFormat="1" applyFont="1" applyBorder="1">
      <alignment vertical="center"/>
    </xf>
    <xf numFmtId="176" fontId="7" fillId="0" borderId="131" xfId="0" applyNumberFormat="1" applyFont="1" applyBorder="1" applyAlignment="1">
      <alignment horizontal="center" vertical="center"/>
    </xf>
    <xf numFmtId="43" fontId="7" fillId="0" borderId="132" xfId="8" applyFont="1" applyFill="1" applyBorder="1" applyAlignment="1">
      <alignment horizontal="right"/>
    </xf>
    <xf numFmtId="177" fontId="7" fillId="0" borderId="131" xfId="0" applyNumberFormat="1" applyFont="1" applyBorder="1">
      <alignment vertical="center"/>
    </xf>
    <xf numFmtId="0" fontId="85" fillId="0" borderId="131" xfId="0" applyFont="1" applyBorder="1" applyAlignment="1">
      <alignment horizontal="left" vertical="center"/>
    </xf>
    <xf numFmtId="2" fontId="85" fillId="0" borderId="131" xfId="0" applyNumberFormat="1" applyFont="1" applyBorder="1" applyAlignment="1">
      <alignment horizontal="right" vertical="center" wrapText="1"/>
    </xf>
    <xf numFmtId="0" fontId="85" fillId="0" borderId="131" xfId="0" applyFont="1" applyBorder="1" applyAlignment="1">
      <alignment horizontal="center" vertical="center" wrapText="1"/>
    </xf>
    <xf numFmtId="41" fontId="85" fillId="0" borderId="131" xfId="0" applyNumberFormat="1" applyFont="1" applyBorder="1" applyAlignment="1">
      <alignment horizontal="right" vertical="center"/>
    </xf>
    <xf numFmtId="175" fontId="7" fillId="0" borderId="14" xfId="0" applyNumberFormat="1" applyFont="1" applyBorder="1" applyAlignment="1">
      <alignment horizontal="center"/>
    </xf>
    <xf numFmtId="0" fontId="50" fillId="0" borderId="131" xfId="0" applyFont="1" applyBorder="1" applyAlignment="1">
      <alignment horizontal="center"/>
    </xf>
    <xf numFmtId="0" fontId="50" fillId="0" borderId="131" xfId="0" applyFont="1" applyBorder="1" applyAlignment="1">
      <alignment horizontal="center" vertical="center"/>
    </xf>
    <xf numFmtId="0" fontId="130" fillId="0" borderId="0" xfId="0" applyFont="1">
      <alignment vertical="center"/>
    </xf>
    <xf numFmtId="0" fontId="28" fillId="0" borderId="113" xfId="0" applyFont="1" applyBorder="1" applyAlignment="1">
      <alignment horizontal="center" vertical="center"/>
    </xf>
    <xf numFmtId="0" fontId="28" fillId="0" borderId="136" xfId="0" applyFont="1" applyBorder="1" applyAlignment="1">
      <alignment horizontal="center" vertical="center"/>
    </xf>
    <xf numFmtId="0" fontId="28" fillId="0" borderId="89" xfId="76" applyFont="1" applyBorder="1" applyAlignment="1"/>
    <xf numFmtId="0" fontId="83" fillId="0" borderId="65" xfId="0" applyFont="1" applyBorder="1" applyAlignment="1">
      <alignment horizontal="center" vertical="center"/>
    </xf>
    <xf numFmtId="0" fontId="83" fillId="0" borderId="89" xfId="0" applyFont="1" applyBorder="1" applyAlignment="1">
      <alignment horizontal="center" vertical="center"/>
    </xf>
    <xf numFmtId="43" fontId="83" fillId="0" borderId="65" xfId="8" applyFont="1" applyFill="1" applyBorder="1" applyAlignment="1">
      <alignment horizontal="left" vertical="center"/>
    </xf>
    <xf numFmtId="41" fontId="28" fillId="0" borderId="112" xfId="0" applyNumberFormat="1" applyFont="1" applyBorder="1" applyAlignment="1">
      <alignment horizontal="right" vertical="center"/>
    </xf>
    <xf numFmtId="0" fontId="127" fillId="0" borderId="0" xfId="0" applyFont="1">
      <alignment vertical="center"/>
    </xf>
    <xf numFmtId="43" fontId="7" fillId="0" borderId="131" xfId="8" applyFont="1" applyFill="1" applyBorder="1" applyAlignment="1">
      <alignment horizontal="right"/>
    </xf>
    <xf numFmtId="0" fontId="7" fillId="0" borderId="131" xfId="0" applyFont="1" applyBorder="1" applyAlignment="1">
      <alignment horizontal="left" vertical="center" wrapText="1"/>
    </xf>
    <xf numFmtId="41" fontId="7" fillId="0" borderId="131" xfId="9" applyNumberFormat="1" applyFont="1" applyFill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98" fillId="0" borderId="0" xfId="0" applyFont="1">
      <alignment vertical="center"/>
    </xf>
    <xf numFmtId="41" fontId="83" fillId="8" borderId="131" xfId="9" applyNumberFormat="1" applyFont="1" applyFill="1" applyBorder="1" applyAlignment="1">
      <alignment horizontal="center" vertical="center"/>
    </xf>
    <xf numFmtId="43" fontId="28" fillId="0" borderId="26" xfId="8" applyFont="1" applyBorder="1" applyAlignment="1">
      <alignment horizontal="right"/>
    </xf>
    <xf numFmtId="41" fontId="28" fillId="0" borderId="26" xfId="9" applyNumberFormat="1" applyFont="1" applyFill="1" applyBorder="1" applyAlignment="1">
      <alignment vertical="center"/>
    </xf>
    <xf numFmtId="177" fontId="28" fillId="0" borderId="26" xfId="8" applyNumberFormat="1" applyFont="1" applyFill="1" applyBorder="1" applyAlignment="1">
      <alignment horizontal="center" vertical="center"/>
    </xf>
    <xf numFmtId="43" fontId="28" fillId="0" borderId="19" xfId="8" applyFont="1" applyBorder="1" applyAlignment="1">
      <alignment horizontal="right"/>
    </xf>
    <xf numFmtId="41" fontId="28" fillId="0" borderId="19" xfId="9" applyNumberFormat="1" applyFont="1" applyFill="1" applyBorder="1" applyAlignment="1">
      <alignment vertical="center"/>
    </xf>
    <xf numFmtId="177" fontId="28" fillId="0" borderId="19" xfId="8" applyNumberFormat="1" applyFont="1" applyFill="1" applyBorder="1" applyAlignment="1">
      <alignment horizontal="center" vertical="center"/>
    </xf>
    <xf numFmtId="176" fontId="132" fillId="0" borderId="118" xfId="0" applyNumberFormat="1" applyFont="1" applyBorder="1" applyAlignment="1">
      <alignment horizontal="center" vertical="center"/>
    </xf>
    <xf numFmtId="0" fontId="133" fillId="0" borderId="123" xfId="0" applyFont="1" applyBorder="1" applyAlignment="1">
      <alignment horizontal="left" vertical="center" wrapText="1"/>
    </xf>
    <xf numFmtId="176" fontId="103" fillId="0" borderId="118" xfId="0" applyNumberFormat="1" applyFont="1" applyBorder="1" applyAlignment="1">
      <alignment horizontal="center" vertical="center"/>
    </xf>
    <xf numFmtId="2" fontId="51" fillId="0" borderId="137" xfId="0" applyNumberFormat="1" applyFont="1" applyBorder="1" applyAlignment="1">
      <alignment horizontal="center" vertical="center"/>
    </xf>
    <xf numFmtId="177" fontId="103" fillId="0" borderId="123" xfId="8" applyNumberFormat="1" applyFont="1" applyFill="1" applyBorder="1" applyAlignment="1">
      <alignment horizontal="center" vertical="center" wrapText="1"/>
    </xf>
    <xf numFmtId="2" fontId="54" fillId="8" borderId="123" xfId="77" applyNumberFormat="1" applyFont="1" applyFill="1" applyBorder="1" applyAlignment="1">
      <alignment horizontal="center" vertical="center"/>
    </xf>
    <xf numFmtId="41" fontId="54" fillId="8" borderId="138" xfId="78" applyFont="1" applyFill="1" applyBorder="1" applyAlignment="1">
      <alignment horizontal="right" vertical="center"/>
    </xf>
    <xf numFmtId="2" fontId="132" fillId="0" borderId="123" xfId="0" applyNumberFormat="1" applyFont="1" applyBorder="1" applyAlignment="1">
      <alignment horizontal="center"/>
    </xf>
    <xf numFmtId="177" fontId="132" fillId="0" borderId="123" xfId="8" applyNumberFormat="1" applyFont="1" applyBorder="1" applyAlignment="1">
      <alignment horizontal="center" vertical="center" wrapText="1"/>
    </xf>
    <xf numFmtId="2" fontId="132" fillId="0" borderId="123" xfId="0" applyNumberFormat="1" applyFont="1" applyBorder="1" applyAlignment="1">
      <alignment horizontal="center" vertical="center"/>
    </xf>
    <xf numFmtId="2" fontId="132" fillId="0" borderId="123" xfId="0" applyNumberFormat="1" applyFont="1" applyBorder="1" applyAlignment="1">
      <alignment horizontal="center" vertical="center" wrapText="1"/>
    </xf>
    <xf numFmtId="177" fontId="54" fillId="8" borderId="138" xfId="8" applyNumberFormat="1" applyFont="1" applyFill="1" applyBorder="1" applyAlignment="1">
      <alignment horizontal="right" vertical="center"/>
    </xf>
    <xf numFmtId="41" fontId="54" fillId="8" borderId="123" xfId="78" applyFont="1" applyFill="1" applyBorder="1" applyAlignment="1">
      <alignment horizontal="right" vertical="center"/>
    </xf>
    <xf numFmtId="41" fontId="54" fillId="8" borderId="138" xfId="79" applyFont="1" applyFill="1" applyBorder="1" applyAlignment="1">
      <alignment horizontal="right" vertical="center"/>
    </xf>
    <xf numFmtId="2" fontId="99" fillId="0" borderId="137" xfId="77" applyNumberFormat="1" applyFont="1" applyBorder="1" applyAlignment="1">
      <alignment horizontal="center" vertical="center"/>
    </xf>
    <xf numFmtId="177" fontId="99" fillId="0" borderId="138" xfId="8" applyNumberFormat="1" applyFont="1" applyFill="1" applyBorder="1" applyAlignment="1">
      <alignment horizontal="right" vertical="center"/>
    </xf>
    <xf numFmtId="41" fontId="99" fillId="0" borderId="138" xfId="80" applyFont="1" applyFill="1" applyBorder="1" applyAlignment="1">
      <alignment horizontal="right" vertical="center"/>
    </xf>
    <xf numFmtId="176" fontId="28" fillId="9" borderId="83" xfId="0" applyNumberFormat="1" applyFont="1" applyFill="1" applyBorder="1" applyAlignment="1">
      <alignment horizontal="center" vertical="center"/>
    </xf>
    <xf numFmtId="0" fontId="28" fillId="9" borderId="83" xfId="0" applyFont="1" applyFill="1" applyBorder="1" applyAlignment="1">
      <alignment horizontal="left" vertical="center"/>
    </xf>
    <xf numFmtId="176" fontId="7" fillId="9" borderId="132" xfId="0" applyNumberFormat="1" applyFont="1" applyFill="1" applyBorder="1" applyAlignment="1">
      <alignment horizontal="center" vertical="center"/>
    </xf>
    <xf numFmtId="0" fontId="7" fillId="9" borderId="132" xfId="0" applyFont="1" applyFill="1" applyBorder="1" applyAlignment="1">
      <alignment horizontal="center"/>
    </xf>
    <xf numFmtId="0" fontId="28" fillId="9" borderId="13" xfId="0" applyFont="1" applyFill="1" applyBorder="1">
      <alignment vertical="center"/>
    </xf>
    <xf numFmtId="176" fontId="28" fillId="9" borderId="132" xfId="0" applyNumberFormat="1" applyFont="1" applyFill="1" applyBorder="1" applyAlignment="1">
      <alignment horizontal="center" vertical="center"/>
    </xf>
    <xf numFmtId="0" fontId="28" fillId="9" borderId="132" xfId="0" applyFont="1" applyFill="1" applyBorder="1">
      <alignment vertical="center"/>
    </xf>
    <xf numFmtId="177" fontId="28" fillId="0" borderId="0" xfId="8" applyNumberFormat="1" applyFont="1" applyFill="1" applyBorder="1" applyAlignment="1">
      <alignment vertical="center"/>
    </xf>
    <xf numFmtId="176" fontId="7" fillId="8" borderId="132" xfId="0" applyNumberFormat="1" applyFont="1" applyFill="1" applyBorder="1" applyAlignment="1">
      <alignment horizontal="center" vertical="center"/>
    </xf>
    <xf numFmtId="0" fontId="7" fillId="8" borderId="132" xfId="0" applyFont="1" applyFill="1" applyBorder="1" applyAlignment="1">
      <alignment horizontal="center"/>
    </xf>
    <xf numFmtId="176" fontId="28" fillId="8" borderId="83" xfId="0" applyNumberFormat="1" applyFont="1" applyFill="1" applyBorder="1" applyAlignment="1">
      <alignment horizontal="center" vertical="center"/>
    </xf>
    <xf numFmtId="0" fontId="28" fillId="8" borderId="83" xfId="0" applyFont="1" applyFill="1" applyBorder="1" applyAlignment="1">
      <alignment horizontal="left" vertical="center"/>
    </xf>
    <xf numFmtId="0" fontId="28" fillId="8" borderId="131" xfId="0" applyFont="1" applyFill="1" applyBorder="1">
      <alignment vertical="center"/>
    </xf>
    <xf numFmtId="0" fontId="28" fillId="8" borderId="131" xfId="0" applyFont="1" applyFill="1" applyBorder="1" applyAlignment="1">
      <alignment horizontal="left"/>
    </xf>
    <xf numFmtId="0" fontId="103" fillId="0" borderId="30" xfId="0" applyFont="1" applyBorder="1" applyAlignment="1">
      <alignment horizontal="center" vertical="center"/>
    </xf>
    <xf numFmtId="43" fontId="28" fillId="0" borderId="131" xfId="8" applyFont="1" applyBorder="1" applyAlignment="1">
      <alignment horizontal="center"/>
    </xf>
    <xf numFmtId="15" fontId="28" fillId="8" borderId="26" xfId="0" applyNumberFormat="1" applyFont="1" applyFill="1" applyBorder="1" applyAlignment="1">
      <alignment horizontal="center" vertical="center"/>
    </xf>
    <xf numFmtId="0" fontId="28" fillId="8" borderId="26" xfId="0" applyFont="1" applyFill="1" applyBorder="1">
      <alignment vertical="center"/>
    </xf>
    <xf numFmtId="0" fontId="109" fillId="8" borderId="118" xfId="0" applyFont="1" applyFill="1" applyBorder="1" applyAlignment="1">
      <alignment horizontal="center"/>
    </xf>
    <xf numFmtId="0" fontId="109" fillId="8" borderId="115" xfId="0" applyFont="1" applyFill="1" applyBorder="1" applyAlignment="1">
      <alignment horizontal="center"/>
    </xf>
    <xf numFmtId="0" fontId="103" fillId="0" borderId="131" xfId="0" applyFont="1" applyBorder="1" applyAlignment="1">
      <alignment wrapText="1"/>
    </xf>
    <xf numFmtId="43" fontId="103" fillId="0" borderId="131" xfId="8" applyFont="1" applyFill="1" applyBorder="1" applyAlignment="1">
      <alignment horizontal="center" vertical="center"/>
    </xf>
    <xf numFmtId="0" fontId="100" fillId="0" borderId="131" xfId="0" applyFont="1" applyBorder="1" applyAlignment="1">
      <alignment horizontal="center" vertical="center"/>
    </xf>
    <xf numFmtId="15" fontId="28" fillId="8" borderId="120" xfId="0" applyNumberFormat="1" applyFont="1" applyFill="1" applyBorder="1" applyAlignment="1">
      <alignment horizontal="center" vertical="center"/>
    </xf>
    <xf numFmtId="0" fontId="109" fillId="0" borderId="138" xfId="0" applyFont="1" applyBorder="1" applyAlignment="1">
      <alignment horizontal="center"/>
    </xf>
    <xf numFmtId="0" fontId="109" fillId="0" borderId="138" xfId="0" applyFont="1" applyBorder="1" applyAlignment="1"/>
    <xf numFmtId="0" fontId="103" fillId="0" borderId="138" xfId="0" applyFont="1" applyBorder="1" applyAlignment="1">
      <alignment vertical="center" wrapText="1"/>
    </xf>
    <xf numFmtId="43" fontId="109" fillId="0" borderId="138" xfId="8" applyFont="1" applyBorder="1" applyAlignment="1">
      <alignment horizontal="center" vertical="center" wrapText="1"/>
    </xf>
    <xf numFmtId="41" fontId="109" fillId="0" borderId="138" xfId="0" applyNumberFormat="1" applyFont="1" applyBorder="1">
      <alignment vertical="center"/>
    </xf>
    <xf numFmtId="41" fontId="109" fillId="0" borderId="138" xfId="0" applyNumberFormat="1" applyFont="1" applyBorder="1" applyAlignment="1"/>
    <xf numFmtId="41" fontId="0" fillId="0" borderId="0" xfId="0" applyNumberFormat="1" applyAlignment="1"/>
    <xf numFmtId="41" fontId="109" fillId="0" borderId="137" xfId="0" applyNumberFormat="1" applyFont="1" applyBorder="1" applyAlignment="1"/>
    <xf numFmtId="0" fontId="28" fillId="8" borderId="131" xfId="0" applyFont="1" applyFill="1" applyBorder="1" applyAlignment="1">
      <alignment horizontal="left" vertical="center"/>
    </xf>
    <xf numFmtId="43" fontId="28" fillId="8" borderId="131" xfId="8" applyFont="1" applyFill="1" applyBorder="1" applyAlignment="1">
      <alignment horizontal="center"/>
    </xf>
    <xf numFmtId="0" fontId="109" fillId="8" borderId="129" xfId="0" applyFont="1" applyFill="1" applyBorder="1" applyAlignment="1">
      <alignment horizontal="center"/>
    </xf>
    <xf numFmtId="0" fontId="109" fillId="8" borderId="138" xfId="0" applyFont="1" applyFill="1" applyBorder="1" applyAlignment="1">
      <alignment horizontal="center"/>
    </xf>
    <xf numFmtId="0" fontId="102" fillId="8" borderId="131" xfId="0" applyFont="1" applyFill="1" applyBorder="1" applyAlignment="1">
      <alignment horizontal="center"/>
    </xf>
    <xf numFmtId="0" fontId="109" fillId="0" borderId="139" xfId="0" applyFont="1" applyBorder="1" applyAlignment="1">
      <alignment horizontal="center"/>
    </xf>
    <xf numFmtId="0" fontId="103" fillId="0" borderId="141" xfId="0" applyFont="1" applyBorder="1" applyAlignment="1">
      <alignment vertical="center" wrapText="1"/>
    </xf>
    <xf numFmtId="43" fontId="103" fillId="0" borderId="141" xfId="8" applyFont="1" applyBorder="1" applyAlignment="1">
      <alignment horizontal="center" vertical="center" wrapText="1"/>
    </xf>
    <xf numFmtId="0" fontId="103" fillId="0" borderId="141" xfId="0" applyFont="1" applyBorder="1" applyAlignment="1">
      <alignment horizontal="center" vertical="center" wrapText="1"/>
    </xf>
    <xf numFmtId="41" fontId="103" fillId="0" borderId="141" xfId="0" applyNumberFormat="1" applyFont="1" applyBorder="1" applyAlignment="1">
      <alignment horizontal="right" vertical="center" wrapText="1"/>
    </xf>
    <xf numFmtId="41" fontId="103" fillId="0" borderId="138" xfId="0" applyNumberFormat="1" applyFont="1" applyBorder="1" applyAlignment="1"/>
    <xf numFmtId="0" fontId="109" fillId="0" borderId="30" xfId="0" applyFont="1" applyBorder="1" applyAlignment="1">
      <alignment horizontal="center" vertical="center"/>
    </xf>
    <xf numFmtId="0" fontId="109" fillId="0" borderId="14" xfId="0" applyFont="1" applyBorder="1" applyAlignment="1">
      <alignment horizontal="center" vertical="center"/>
    </xf>
    <xf numFmtId="0" fontId="98" fillId="0" borderId="13" xfId="0" applyFont="1" applyBorder="1">
      <alignment vertical="center"/>
    </xf>
    <xf numFmtId="0" fontId="103" fillId="0" borderId="116" xfId="0" applyFont="1" applyBorder="1" applyAlignment="1">
      <alignment horizontal="center" vertical="center"/>
    </xf>
    <xf numFmtId="0" fontId="103" fillId="0" borderId="141" xfId="0" applyFont="1" applyBorder="1" applyAlignment="1"/>
    <xf numFmtId="43" fontId="103" fillId="0" borderId="141" xfId="8" applyFont="1" applyBorder="1" applyAlignment="1">
      <alignment horizontal="center"/>
    </xf>
    <xf numFmtId="0" fontId="103" fillId="0" borderId="141" xfId="0" applyFont="1" applyBorder="1" applyAlignment="1">
      <alignment horizontal="center" wrapText="1"/>
    </xf>
    <xf numFmtId="41" fontId="103" fillId="0" borderId="141" xfId="0" applyNumberFormat="1" applyFont="1" applyBorder="1" applyAlignment="1">
      <alignment horizontal="center"/>
    </xf>
    <xf numFmtId="0" fontId="124" fillId="8" borderId="0" xfId="0" applyFont="1" applyFill="1" applyAlignment="1"/>
    <xf numFmtId="43" fontId="7" fillId="0" borderId="131" xfId="8" applyFont="1" applyBorder="1" applyAlignment="1">
      <alignment horizontal="center"/>
    </xf>
    <xf numFmtId="0" fontId="109" fillId="0" borderId="30" xfId="0" applyFont="1" applyBorder="1" applyAlignment="1"/>
    <xf numFmtId="175" fontId="7" fillId="0" borderId="131" xfId="0" applyNumberFormat="1" applyFont="1" applyBorder="1" applyAlignment="1">
      <alignment horizontal="center"/>
    </xf>
    <xf numFmtId="41" fontId="134" fillId="0" borderId="0" xfId="0" applyNumberFormat="1" applyFont="1" applyAlignment="1">
      <alignment vertical="center" wrapText="1"/>
    </xf>
    <xf numFmtId="0" fontId="28" fillId="8" borderId="10" xfId="0" applyFont="1" applyFill="1" applyBorder="1" applyAlignment="1">
      <alignment horizontal="center"/>
    </xf>
    <xf numFmtId="176" fontId="84" fillId="8" borderId="83" xfId="0" applyNumberFormat="1" applyFont="1" applyFill="1" applyBorder="1" applyAlignment="1">
      <alignment horizontal="center" vertical="center"/>
    </xf>
    <xf numFmtId="0" fontId="84" fillId="8" borderId="83" xfId="0" applyFont="1" applyFill="1" applyBorder="1" applyAlignment="1">
      <alignment horizontal="left" vertical="center"/>
    </xf>
    <xf numFmtId="15" fontId="98" fillId="0" borderId="13" xfId="0" applyNumberFormat="1" applyFont="1" applyBorder="1" applyAlignment="1">
      <alignment horizontal="center" vertical="center"/>
    </xf>
    <xf numFmtId="15" fontId="98" fillId="0" borderId="131" xfId="0" applyNumberFormat="1" applyFont="1" applyBorder="1" applyAlignment="1">
      <alignment horizontal="center" vertical="center"/>
    </xf>
    <xf numFmtId="0" fontId="98" fillId="0" borderId="131" xfId="0" applyFont="1" applyBorder="1">
      <alignment vertical="center"/>
    </xf>
    <xf numFmtId="15" fontId="98" fillId="8" borderId="13" xfId="0" applyNumberFormat="1" applyFont="1" applyFill="1" applyBorder="1" applyAlignment="1">
      <alignment horizontal="center" vertical="center"/>
    </xf>
    <xf numFmtId="0" fontId="98" fillId="8" borderId="13" xfId="0" applyFont="1" applyFill="1" applyBorder="1">
      <alignment vertical="center"/>
    </xf>
    <xf numFmtId="41" fontId="135" fillId="0" borderId="0" xfId="0" applyNumberFormat="1" applyFont="1" applyAlignment="1">
      <alignment wrapText="1"/>
    </xf>
    <xf numFmtId="0" fontId="28" fillId="8" borderId="30" xfId="0" applyFont="1" applyFill="1" applyBorder="1">
      <alignment vertical="center"/>
    </xf>
    <xf numFmtId="43" fontId="103" fillId="0" borderId="138" xfId="8" applyFont="1" applyBorder="1" applyAlignment="1">
      <alignment horizontal="center" vertical="center" wrapText="1"/>
    </xf>
    <xf numFmtId="0" fontId="103" fillId="0" borderId="138" xfId="0" applyFont="1" applyBorder="1" applyAlignment="1">
      <alignment horizontal="center" vertical="center" wrapText="1"/>
    </xf>
    <xf numFmtId="41" fontId="103" fillId="0" borderId="138" xfId="0" applyNumberFormat="1" applyFont="1" applyBorder="1" applyAlignment="1">
      <alignment horizontal="right" vertical="center" wrapText="1"/>
    </xf>
    <xf numFmtId="0" fontId="28" fillId="0" borderId="30" xfId="0" applyFont="1" applyBorder="1" applyAlignment="1">
      <alignment horizontal="left" vertical="center"/>
    </xf>
    <xf numFmtId="15" fontId="28" fillId="0" borderId="14" xfId="0" applyNumberFormat="1" applyFont="1" applyBorder="1" applyAlignment="1">
      <alignment horizontal="center" vertical="center"/>
    </xf>
    <xf numFmtId="0" fontId="127" fillId="8" borderId="0" xfId="0" applyFont="1" applyFill="1" applyAlignment="1"/>
    <xf numFmtId="0" fontId="28" fillId="8" borderId="13" xfId="0" applyFont="1" applyFill="1" applyBorder="1" applyAlignment="1">
      <alignment horizontal="center"/>
    </xf>
    <xf numFmtId="176" fontId="98" fillId="0" borderId="13" xfId="0" applyNumberFormat="1" applyFont="1" applyBorder="1" applyAlignment="1">
      <alignment horizontal="center" vertical="center"/>
    </xf>
    <xf numFmtId="0" fontId="136" fillId="0" borderId="13" xfId="0" applyFont="1" applyBorder="1">
      <alignment vertical="center"/>
    </xf>
    <xf numFmtId="0" fontId="118" fillId="0" borderId="131" xfId="0" applyFont="1" applyBorder="1" applyAlignment="1">
      <alignment horizontal="center"/>
    </xf>
    <xf numFmtId="0" fontId="137" fillId="0" borderId="118" xfId="0" applyFont="1" applyBorder="1" applyAlignment="1">
      <alignment horizontal="center"/>
    </xf>
    <xf numFmtId="0" fontId="137" fillId="0" borderId="115" xfId="0" applyFont="1" applyBorder="1" applyAlignment="1">
      <alignment horizontal="center"/>
    </xf>
    <xf numFmtId="0" fontId="83" fillId="0" borderId="30" xfId="0" applyFont="1" applyBorder="1" applyAlignment="1">
      <alignment horizontal="left"/>
    </xf>
    <xf numFmtId="43" fontId="28" fillId="8" borderId="30" xfId="8" applyFont="1" applyFill="1" applyBorder="1" applyAlignment="1">
      <alignment vertical="center"/>
    </xf>
    <xf numFmtId="0" fontId="101" fillId="0" borderId="141" xfId="0" applyFont="1" applyBorder="1" applyAlignment="1">
      <alignment horizontal="center" vertical="center" wrapText="1"/>
    </xf>
    <xf numFmtId="41" fontId="28" fillId="8" borderId="30" xfId="8" applyNumberFormat="1" applyFont="1" applyFill="1" applyBorder="1" applyAlignment="1">
      <alignment vertical="center"/>
    </xf>
    <xf numFmtId="41" fontId="83" fillId="8" borderId="30" xfId="9" applyNumberFormat="1" applyFont="1" applyFill="1" applyBorder="1" applyAlignment="1">
      <alignment horizontal="center" vertical="center"/>
    </xf>
    <xf numFmtId="0" fontId="138" fillId="0" borderId="0" xfId="0" applyFont="1" applyAlignment="1"/>
    <xf numFmtId="0" fontId="98" fillId="0" borderId="13" xfId="0" applyFont="1" applyBorder="1" applyAlignment="1">
      <alignment horizontal="left"/>
    </xf>
    <xf numFmtId="15" fontId="98" fillId="8" borderId="120" xfId="0" applyNumberFormat="1" applyFont="1" applyFill="1" applyBorder="1" applyAlignment="1">
      <alignment horizontal="center" vertical="center"/>
    </xf>
    <xf numFmtId="0" fontId="98" fillId="8" borderId="30" xfId="0" applyFont="1" applyFill="1" applyBorder="1">
      <alignment vertical="center"/>
    </xf>
    <xf numFmtId="0" fontId="139" fillId="0" borderId="13" xfId="0" applyFont="1" applyBorder="1" applyAlignment="1">
      <alignment horizontal="left" vertical="center" wrapText="1"/>
    </xf>
    <xf numFmtId="0" fontId="98" fillId="0" borderId="131" xfId="0" applyFont="1" applyBorder="1" applyAlignment="1">
      <alignment horizontal="left"/>
    </xf>
    <xf numFmtId="176" fontId="98" fillId="0" borderId="131" xfId="0" applyNumberFormat="1" applyFont="1" applyBorder="1" applyAlignment="1">
      <alignment horizontal="center" vertical="center"/>
    </xf>
    <xf numFmtId="15" fontId="98" fillId="8" borderId="131" xfId="0" applyNumberFormat="1" applyFont="1" applyFill="1" applyBorder="1" applyAlignment="1">
      <alignment horizontal="center" vertical="center"/>
    </xf>
    <xf numFmtId="0" fontId="98" fillId="8" borderId="131" xfId="0" applyFont="1" applyFill="1" applyBorder="1">
      <alignment vertical="center"/>
    </xf>
    <xf numFmtId="0" fontId="98" fillId="8" borderId="131" xfId="0" applyFont="1" applyFill="1" applyBorder="1" applyAlignment="1">
      <alignment horizontal="left"/>
    </xf>
    <xf numFmtId="0" fontId="137" fillId="0" borderId="115" xfId="0" applyFont="1" applyBorder="1" applyAlignment="1"/>
    <xf numFmtId="0" fontId="139" fillId="0" borderId="115" xfId="0" applyFont="1" applyBorder="1" applyAlignment="1">
      <alignment horizontal="left" vertical="center"/>
    </xf>
    <xf numFmtId="43" fontId="139" fillId="0" borderId="115" xfId="8" applyFont="1" applyBorder="1" applyAlignment="1">
      <alignment horizontal="center" vertical="center"/>
    </xf>
    <xf numFmtId="0" fontId="139" fillId="0" borderId="115" xfId="0" applyFont="1" applyBorder="1" applyAlignment="1">
      <alignment horizontal="center" vertical="center"/>
    </xf>
    <xf numFmtId="41" fontId="139" fillId="0" borderId="115" xfId="0" applyNumberFormat="1" applyFont="1" applyBorder="1" applyAlignment="1">
      <alignment horizontal="right" vertical="center"/>
    </xf>
    <xf numFmtId="41" fontId="139" fillId="0" borderId="115" xfId="0" applyNumberFormat="1" applyFont="1" applyBorder="1" applyAlignment="1"/>
    <xf numFmtId="43" fontId="98" fillId="8" borderId="13" xfId="8" applyFont="1" applyFill="1" applyBorder="1" applyAlignment="1">
      <alignment vertical="center"/>
    </xf>
    <xf numFmtId="0" fontId="139" fillId="0" borderId="65" xfId="0" applyFont="1" applyBorder="1" applyAlignment="1">
      <alignment horizontal="center" vertical="center" wrapText="1"/>
    </xf>
    <xf numFmtId="41" fontId="98" fillId="8" borderId="13" xfId="8" applyNumberFormat="1" applyFont="1" applyFill="1" applyBorder="1" applyAlignment="1">
      <alignment vertical="center"/>
    </xf>
    <xf numFmtId="41" fontId="98" fillId="8" borderId="13" xfId="9" applyNumberFormat="1" applyFont="1" applyFill="1" applyBorder="1" applyAlignment="1">
      <alignment horizontal="center" vertical="center"/>
    </xf>
    <xf numFmtId="0" fontId="139" fillId="0" borderId="116" xfId="0" applyFont="1" applyBorder="1" applyAlignment="1">
      <alignment horizontal="center" vertical="center"/>
    </xf>
    <xf numFmtId="0" fontId="137" fillId="0" borderId="139" xfId="0" applyFont="1" applyBorder="1" applyAlignment="1">
      <alignment horizontal="center"/>
    </xf>
    <xf numFmtId="0" fontId="137" fillId="0" borderId="30" xfId="0" applyFont="1" applyBorder="1" applyAlignment="1">
      <alignment horizontal="center"/>
    </xf>
    <xf numFmtId="0" fontId="137" fillId="0" borderId="30" xfId="0" applyFont="1" applyBorder="1" applyAlignment="1"/>
    <xf numFmtId="0" fontId="139" fillId="0" borderId="30" xfId="0" applyFont="1" applyBorder="1" applyAlignment="1">
      <alignment horizontal="center" vertical="center"/>
    </xf>
    <xf numFmtId="0" fontId="139" fillId="0" borderId="14" xfId="0" applyFont="1" applyBorder="1" applyAlignment="1">
      <alignment horizontal="center" vertical="center"/>
    </xf>
    <xf numFmtId="0" fontId="139" fillId="0" borderId="115" xfId="0" applyFont="1" applyBorder="1" applyAlignment="1">
      <alignment vertical="center" wrapText="1"/>
    </xf>
    <xf numFmtId="43" fontId="137" fillId="0" borderId="115" xfId="8" applyFont="1" applyBorder="1" applyAlignment="1">
      <alignment horizontal="center" vertical="center" wrapText="1"/>
    </xf>
    <xf numFmtId="41" fontId="137" fillId="0" borderId="115" xfId="0" applyNumberFormat="1" applyFont="1" applyBorder="1">
      <alignment vertical="center"/>
    </xf>
    <xf numFmtId="41" fontId="137" fillId="0" borderId="115" xfId="0" applyNumberFormat="1" applyFont="1" applyBorder="1" applyAlignment="1"/>
    <xf numFmtId="0" fontId="139" fillId="0" borderId="115" xfId="0" applyFont="1" applyBorder="1" applyAlignment="1">
      <alignment horizontal="center"/>
    </xf>
    <xf numFmtId="15" fontId="83" fillId="0" borderId="13" xfId="0" applyNumberFormat="1" applyFont="1" applyBorder="1" applyAlignment="1">
      <alignment horizontal="center" vertical="center"/>
    </xf>
    <xf numFmtId="0" fontId="83" fillId="0" borderId="13" xfId="0" applyFont="1" applyBorder="1">
      <alignment vertical="center"/>
    </xf>
    <xf numFmtId="0" fontId="140" fillId="0" borderId="0" xfId="0" applyFont="1" applyAlignment="1">
      <alignment wrapText="1"/>
    </xf>
    <xf numFmtId="0" fontId="141" fillId="0" borderId="13" xfId="0" applyFont="1" applyBorder="1">
      <alignment vertical="center"/>
    </xf>
    <xf numFmtId="43" fontId="28" fillId="0" borderId="132" xfId="8" applyFont="1" applyFill="1" applyBorder="1" applyAlignment="1">
      <alignment horizontal="right" vertical="center"/>
    </xf>
    <xf numFmtId="15" fontId="83" fillId="8" borderId="13" xfId="0" applyNumberFormat="1" applyFont="1" applyFill="1" applyBorder="1" applyAlignment="1">
      <alignment horizontal="center" vertical="center"/>
    </xf>
    <xf numFmtId="176" fontId="83" fillId="8" borderId="13" xfId="0" applyNumberFormat="1" applyFont="1" applyFill="1" applyBorder="1" applyAlignment="1">
      <alignment horizontal="center" vertical="center"/>
    </xf>
    <xf numFmtId="41" fontId="103" fillId="0" borderId="140" xfId="0" applyNumberFormat="1" applyFont="1" applyBorder="1" applyAlignment="1"/>
    <xf numFmtId="0" fontId="103" fillId="0" borderId="138" xfId="0" applyFont="1" applyBorder="1" applyAlignment="1">
      <alignment horizontal="center"/>
    </xf>
    <xf numFmtId="0" fontId="103" fillId="0" borderId="130" xfId="0" applyFont="1" applyBorder="1" applyAlignment="1">
      <alignment horizontal="center"/>
    </xf>
    <xf numFmtId="9" fontId="7" fillId="0" borderId="13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center"/>
    </xf>
    <xf numFmtId="9" fontId="7" fillId="0" borderId="131" xfId="0" applyNumberFormat="1" applyFont="1" applyBorder="1" applyAlignment="1">
      <alignment horizontal="left"/>
    </xf>
    <xf numFmtId="0" fontId="5" fillId="8" borderId="13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83" fillId="8" borderId="65" xfId="0" applyFont="1" applyFill="1" applyBorder="1" applyAlignment="1"/>
    <xf numFmtId="176" fontId="5" fillId="8" borderId="13" xfId="0" applyNumberFormat="1" applyFont="1" applyFill="1" applyBorder="1" applyAlignment="1">
      <alignment horizontal="center" vertical="center"/>
    </xf>
    <xf numFmtId="0" fontId="5" fillId="8" borderId="26" xfId="0" applyFont="1" applyFill="1" applyBorder="1" applyAlignment="1">
      <alignment horizontal="left"/>
    </xf>
    <xf numFmtId="181" fontId="28" fillId="8" borderId="65" xfId="23" applyNumberFormat="1" applyFont="1" applyFill="1" applyBorder="1" applyAlignment="1">
      <alignment horizontal="right" vertical="center"/>
    </xf>
    <xf numFmtId="0" fontId="109" fillId="8" borderId="115" xfId="0" applyFont="1" applyFill="1" applyBorder="1" applyAlignment="1"/>
    <xf numFmtId="0" fontId="103" fillId="8" borderId="115" xfId="0" applyFont="1" applyFill="1" applyBorder="1" applyAlignment="1">
      <alignment horizontal="left" vertical="center"/>
    </xf>
    <xf numFmtId="43" fontId="103" fillId="8" borderId="115" xfId="8" applyFont="1" applyFill="1" applyBorder="1" applyAlignment="1">
      <alignment horizontal="center" vertical="center"/>
    </xf>
    <xf numFmtId="0" fontId="28" fillId="8" borderId="83" xfId="0" applyFont="1" applyFill="1" applyBorder="1" applyAlignment="1">
      <alignment horizontal="center"/>
    </xf>
    <xf numFmtId="180" fontId="28" fillId="8" borderId="13" xfId="8" applyNumberFormat="1" applyFont="1" applyFill="1" applyBorder="1" applyAlignment="1">
      <alignment horizontal="right"/>
    </xf>
    <xf numFmtId="176" fontId="28" fillId="8" borderId="10" xfId="0" applyNumberFormat="1" applyFont="1" applyFill="1" applyBorder="1" applyAlignment="1">
      <alignment horizontal="center" vertical="center"/>
    </xf>
    <xf numFmtId="0" fontId="28" fillId="8" borderId="10" xfId="0" applyFont="1" applyFill="1" applyBorder="1" applyAlignment="1">
      <alignment horizontal="left" vertical="center"/>
    </xf>
    <xf numFmtId="9" fontId="105" fillId="0" borderId="0" xfId="0" applyNumberFormat="1" applyFont="1" applyAlignment="1"/>
    <xf numFmtId="9" fontId="125" fillId="0" borderId="0" xfId="0" applyNumberFormat="1" applyFont="1" applyAlignment="1"/>
    <xf numFmtId="176" fontId="28" fillId="10" borderId="83" xfId="0" applyNumberFormat="1" applyFont="1" applyFill="1" applyBorder="1" applyAlignment="1">
      <alignment horizontal="center" vertical="center"/>
    </xf>
    <xf numFmtId="15" fontId="28" fillId="10" borderId="13" xfId="0" applyNumberFormat="1" applyFont="1" applyFill="1" applyBorder="1" applyAlignment="1">
      <alignment horizontal="center" vertical="center"/>
    </xf>
    <xf numFmtId="176" fontId="127" fillId="8" borderId="83" xfId="0" applyNumberFormat="1" applyFont="1" applyFill="1" applyBorder="1" applyAlignment="1">
      <alignment horizontal="center" vertical="center"/>
    </xf>
    <xf numFmtId="0" fontId="127" fillId="8" borderId="13" xfId="0" applyFont="1" applyFill="1" applyBorder="1">
      <alignment vertical="center"/>
    </xf>
    <xf numFmtId="0" fontId="127" fillId="0" borderId="83" xfId="0" applyFont="1" applyBorder="1" applyAlignment="1">
      <alignment horizontal="center" vertical="center"/>
    </xf>
    <xf numFmtId="176" fontId="127" fillId="0" borderId="83" xfId="0" applyNumberFormat="1" applyFont="1" applyBorder="1" applyAlignment="1">
      <alignment horizontal="center" vertical="center"/>
    </xf>
    <xf numFmtId="0" fontId="127" fillId="0" borderId="83" xfId="0" applyFont="1" applyBorder="1" applyAlignment="1">
      <alignment horizontal="left" vertical="center"/>
    </xf>
    <xf numFmtId="43" fontId="127" fillId="0" borderId="83" xfId="8" applyFont="1" applyFill="1" applyBorder="1" applyAlignment="1">
      <alignment horizontal="right" vertical="center"/>
    </xf>
    <xf numFmtId="0" fontId="127" fillId="0" borderId="83" xfId="0" applyFont="1" applyBorder="1" applyAlignment="1">
      <alignment horizontal="center" vertical="center" wrapText="1"/>
    </xf>
    <xf numFmtId="41" fontId="127" fillId="0" borderId="13" xfId="9" applyNumberFormat="1" applyFont="1" applyFill="1" applyBorder="1" applyAlignment="1">
      <alignment horizontal="right" vertical="center"/>
    </xf>
    <xf numFmtId="177" fontId="127" fillId="0" borderId="13" xfId="0" applyNumberFormat="1" applyFont="1" applyBorder="1" applyAlignment="1">
      <alignment horizontal="right" vertical="center" indent="1"/>
    </xf>
    <xf numFmtId="0" fontId="127" fillId="0" borderId="13" xfId="0" applyFont="1" applyBorder="1" applyAlignment="1">
      <alignment horizontal="left" vertical="center"/>
    </xf>
    <xf numFmtId="176" fontId="127" fillId="8" borderId="132" xfId="0" applyNumberFormat="1" applyFont="1" applyFill="1" applyBorder="1" applyAlignment="1">
      <alignment horizontal="center" vertical="center"/>
    </xf>
    <xf numFmtId="0" fontId="127" fillId="8" borderId="132" xfId="0" applyFont="1" applyFill="1" applyBorder="1">
      <alignment vertical="center"/>
    </xf>
    <xf numFmtId="0" fontId="127" fillId="0" borderId="132" xfId="0" applyFont="1" applyBorder="1" applyAlignment="1">
      <alignment horizontal="center" vertical="center"/>
    </xf>
    <xf numFmtId="176" fontId="127" fillId="0" borderId="132" xfId="0" applyNumberFormat="1" applyFont="1" applyBorder="1" applyAlignment="1">
      <alignment horizontal="center" vertical="center"/>
    </xf>
    <xf numFmtId="0" fontId="127" fillId="0" borderId="132" xfId="0" applyFont="1" applyBorder="1" applyAlignment="1">
      <alignment horizontal="left" vertical="center"/>
    </xf>
    <xf numFmtId="43" fontId="127" fillId="0" borderId="132" xfId="8" applyFont="1" applyFill="1" applyBorder="1" applyAlignment="1">
      <alignment horizontal="right" vertical="center"/>
    </xf>
    <xf numFmtId="0" fontId="127" fillId="0" borderId="132" xfId="0" applyFont="1" applyBorder="1" applyAlignment="1">
      <alignment horizontal="center" vertical="center" wrapText="1"/>
    </xf>
    <xf numFmtId="41" fontId="127" fillId="0" borderId="131" xfId="9" applyNumberFormat="1" applyFont="1" applyFill="1" applyBorder="1" applyAlignment="1">
      <alignment horizontal="right" vertical="center"/>
    </xf>
    <xf numFmtId="177" fontId="127" fillId="0" borderId="131" xfId="0" applyNumberFormat="1" applyFont="1" applyBorder="1" applyAlignment="1">
      <alignment horizontal="right" vertical="center" indent="1"/>
    </xf>
    <xf numFmtId="0" fontId="127" fillId="0" borderId="131" xfId="0" applyFont="1" applyBorder="1" applyAlignment="1">
      <alignment horizontal="left" vertical="center"/>
    </xf>
    <xf numFmtId="0" fontId="103" fillId="0" borderId="131" xfId="0" applyFont="1" applyBorder="1" applyAlignment="1">
      <alignment horizontal="left" vertical="center" wrapText="1"/>
    </xf>
    <xf numFmtId="43" fontId="28" fillId="8" borderId="131" xfId="8" applyFont="1" applyFill="1" applyBorder="1" applyAlignment="1">
      <alignment vertical="center"/>
    </xf>
    <xf numFmtId="41" fontId="28" fillId="8" borderId="0" xfId="8" applyNumberFormat="1" applyFont="1" applyFill="1" applyBorder="1" applyAlignment="1">
      <alignment vertical="center"/>
    </xf>
    <xf numFmtId="15" fontId="83" fillId="0" borderId="131" xfId="0" applyNumberFormat="1" applyFont="1" applyBorder="1" applyAlignment="1">
      <alignment horizontal="center" vertical="center"/>
    </xf>
    <xf numFmtId="0" fontId="83" fillId="0" borderId="131" xfId="0" applyFont="1" applyBorder="1">
      <alignment vertical="center"/>
    </xf>
    <xf numFmtId="0" fontId="99" fillId="0" borderId="30" xfId="0" applyFont="1" applyBorder="1" applyAlignment="1">
      <alignment horizontal="left" vertical="center"/>
    </xf>
    <xf numFmtId="0" fontId="103" fillId="0" borderId="138" xfId="0" applyFont="1" applyBorder="1" applyAlignment="1">
      <alignment horizontal="left" vertical="center"/>
    </xf>
    <xf numFmtId="43" fontId="103" fillId="0" borderId="138" xfId="8" applyFont="1" applyBorder="1" applyAlignment="1">
      <alignment horizontal="center" vertical="center"/>
    </xf>
    <xf numFmtId="0" fontId="103" fillId="0" borderId="138" xfId="0" applyFont="1" applyBorder="1" applyAlignment="1">
      <alignment horizontal="center" vertical="center"/>
    </xf>
    <xf numFmtId="41" fontId="103" fillId="0" borderId="138" xfId="0" applyNumberFormat="1" applyFont="1" applyBorder="1" applyAlignment="1">
      <alignment horizontal="right" vertical="center"/>
    </xf>
    <xf numFmtId="0" fontId="103" fillId="0" borderId="14" xfId="0" applyFont="1" applyBorder="1" applyAlignment="1">
      <alignment horizontal="center"/>
    </xf>
    <xf numFmtId="0" fontId="118" fillId="0" borderId="0" xfId="0" applyFont="1" applyAlignment="1"/>
    <xf numFmtId="15" fontId="83" fillId="0" borderId="139" xfId="0" applyNumberFormat="1" applyFont="1" applyBorder="1" applyAlignment="1">
      <alignment horizontal="center" vertical="center"/>
    </xf>
    <xf numFmtId="0" fontId="83" fillId="0" borderId="30" xfId="0" applyFont="1" applyBorder="1">
      <alignment vertical="center"/>
    </xf>
    <xf numFmtId="0" fontId="101" fillId="0" borderId="132" xfId="0" applyFont="1" applyBorder="1" applyAlignment="1">
      <alignment horizontal="center" vertical="center" wrapText="1"/>
    </xf>
    <xf numFmtId="41" fontId="28" fillId="8" borderId="131" xfId="8" applyNumberFormat="1" applyFont="1" applyFill="1" applyBorder="1" applyAlignment="1">
      <alignment vertical="center"/>
    </xf>
    <xf numFmtId="0" fontId="142" fillId="0" borderId="0" xfId="0" applyFont="1" applyAlignment="1"/>
    <xf numFmtId="0" fontId="50" fillId="3" borderId="6" xfId="0" applyFont="1" applyFill="1" applyBorder="1" applyAlignment="1">
      <alignment horizontal="left"/>
    </xf>
    <xf numFmtId="0" fontId="53" fillId="3" borderId="6" xfId="0" applyFont="1" applyFill="1" applyBorder="1" applyAlignment="1">
      <alignment horizontal="left"/>
    </xf>
    <xf numFmtId="0" fontId="50" fillId="3" borderId="16" xfId="0" applyFont="1" applyFill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7" fillId="7" borderId="5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117" fillId="3" borderId="114" xfId="0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3" fillId="0" borderId="0" xfId="0" applyFont="1" applyAlignment="1"/>
    <xf numFmtId="0" fontId="3" fillId="0" borderId="43" xfId="0" applyFont="1" applyBorder="1" applyAlignment="1"/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3" fillId="3" borderId="8" xfId="0" applyFont="1" applyFill="1" applyBorder="1" applyAlignment="1">
      <alignment horizontal="left"/>
    </xf>
    <xf numFmtId="0" fontId="13" fillId="3" borderId="68" xfId="0" applyFont="1" applyFill="1" applyBorder="1" applyAlignment="1">
      <alignment horizontal="left"/>
    </xf>
    <xf numFmtId="0" fontId="13" fillId="3" borderId="84" xfId="0" applyFont="1" applyFill="1" applyBorder="1" applyAlignment="1">
      <alignment horizontal="left"/>
    </xf>
    <xf numFmtId="0" fontId="3" fillId="0" borderId="69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4" fillId="0" borderId="9" xfId="0" applyFont="1" applyBorder="1" applyAlignment="1">
      <alignment wrapText="1"/>
    </xf>
    <xf numFmtId="0" fontId="6" fillId="0" borderId="0" xfId="0" applyFont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11" fillId="3" borderId="8" xfId="0" applyFont="1" applyFill="1" applyBorder="1" applyAlignment="1">
      <alignment horizontal="left"/>
    </xf>
    <xf numFmtId="0" fontId="11" fillId="3" borderId="68" xfId="0" applyFont="1" applyFill="1" applyBorder="1" applyAlignment="1">
      <alignment horizontal="left"/>
    </xf>
    <xf numFmtId="0" fontId="11" fillId="3" borderId="7" xfId="0" applyFont="1" applyFill="1" applyBorder="1" applyAlignment="1">
      <alignment horizontal="left"/>
    </xf>
    <xf numFmtId="0" fontId="10" fillId="7" borderId="8" xfId="0" applyFont="1" applyFill="1" applyBorder="1" applyAlignment="1">
      <alignment horizontal="center" vertical="center"/>
    </xf>
    <xf numFmtId="0" fontId="10" fillId="7" borderId="68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70" xfId="0" applyFont="1" applyFill="1" applyBorder="1" applyAlignment="1">
      <alignment horizontal="center" vertical="center" wrapText="1"/>
    </xf>
    <xf numFmtId="0" fontId="29" fillId="0" borderId="0" xfId="45" applyFont="1" applyAlignment="1">
      <alignment horizontal="left"/>
    </xf>
    <xf numFmtId="0" fontId="14" fillId="0" borderId="0" xfId="45" applyFont="1" applyAlignment="1"/>
    <xf numFmtId="0" fontId="15" fillId="0" borderId="0" xfId="45" applyFont="1" applyAlignment="1">
      <alignment horizontal="center"/>
    </xf>
    <xf numFmtId="0" fontId="95" fillId="0" borderId="98" xfId="45" applyFont="1" applyBorder="1" applyAlignment="1">
      <alignment horizontal="center"/>
    </xf>
    <xf numFmtId="0" fontId="95" fillId="0" borderId="97" xfId="45" applyFont="1" applyBorder="1" applyAlignment="1">
      <alignment horizontal="center"/>
    </xf>
    <xf numFmtId="0" fontId="95" fillId="0" borderId="96" xfId="45" applyFont="1" applyBorder="1" applyAlignment="1">
      <alignment horizontal="center" vertical="center"/>
    </xf>
    <xf numFmtId="0" fontId="95" fillId="0" borderId="93" xfId="45" applyFont="1" applyBorder="1" applyAlignment="1">
      <alignment horizontal="center" vertical="center"/>
    </xf>
    <xf numFmtId="0" fontId="95" fillId="0" borderId="90" xfId="45" applyFont="1" applyBorder="1" applyAlignment="1">
      <alignment horizontal="center" vertical="center"/>
    </xf>
    <xf numFmtId="0" fontId="95" fillId="0" borderId="95" xfId="45" applyFont="1" applyBorder="1" applyAlignment="1">
      <alignment horizontal="center"/>
    </xf>
    <xf numFmtId="0" fontId="95" fillId="0" borderId="94" xfId="45" applyFont="1" applyBorder="1" applyAlignment="1">
      <alignment horizontal="center"/>
    </xf>
    <xf numFmtId="0" fontId="95" fillId="0" borderId="86" xfId="45" applyFont="1" applyBorder="1" applyAlignment="1">
      <alignment horizontal="center"/>
    </xf>
    <xf numFmtId="0" fontId="95" fillId="0" borderId="85" xfId="45" applyFont="1" applyBorder="1" applyAlignment="1">
      <alignment horizontal="center"/>
    </xf>
    <xf numFmtId="0" fontId="92" fillId="0" borderId="86" xfId="45" applyFont="1" applyBorder="1" applyAlignment="1">
      <alignment horizontal="center"/>
    </xf>
    <xf numFmtId="0" fontId="92" fillId="0" borderId="2" xfId="45" applyFont="1" applyBorder="1" applyAlignment="1">
      <alignment horizontal="center"/>
    </xf>
    <xf numFmtId="0" fontId="92" fillId="0" borderId="85" xfId="45" applyFont="1" applyBorder="1" applyAlignment="1">
      <alignment horizontal="center"/>
    </xf>
    <xf numFmtId="0" fontId="14" fillId="0" borderId="99" xfId="45" applyFont="1" applyBorder="1" applyAlignment="1"/>
    <xf numFmtId="183" fontId="95" fillId="0" borderId="96" xfId="45" applyNumberFormat="1" applyFont="1" applyBorder="1" applyAlignment="1">
      <alignment horizontal="center" vertical="center"/>
    </xf>
    <xf numFmtId="183" fontId="95" fillId="0" borderId="93" xfId="45" applyNumberFormat="1" applyFont="1" applyBorder="1" applyAlignment="1">
      <alignment horizontal="center" vertical="center"/>
    </xf>
    <xf numFmtId="183" fontId="95" fillId="0" borderId="90" xfId="45" applyNumberFormat="1" applyFont="1" applyBorder="1" applyAlignment="1">
      <alignment horizontal="center" vertical="center"/>
    </xf>
    <xf numFmtId="0" fontId="95" fillId="0" borderId="98" xfId="45" applyFont="1" applyBorder="1" applyAlignment="1">
      <alignment horizontal="center" vertical="center"/>
    </xf>
    <xf numFmtId="0" fontId="95" fillId="0" borderId="97" xfId="45" applyFont="1" applyBorder="1" applyAlignment="1">
      <alignment horizontal="center" vertical="center"/>
    </xf>
    <xf numFmtId="0" fontId="95" fillId="0" borderId="92" xfId="45" applyFont="1" applyBorder="1" applyAlignment="1">
      <alignment horizontal="center" vertical="center"/>
    </xf>
    <xf numFmtId="0" fontId="95" fillId="0" borderId="91" xfId="45" applyFont="1" applyBorder="1" applyAlignment="1">
      <alignment horizontal="center" vertical="center"/>
    </xf>
    <xf numFmtId="0" fontId="95" fillId="0" borderId="95" xfId="45" applyFont="1" applyBorder="1" applyAlignment="1">
      <alignment horizontal="center" vertical="center"/>
    </xf>
    <xf numFmtId="0" fontId="95" fillId="0" borderId="94" xfId="45" applyFont="1" applyBorder="1" applyAlignment="1">
      <alignment horizontal="center" vertical="center"/>
    </xf>
    <xf numFmtId="0" fontId="33" fillId="0" borderId="0" xfId="45" applyAlignment="1">
      <alignment horizontal="center"/>
    </xf>
    <xf numFmtId="0" fontId="89" fillId="0" borderId="0" xfId="45" applyFont="1" applyAlignment="1">
      <alignment horizontal="center" vertical="center"/>
    </xf>
    <xf numFmtId="0" fontId="91" fillId="0" borderId="0" xfId="45" applyFont="1" applyAlignment="1">
      <alignment horizontal="center" vertical="center"/>
    </xf>
    <xf numFmtId="0" fontId="88" fillId="0" borderId="0" xfId="45" applyFont="1" applyAlignment="1">
      <alignment horizontal="center"/>
    </xf>
    <xf numFmtId="0" fontId="33" fillId="0" borderId="0" xfId="44" applyAlignment="1">
      <alignment horizontal="center"/>
    </xf>
    <xf numFmtId="0" fontId="34" fillId="6" borderId="71" xfId="44" applyFont="1" applyFill="1" applyBorder="1" applyAlignment="1">
      <alignment horizontal="center" vertical="center"/>
    </xf>
    <xf numFmtId="0" fontId="34" fillId="6" borderId="33" xfId="44" applyFont="1" applyFill="1" applyBorder="1" applyAlignment="1">
      <alignment horizontal="center" vertical="center"/>
    </xf>
    <xf numFmtId="0" fontId="34" fillId="6" borderId="72" xfId="44" applyFont="1" applyFill="1" applyBorder="1" applyAlignment="1">
      <alignment horizontal="center" vertical="center"/>
    </xf>
    <xf numFmtId="14" fontId="33" fillId="0" borderId="0" xfId="44" applyNumberFormat="1" applyAlignment="1">
      <alignment horizontal="center"/>
    </xf>
    <xf numFmtId="0" fontId="34" fillId="0" borderId="0" xfId="44" applyFont="1" applyAlignment="1">
      <alignment horizontal="center"/>
    </xf>
    <xf numFmtId="14" fontId="34" fillId="0" borderId="0" xfId="44" applyNumberFormat="1" applyFont="1" applyAlignment="1">
      <alignment horizontal="center"/>
    </xf>
    <xf numFmtId="0" fontId="5" fillId="0" borderId="0" xfId="44" applyFont="1" applyAlignment="1">
      <alignment horizontal="center"/>
    </xf>
    <xf numFmtId="15" fontId="34" fillId="0" borderId="12" xfId="0" applyNumberFormat="1" applyFont="1" applyBorder="1" applyAlignment="1">
      <alignment horizontal="center" vertical="center" wrapText="1"/>
    </xf>
    <xf numFmtId="15" fontId="34" fillId="0" borderId="14" xfId="0" applyNumberFormat="1" applyFont="1" applyBorder="1" applyAlignment="1">
      <alignment horizontal="center" vertical="center" wrapText="1"/>
    </xf>
    <xf numFmtId="0" fontId="34" fillId="0" borderId="57" xfId="44" applyFont="1" applyBorder="1" applyAlignment="1">
      <alignment horizontal="center"/>
    </xf>
    <xf numFmtId="0" fontId="34" fillId="0" borderId="73" xfId="44" applyFont="1" applyBorder="1" applyAlignment="1">
      <alignment horizontal="center"/>
    </xf>
    <xf numFmtId="0" fontId="34" fillId="6" borderId="10" xfId="44" applyFont="1" applyFill="1" applyBorder="1" applyAlignment="1">
      <alignment horizontal="center"/>
    </xf>
    <xf numFmtId="0" fontId="34" fillId="6" borderId="16" xfId="44" applyFont="1" applyFill="1" applyBorder="1" applyAlignment="1">
      <alignment horizontal="center"/>
    </xf>
    <xf numFmtId="0" fontId="34" fillId="6" borderId="49" xfId="44" applyFont="1" applyFill="1" applyBorder="1" applyAlignment="1">
      <alignment horizontal="center"/>
    </xf>
    <xf numFmtId="0" fontId="34" fillId="0" borderId="16" xfId="44" applyFont="1" applyBorder="1" applyAlignment="1">
      <alignment horizontal="center"/>
    </xf>
    <xf numFmtId="0" fontId="35" fillId="0" borderId="0" xfId="44" applyFont="1" applyAlignment="1">
      <alignment horizontal="center"/>
    </xf>
    <xf numFmtId="0" fontId="34" fillId="6" borderId="32" xfId="44" applyFont="1" applyFill="1" applyBorder="1" applyAlignment="1">
      <alignment horizontal="center"/>
    </xf>
    <xf numFmtId="0" fontId="34" fillId="6" borderId="74" xfId="44" applyFont="1" applyFill="1" applyBorder="1" applyAlignment="1">
      <alignment horizontal="center"/>
    </xf>
    <xf numFmtId="0" fontId="34" fillId="6" borderId="75" xfId="44" applyFont="1" applyFill="1" applyBorder="1" applyAlignment="1">
      <alignment horizontal="center"/>
    </xf>
    <xf numFmtId="0" fontId="34" fillId="6" borderId="53" xfId="44" applyFont="1" applyFill="1" applyBorder="1" applyAlignment="1">
      <alignment horizontal="center"/>
    </xf>
    <xf numFmtId="0" fontId="40" fillId="3" borderId="78" xfId="44" applyFont="1" applyFill="1" applyBorder="1" applyAlignment="1">
      <alignment horizontal="left"/>
    </xf>
    <xf numFmtId="43" fontId="40" fillId="3" borderId="78" xfId="8" applyFont="1" applyFill="1" applyBorder="1" applyAlignment="1">
      <alignment horizontal="left"/>
    </xf>
    <xf numFmtId="0" fontId="40" fillId="3" borderId="79" xfId="44" applyFont="1" applyFill="1" applyBorder="1" applyAlignment="1">
      <alignment horizontal="left"/>
    </xf>
    <xf numFmtId="15" fontId="38" fillId="0" borderId="12" xfId="0" applyNumberFormat="1" applyFont="1" applyBorder="1" applyAlignment="1">
      <alignment horizontal="center" vertical="center" wrapText="1"/>
    </xf>
    <xf numFmtId="15" fontId="38" fillId="0" borderId="14" xfId="0" applyNumberFormat="1" applyFont="1" applyBorder="1" applyAlignment="1">
      <alignment horizontal="center" vertical="center" wrapText="1"/>
    </xf>
    <xf numFmtId="0" fontId="42" fillId="0" borderId="0" xfId="44" applyFont="1" applyAlignment="1">
      <alignment horizontal="center"/>
    </xf>
    <xf numFmtId="0" fontId="38" fillId="0" borderId="71" xfId="44" applyFont="1" applyBorder="1" applyAlignment="1">
      <alignment horizontal="center" vertical="center"/>
    </xf>
    <xf numFmtId="15" fontId="38" fillId="0" borderId="76" xfId="0" applyNumberFormat="1" applyFont="1" applyBorder="1" applyAlignment="1">
      <alignment horizontal="center" vertical="center" wrapText="1"/>
    </xf>
    <xf numFmtId="15" fontId="38" fillId="0" borderId="77" xfId="0" applyNumberFormat="1" applyFont="1" applyBorder="1" applyAlignment="1">
      <alignment horizontal="center" vertical="center" wrapText="1"/>
    </xf>
    <xf numFmtId="14" fontId="38" fillId="0" borderId="57" xfId="44" applyNumberFormat="1" applyFont="1" applyBorder="1" applyAlignment="1">
      <alignment horizontal="center"/>
    </xf>
    <xf numFmtId="14" fontId="38" fillId="0" borderId="73" xfId="44" applyNumberFormat="1" applyFont="1" applyBorder="1" applyAlignment="1">
      <alignment horizontal="center"/>
    </xf>
    <xf numFmtId="0" fontId="33" fillId="0" borderId="45" xfId="44" applyBorder="1" applyAlignment="1">
      <alignment horizontal="center"/>
    </xf>
    <xf numFmtId="14" fontId="38" fillId="0" borderId="9" xfId="44" applyNumberFormat="1" applyFont="1" applyBorder="1" applyAlignment="1">
      <alignment horizontal="center"/>
    </xf>
    <xf numFmtId="14" fontId="38" fillId="0" borderId="51" xfId="44" applyNumberFormat="1" applyFont="1" applyBorder="1" applyAlignment="1">
      <alignment horizontal="center"/>
    </xf>
    <xf numFmtId="0" fontId="38" fillId="0" borderId="9" xfId="44" applyFont="1" applyBorder="1" applyAlignment="1">
      <alignment horizontal="center"/>
    </xf>
    <xf numFmtId="0" fontId="38" fillId="0" borderId="51" xfId="44" applyFont="1" applyBorder="1" applyAlignment="1">
      <alignment horizontal="center"/>
    </xf>
    <xf numFmtId="0" fontId="39" fillId="0" borderId="8" xfId="44" applyFont="1" applyBorder="1" applyAlignment="1">
      <alignment horizontal="center"/>
    </xf>
    <xf numFmtId="0" fontId="39" fillId="0" borderId="7" xfId="44" applyFont="1" applyBorder="1" applyAlignment="1">
      <alignment horizontal="center"/>
    </xf>
    <xf numFmtId="14" fontId="38" fillId="0" borderId="4" xfId="44" applyNumberFormat="1" applyFont="1" applyBorder="1" applyAlignment="1">
      <alignment horizontal="center"/>
    </xf>
    <xf numFmtId="0" fontId="38" fillId="0" borderId="18" xfId="44" applyFont="1" applyBorder="1" applyAlignment="1">
      <alignment horizontal="center"/>
    </xf>
    <xf numFmtId="0" fontId="5" fillId="0" borderId="0" xfId="44" applyFont="1" applyAlignment="1">
      <alignment horizontal="left"/>
    </xf>
    <xf numFmtId="43" fontId="35" fillId="0" borderId="0" xfId="8" applyFont="1" applyAlignment="1">
      <alignment horizontal="center"/>
    </xf>
    <xf numFmtId="0" fontId="38" fillId="0" borderId="37" xfId="44" applyFont="1" applyBorder="1" applyAlignment="1">
      <alignment horizontal="center"/>
    </xf>
    <xf numFmtId="0" fontId="38" fillId="0" borderId="81" xfId="44" applyFont="1" applyBorder="1" applyAlignment="1">
      <alignment horizontal="center"/>
    </xf>
    <xf numFmtId="0" fontId="38" fillId="0" borderId="80" xfId="44" applyFont="1" applyBorder="1" applyAlignment="1">
      <alignment horizontal="center"/>
    </xf>
    <xf numFmtId="0" fontId="38" fillId="0" borderId="75" xfId="44" applyFont="1" applyBorder="1" applyAlignment="1">
      <alignment horizontal="center"/>
    </xf>
    <xf numFmtId="0" fontId="13" fillId="3" borderId="6" xfId="0" applyFont="1" applyFill="1" applyBorder="1" applyAlignment="1">
      <alignment horizontal="left"/>
    </xf>
    <xf numFmtId="0" fontId="0" fillId="0" borderId="0" xfId="0" applyAlignment="1">
      <alignment horizontal="center"/>
    </xf>
  </cellXfs>
  <cellStyles count="81">
    <cellStyle name="AeE­ [0]_INQUIRY ¿μ¾÷AßAø " xfId="1" xr:uid="{00000000-0005-0000-0000-000000000000}"/>
    <cellStyle name="AeE­_INQUIRY ¿μ¾÷AßAø " xfId="2" xr:uid="{00000000-0005-0000-0000-000001000000}"/>
    <cellStyle name="AÞ¸¶ [0]_INQUIRY ¿?¾÷AßAø " xfId="3" xr:uid="{00000000-0005-0000-0000-000002000000}"/>
    <cellStyle name="AÞ¸¶_INQUIRY ¿?¾÷AßAø " xfId="4" xr:uid="{00000000-0005-0000-0000-000003000000}"/>
    <cellStyle name="C?AØ_¿?¾÷CoE² " xfId="5" xr:uid="{00000000-0005-0000-0000-000004000000}"/>
    <cellStyle name="C￥AØ_¿μ¾÷CoE² " xfId="6" xr:uid="{00000000-0005-0000-0000-000005000000}"/>
    <cellStyle name="Calc Currency (0)" xfId="7" xr:uid="{00000000-0005-0000-0000-000006000000}"/>
    <cellStyle name="Comma" xfId="8" builtinId="3"/>
    <cellStyle name="Comma [0]" xfId="9" builtinId="6"/>
    <cellStyle name="Comma [0] 2" xfId="10" xr:uid="{00000000-0005-0000-0000-000009000000}"/>
    <cellStyle name="Comma [0] 2 3" xfId="75" xr:uid="{00000000-0005-0000-0000-00000A000000}"/>
    <cellStyle name="Comma [0] 2 34" xfId="79" xr:uid="{F3E58207-725B-40EE-AACC-7C01F46AD60E}"/>
    <cellStyle name="Comma [0] 2 6" xfId="80" xr:uid="{0D8EA1BF-A160-436B-AF62-20B424540F0B}"/>
    <cellStyle name="Comma [0] 6" xfId="78" xr:uid="{1C4A73A4-1B61-4B7B-B81E-43CCC3D4A610}"/>
    <cellStyle name="Comma 10" xfId="11" xr:uid="{00000000-0005-0000-0000-00000B000000}"/>
    <cellStyle name="Comma 11" xfId="12" xr:uid="{00000000-0005-0000-0000-00000C000000}"/>
    <cellStyle name="Comma 12" xfId="13" xr:uid="{00000000-0005-0000-0000-00000D000000}"/>
    <cellStyle name="Comma 13" xfId="14" xr:uid="{00000000-0005-0000-0000-00000E000000}"/>
    <cellStyle name="Comma 14" xfId="15" xr:uid="{00000000-0005-0000-0000-00000F000000}"/>
    <cellStyle name="Comma 15" xfId="16" xr:uid="{00000000-0005-0000-0000-000010000000}"/>
    <cellStyle name="Comma 16" xfId="17" xr:uid="{00000000-0005-0000-0000-000011000000}"/>
    <cellStyle name="Comma 2" xfId="18" xr:uid="{00000000-0005-0000-0000-000012000000}"/>
    <cellStyle name="Comma 2 2" xfId="19" xr:uid="{00000000-0005-0000-0000-000013000000}"/>
    <cellStyle name="Comma 3" xfId="20" xr:uid="{00000000-0005-0000-0000-000014000000}"/>
    <cellStyle name="Comma 4" xfId="21" xr:uid="{00000000-0005-0000-0000-000015000000}"/>
    <cellStyle name="Comma 5" xfId="22" xr:uid="{00000000-0005-0000-0000-000016000000}"/>
    <cellStyle name="Comma 6" xfId="23" xr:uid="{00000000-0005-0000-0000-000017000000}"/>
    <cellStyle name="Comma 7" xfId="24" xr:uid="{00000000-0005-0000-0000-000018000000}"/>
    <cellStyle name="Comma 8" xfId="25" xr:uid="{00000000-0005-0000-0000-000019000000}"/>
    <cellStyle name="Comma 9" xfId="26" xr:uid="{00000000-0005-0000-0000-00001A000000}"/>
    <cellStyle name="Comma0" xfId="27" xr:uid="{00000000-0005-0000-0000-00001B000000}"/>
    <cellStyle name="Copied" xfId="28" xr:uid="{00000000-0005-0000-0000-00001C000000}"/>
    <cellStyle name="Currency" xfId="29" builtinId="4"/>
    <cellStyle name="Currency0" xfId="30" xr:uid="{00000000-0005-0000-0000-00001E000000}"/>
    <cellStyle name="Date" xfId="31" xr:uid="{00000000-0005-0000-0000-00001F000000}"/>
    <cellStyle name="Entered" xfId="32" xr:uid="{00000000-0005-0000-0000-000020000000}"/>
    <cellStyle name="Fixed" xfId="33" xr:uid="{00000000-0005-0000-0000-000021000000}"/>
    <cellStyle name="Grey" xfId="34" xr:uid="{00000000-0005-0000-0000-000022000000}"/>
    <cellStyle name="Header1" xfId="35" xr:uid="{00000000-0005-0000-0000-000023000000}"/>
    <cellStyle name="Header2" xfId="36" xr:uid="{00000000-0005-0000-0000-000024000000}"/>
    <cellStyle name="Input [yellow]" xfId="37" xr:uid="{00000000-0005-0000-0000-000025000000}"/>
    <cellStyle name="Normal" xfId="0" builtinId="0"/>
    <cellStyle name="Normal - Style1" xfId="38" xr:uid="{00000000-0005-0000-0000-000027000000}"/>
    <cellStyle name="Normal 10" xfId="39" xr:uid="{00000000-0005-0000-0000-000028000000}"/>
    <cellStyle name="Normal 11" xfId="40" xr:uid="{00000000-0005-0000-0000-000029000000}"/>
    <cellStyle name="Normal 11 7" xfId="41" xr:uid="{00000000-0005-0000-0000-00002A000000}"/>
    <cellStyle name="Normal 12" xfId="42" xr:uid="{00000000-0005-0000-0000-00002B000000}"/>
    <cellStyle name="Normal 13" xfId="43" xr:uid="{00000000-0005-0000-0000-00002C000000}"/>
    <cellStyle name="Normal 16" xfId="76" xr:uid="{0D8C3815-BE7F-4032-A600-21451D8035F1}"/>
    <cellStyle name="Normal 2" xfId="44" xr:uid="{00000000-0005-0000-0000-00002D000000}"/>
    <cellStyle name="Normal 2 2" xfId="45" xr:uid="{00000000-0005-0000-0000-00002E000000}"/>
    <cellStyle name="Normal 2 2 2" xfId="46" xr:uid="{00000000-0005-0000-0000-00002F000000}"/>
    <cellStyle name="Normal 2 3" xfId="47" xr:uid="{00000000-0005-0000-0000-000030000000}"/>
    <cellStyle name="Normal 2 4" xfId="48" xr:uid="{00000000-0005-0000-0000-000031000000}"/>
    <cellStyle name="Normal 24" xfId="49" xr:uid="{00000000-0005-0000-0000-000032000000}"/>
    <cellStyle name="Normal 3" xfId="50" xr:uid="{00000000-0005-0000-0000-000033000000}"/>
    <cellStyle name="Normal 4" xfId="51" xr:uid="{00000000-0005-0000-0000-000034000000}"/>
    <cellStyle name="Normal 4 2" xfId="52" xr:uid="{00000000-0005-0000-0000-000035000000}"/>
    <cellStyle name="Normal 4 2 2" xfId="53" xr:uid="{00000000-0005-0000-0000-000036000000}"/>
    <cellStyle name="Normal 5" xfId="54" xr:uid="{00000000-0005-0000-0000-000037000000}"/>
    <cellStyle name="Normal 6" xfId="55" xr:uid="{00000000-0005-0000-0000-000038000000}"/>
    <cellStyle name="Normal 7" xfId="56" xr:uid="{00000000-0005-0000-0000-000039000000}"/>
    <cellStyle name="Normal 8" xfId="57" xr:uid="{00000000-0005-0000-0000-00003A000000}"/>
    <cellStyle name="Normal 9" xfId="58" xr:uid="{00000000-0005-0000-0000-00003B000000}"/>
    <cellStyle name="Normal_PERBAIKAN" xfId="77" xr:uid="{D696B533-2E9B-4D06-BA15-A8BDB01D575B}"/>
    <cellStyle name="Percent [2]" xfId="59" xr:uid="{00000000-0005-0000-0000-00003C000000}"/>
    <cellStyle name="RevList" xfId="60" xr:uid="{00000000-0005-0000-0000-00003D000000}"/>
    <cellStyle name="Subtotal" xfId="61" xr:uid="{00000000-0005-0000-0000-00003E000000}"/>
    <cellStyle name="똿뗦먛귟 [0.00]_PRODUCT DETAIL Q1" xfId="62" xr:uid="{00000000-0005-0000-0000-00003F000000}"/>
    <cellStyle name="똿뗦먛귟_PRODUCT DETAIL Q1" xfId="63" xr:uid="{00000000-0005-0000-0000-000040000000}"/>
    <cellStyle name="믅됞 [0.00]_PRODUCT DETAIL Q1" xfId="64" xr:uid="{00000000-0005-0000-0000-000041000000}"/>
    <cellStyle name="믅됞_PRODUCT DETAIL Q1" xfId="65" xr:uid="{00000000-0005-0000-0000-000042000000}"/>
    <cellStyle name="백분율_HOBONG" xfId="66" xr:uid="{00000000-0005-0000-0000-000043000000}"/>
    <cellStyle name="뷭?_BOOKSHIP" xfId="67" xr:uid="{00000000-0005-0000-0000-000044000000}"/>
    <cellStyle name="콤마 [0]_1202" xfId="68" xr:uid="{00000000-0005-0000-0000-000045000000}"/>
    <cellStyle name="콤마_1202" xfId="69" xr:uid="{00000000-0005-0000-0000-000046000000}"/>
    <cellStyle name="통화 [0]_1202" xfId="70" xr:uid="{00000000-0005-0000-0000-000047000000}"/>
    <cellStyle name="통화_1202" xfId="71" xr:uid="{00000000-0005-0000-0000-000048000000}"/>
    <cellStyle name="표준_(정보부문)월별인원계획" xfId="72" xr:uid="{00000000-0005-0000-0000-000049000000}"/>
    <cellStyle name="常规_Sheet1" xfId="73" xr:uid="{00000000-0005-0000-0000-00004A000000}"/>
    <cellStyle name="貨幣[0]_pldt" xfId="74" xr:uid="{00000000-0005-0000-0000-00004B000000}"/>
  </cellStyles>
  <dxfs count="0"/>
  <tableStyles count="0" defaultTableStyle="TableStyleMedium9" defaultPivotStyle="PivotStyleLight16"/>
  <colors>
    <mruColors>
      <color rgb="FF00823B"/>
      <color rgb="FF34F053"/>
      <color rgb="FF057D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R567"/>
  <sheetViews>
    <sheetView view="pageBreakPreview" topLeftCell="A79" zoomScale="55" zoomScaleSheetLayoutView="55" workbookViewId="0">
      <selection activeCell="K334" sqref="K334"/>
    </sheetView>
  </sheetViews>
  <sheetFormatPr defaultColWidth="9" defaultRowHeight="15"/>
  <cols>
    <col min="1" max="1" width="5.7109375" customWidth="1"/>
    <col min="2" max="2" width="18" customWidth="1"/>
    <col min="3" max="3" width="33.140625" customWidth="1"/>
    <col min="4" max="4" width="23" customWidth="1"/>
    <col min="5" max="5" width="14.5703125" customWidth="1"/>
    <col min="6" max="6" width="40.28515625" customWidth="1"/>
    <col min="7" max="7" width="16.28515625" customWidth="1"/>
    <col min="8" max="8" width="15.28515625" style="41" customWidth="1"/>
    <col min="9" max="9" width="16.85546875" customWidth="1"/>
    <col min="10" max="10" width="26.140625" customWidth="1"/>
    <col min="11" max="11" width="38.5703125" customWidth="1"/>
    <col min="12" max="12" width="16" customWidth="1"/>
    <col min="13" max="13" width="12.85546875" customWidth="1"/>
    <col min="14" max="14" width="5.5703125" customWidth="1"/>
    <col min="15" max="15" width="19.85546875" customWidth="1"/>
    <col min="16" max="16" width="20.85546875" customWidth="1"/>
  </cols>
  <sheetData>
    <row r="1" spans="1:17" ht="15.75">
      <c r="A1" s="8"/>
      <c r="B1" s="8"/>
      <c r="C1" s="8"/>
      <c r="D1" s="8"/>
      <c r="E1" s="8"/>
      <c r="F1" s="8"/>
      <c r="G1" s="8"/>
      <c r="H1" s="43"/>
      <c r="I1" s="8"/>
      <c r="J1" s="8"/>
      <c r="K1" s="8"/>
      <c r="L1" s="8"/>
      <c r="M1" s="11" t="s">
        <v>0</v>
      </c>
      <c r="N1" s="11"/>
      <c r="O1" s="122"/>
    </row>
    <row r="2" spans="1:17" ht="18.75">
      <c r="A2" s="1140" t="s">
        <v>1</v>
      </c>
      <c r="B2" s="1140"/>
      <c r="C2" s="1140"/>
      <c r="D2" s="1140"/>
      <c r="E2" s="1140"/>
      <c r="F2" s="1140"/>
      <c r="G2" s="1140"/>
      <c r="H2" s="1140"/>
      <c r="I2" s="1140"/>
      <c r="J2" s="1140"/>
      <c r="K2" s="1140"/>
      <c r="L2" s="1140"/>
      <c r="M2" s="1140"/>
      <c r="N2" s="12"/>
      <c r="O2" s="122"/>
    </row>
    <row r="3" spans="1:17" ht="15.75">
      <c r="A3" s="1141"/>
      <c r="B3" s="1141"/>
      <c r="C3" s="1141"/>
      <c r="D3" s="1141"/>
      <c r="E3" s="1141"/>
      <c r="F3" s="1141"/>
      <c r="G3" s="1141"/>
      <c r="H3" s="1141"/>
      <c r="I3" s="1141"/>
      <c r="J3" s="1141"/>
      <c r="K3" s="1141"/>
      <c r="L3" s="1141"/>
      <c r="M3" s="1141"/>
      <c r="N3" s="8"/>
      <c r="O3" s="122"/>
    </row>
    <row r="4" spans="1:17" ht="15.75">
      <c r="A4" s="1142"/>
      <c r="B4" s="1142"/>
      <c r="C4" s="1142"/>
      <c r="D4" s="1142"/>
      <c r="E4" s="1142"/>
      <c r="F4" s="1142"/>
      <c r="G4" s="1142"/>
      <c r="H4" s="1142"/>
      <c r="I4" s="1142"/>
      <c r="J4" s="1142"/>
      <c r="K4" s="1142"/>
      <c r="L4" s="1142"/>
      <c r="M4" s="1142"/>
      <c r="N4" s="8"/>
      <c r="O4" s="122"/>
    </row>
    <row r="5" spans="1:17" ht="15" customHeight="1">
      <c r="A5" s="1133" t="s">
        <v>2</v>
      </c>
      <c r="B5" s="1133" t="s">
        <v>3</v>
      </c>
      <c r="C5" s="1133" t="s">
        <v>4</v>
      </c>
      <c r="D5" s="1133" t="s">
        <v>5</v>
      </c>
      <c r="E5" s="1133"/>
      <c r="F5" s="1133" t="s">
        <v>6</v>
      </c>
      <c r="G5" s="1133" t="s">
        <v>7</v>
      </c>
      <c r="H5" s="1133"/>
      <c r="I5" s="1136" t="s">
        <v>8</v>
      </c>
      <c r="J5" s="1136" t="s">
        <v>9</v>
      </c>
      <c r="K5" s="1136" t="s">
        <v>10</v>
      </c>
      <c r="L5" s="1136"/>
      <c r="M5" s="1133" t="s">
        <v>11</v>
      </c>
      <c r="N5" s="173"/>
      <c r="O5" s="84"/>
    </row>
    <row r="6" spans="1:17" ht="15.75" customHeight="1">
      <c r="A6" s="1134"/>
      <c r="B6" s="1134"/>
      <c r="C6" s="1134"/>
      <c r="D6" s="1135"/>
      <c r="E6" s="1135"/>
      <c r="F6" s="1134"/>
      <c r="G6" s="1134"/>
      <c r="H6" s="1134"/>
      <c r="I6" s="1137"/>
      <c r="J6" s="1137"/>
      <c r="K6" s="1138" t="s">
        <v>12</v>
      </c>
      <c r="L6" s="1138"/>
      <c r="M6" s="1134"/>
      <c r="N6" s="173"/>
      <c r="O6" s="84"/>
    </row>
    <row r="7" spans="1:17" ht="18" customHeight="1">
      <c r="A7" s="1135"/>
      <c r="B7" s="1135"/>
      <c r="C7" s="1135"/>
      <c r="D7" s="44" t="s">
        <v>13</v>
      </c>
      <c r="E7" s="44" t="s">
        <v>3</v>
      </c>
      <c r="F7" s="1135"/>
      <c r="G7" s="1135"/>
      <c r="H7" s="1135"/>
      <c r="I7" s="1138"/>
      <c r="J7" s="1138"/>
      <c r="K7" s="69" t="s">
        <v>13</v>
      </c>
      <c r="L7" s="69" t="s">
        <v>3</v>
      </c>
      <c r="M7" s="1135"/>
      <c r="N7" s="173"/>
      <c r="O7" s="84"/>
      <c r="P7" s="136"/>
    </row>
    <row r="8" spans="1:17" ht="15.75">
      <c r="A8" s="20">
        <v>1</v>
      </c>
      <c r="B8" s="20">
        <v>2</v>
      </c>
      <c r="C8" s="20">
        <v>3</v>
      </c>
      <c r="D8" s="20">
        <v>4</v>
      </c>
      <c r="E8" s="20">
        <v>5</v>
      </c>
      <c r="F8" s="20">
        <v>6</v>
      </c>
      <c r="G8" s="1132">
        <v>7</v>
      </c>
      <c r="H8" s="1132"/>
      <c r="I8" s="20">
        <v>8</v>
      </c>
      <c r="J8" s="20">
        <v>9</v>
      </c>
      <c r="K8" s="20">
        <v>10</v>
      </c>
      <c r="L8" s="20">
        <v>11</v>
      </c>
      <c r="M8" s="20">
        <v>12</v>
      </c>
      <c r="N8" s="36"/>
      <c r="O8" s="84"/>
      <c r="P8" s="136"/>
    </row>
    <row r="9" spans="1:17" ht="15.75">
      <c r="A9" s="49"/>
      <c r="B9" s="162"/>
      <c r="C9" s="49"/>
      <c r="D9" s="49"/>
      <c r="E9" s="49"/>
      <c r="F9" s="49"/>
      <c r="G9" s="162"/>
      <c r="H9" s="163"/>
      <c r="I9" s="49"/>
      <c r="J9" s="49"/>
      <c r="K9" s="174"/>
      <c r="L9" s="49"/>
      <c r="M9" s="49"/>
      <c r="N9" s="36"/>
      <c r="O9" s="84"/>
      <c r="P9" s="136"/>
      <c r="Q9" s="39"/>
    </row>
    <row r="10" spans="1:17" ht="18.75">
      <c r="A10" s="1129" t="s">
        <v>14</v>
      </c>
      <c r="B10" s="1129"/>
      <c r="C10" s="1129"/>
      <c r="D10" s="1129"/>
      <c r="E10" s="1129"/>
      <c r="F10" s="1129"/>
      <c r="G10" s="1129"/>
      <c r="H10" s="1129"/>
      <c r="I10" s="1129"/>
      <c r="J10" s="1129"/>
      <c r="K10" s="1129"/>
      <c r="L10" s="1129"/>
      <c r="M10" s="1129"/>
      <c r="N10" s="36"/>
      <c r="O10" s="84"/>
      <c r="P10" s="136"/>
      <c r="Q10" s="39"/>
    </row>
    <row r="11" spans="1:17" ht="15.75">
      <c r="A11" s="59"/>
      <c r="B11" s="59"/>
      <c r="C11" s="59"/>
      <c r="D11" s="59"/>
      <c r="E11" s="59"/>
      <c r="F11" s="59"/>
      <c r="G11" s="172"/>
      <c r="H11" s="133"/>
      <c r="I11" s="59"/>
      <c r="J11" s="59"/>
      <c r="K11" s="133"/>
      <c r="L11" s="59"/>
      <c r="M11" s="59"/>
      <c r="N11" s="36"/>
      <c r="O11" s="84"/>
      <c r="P11" s="136"/>
      <c r="Q11" s="39"/>
    </row>
    <row r="12" spans="1:17" ht="15.75">
      <c r="A12" s="829"/>
      <c r="B12" s="829"/>
      <c r="C12" s="829"/>
      <c r="D12" s="829"/>
      <c r="E12" s="829"/>
      <c r="F12" s="829"/>
      <c r="G12" s="1000"/>
      <c r="H12" s="35"/>
      <c r="I12" s="829"/>
      <c r="J12" s="829"/>
      <c r="K12" s="849"/>
      <c r="L12" s="829"/>
      <c r="M12" s="829"/>
      <c r="N12" s="36"/>
      <c r="O12" s="84"/>
      <c r="P12" s="136"/>
      <c r="Q12" s="39"/>
    </row>
    <row r="13" spans="1:17" ht="21">
      <c r="A13" s="829"/>
      <c r="B13" s="1021">
        <v>46062</v>
      </c>
      <c r="C13" s="1022" t="s">
        <v>399</v>
      </c>
      <c r="D13" s="740"/>
      <c r="E13" s="740"/>
      <c r="F13" s="774" t="s">
        <v>626</v>
      </c>
      <c r="G13" s="184">
        <v>4</v>
      </c>
      <c r="H13" s="776" t="s">
        <v>17</v>
      </c>
      <c r="I13" s="825">
        <v>65490</v>
      </c>
      <c r="J13" s="791">
        <f>I13*G13</f>
        <v>261960</v>
      </c>
      <c r="K13" s="778" t="s">
        <v>627</v>
      </c>
      <c r="L13" s="429">
        <v>46072</v>
      </c>
      <c r="M13" s="829"/>
      <c r="N13" s="36"/>
      <c r="O13" s="176">
        <f>SUM(J13)</f>
        <v>261960</v>
      </c>
      <c r="P13" s="820" t="s">
        <v>526</v>
      </c>
      <c r="Q13" s="39"/>
    </row>
    <row r="14" spans="1:17" ht="15.75">
      <c r="A14" s="829"/>
      <c r="B14" s="1023"/>
      <c r="C14" s="1023"/>
      <c r="D14" s="829"/>
      <c r="E14" s="829"/>
      <c r="F14" s="829"/>
      <c r="G14" s="1000"/>
      <c r="H14" s="35"/>
      <c r="I14" s="829"/>
      <c r="J14" s="829"/>
      <c r="K14" s="849"/>
      <c r="L14" s="829"/>
      <c r="M14" s="829"/>
      <c r="N14" s="36"/>
      <c r="O14" s="84"/>
      <c r="P14" s="136"/>
      <c r="Q14" s="39"/>
    </row>
    <row r="15" spans="1:17" ht="15.75">
      <c r="A15" s="829"/>
      <c r="B15" s="1023"/>
      <c r="C15" s="1023"/>
      <c r="D15" s="829"/>
      <c r="E15" s="829"/>
      <c r="F15" s="829"/>
      <c r="G15" s="1000"/>
      <c r="H15" s="35"/>
      <c r="I15" s="829"/>
      <c r="J15" s="829"/>
      <c r="K15" s="849"/>
      <c r="L15" s="829"/>
      <c r="M15" s="829"/>
      <c r="N15" s="36"/>
      <c r="O15" s="84"/>
      <c r="P15" s="136"/>
      <c r="Q15" s="39"/>
    </row>
    <row r="16" spans="1:17" ht="21">
      <c r="A16" s="829"/>
      <c r="B16" s="1021">
        <v>46062</v>
      </c>
      <c r="C16" s="1022" t="s">
        <v>399</v>
      </c>
      <c r="D16" s="740"/>
      <c r="E16" s="740"/>
      <c r="F16" s="774" t="s">
        <v>616</v>
      </c>
      <c r="G16" s="184">
        <v>9</v>
      </c>
      <c r="H16" s="776" t="s">
        <v>17</v>
      </c>
      <c r="I16" s="825">
        <v>4440</v>
      </c>
      <c r="J16" s="791">
        <f>I16*G16</f>
        <v>39960</v>
      </c>
      <c r="K16" s="778" t="s">
        <v>617</v>
      </c>
      <c r="L16" s="429">
        <v>46072</v>
      </c>
      <c r="M16" s="829"/>
      <c r="N16" s="36"/>
      <c r="O16" s="84"/>
      <c r="P16" s="136"/>
      <c r="Q16" s="39"/>
    </row>
    <row r="17" spans="1:17" ht="18.75">
      <c r="A17" s="59"/>
      <c r="B17" s="1024"/>
      <c r="C17" s="1025"/>
      <c r="D17" s="740"/>
      <c r="E17" s="740"/>
      <c r="F17" s="723" t="s">
        <v>618</v>
      </c>
      <c r="G17" s="184">
        <v>3</v>
      </c>
      <c r="H17" s="705" t="s">
        <v>17</v>
      </c>
      <c r="I17" s="706">
        <v>8880</v>
      </c>
      <c r="J17" s="438">
        <f>G17*I17</f>
        <v>26640</v>
      </c>
      <c r="K17" s="779"/>
      <c r="L17" s="780"/>
      <c r="M17" s="59"/>
      <c r="N17" s="36"/>
      <c r="O17" s="176"/>
      <c r="P17" s="700"/>
      <c r="Q17" s="39"/>
    </row>
    <row r="18" spans="1:17" ht="18.75">
      <c r="A18" s="829"/>
      <c r="B18" s="985"/>
      <c r="C18" s="846"/>
      <c r="D18" s="1001"/>
      <c r="E18" s="1001"/>
      <c r="F18" s="723" t="s">
        <v>619</v>
      </c>
      <c r="G18" s="184">
        <v>18</v>
      </c>
      <c r="H18" s="705" t="s">
        <v>17</v>
      </c>
      <c r="I18" s="706">
        <v>7770</v>
      </c>
      <c r="J18" s="438">
        <f>G18*I18</f>
        <v>139860</v>
      </c>
      <c r="K18" s="991"/>
      <c r="L18" s="992"/>
      <c r="M18" s="829"/>
      <c r="N18" s="36"/>
      <c r="O18" s="176"/>
      <c r="P18" s="700"/>
      <c r="Q18" s="39"/>
    </row>
    <row r="19" spans="1:17" ht="18.75">
      <c r="A19" s="829"/>
      <c r="B19" s="985"/>
      <c r="C19" s="846"/>
      <c r="D19" s="1001"/>
      <c r="E19" s="1001"/>
      <c r="F19" s="774" t="s">
        <v>620</v>
      </c>
      <c r="G19" s="824">
        <v>36</v>
      </c>
      <c r="H19" s="778" t="s">
        <v>17</v>
      </c>
      <c r="I19" s="825">
        <v>4995</v>
      </c>
      <c r="J19" s="791">
        <f t="shared" ref="J19" si="0">I19*G19</f>
        <v>179820</v>
      </c>
      <c r="K19" s="991"/>
      <c r="L19" s="992"/>
      <c r="M19" s="829"/>
      <c r="N19" s="36"/>
      <c r="O19" s="176"/>
      <c r="P19" s="700"/>
      <c r="Q19" s="39"/>
    </row>
    <row r="20" spans="1:17" ht="18.75">
      <c r="A20" s="829"/>
      <c r="B20" s="838"/>
      <c r="C20" s="839"/>
      <c r="D20" s="833"/>
      <c r="E20" s="832"/>
      <c r="F20" s="774" t="s">
        <v>621</v>
      </c>
      <c r="G20" s="824">
        <v>8</v>
      </c>
      <c r="H20" s="778" t="s">
        <v>17</v>
      </c>
      <c r="I20" s="825">
        <v>13320</v>
      </c>
      <c r="J20" s="791">
        <f t="shared" ref="J20" si="1">I20*G20</f>
        <v>106560</v>
      </c>
      <c r="K20" s="845"/>
      <c r="L20" s="838"/>
      <c r="M20" s="829"/>
      <c r="N20" s="36"/>
      <c r="O20" s="1012">
        <f>SUM(J16:J20)</f>
        <v>492840</v>
      </c>
      <c r="P20" s="820" t="s">
        <v>526</v>
      </c>
      <c r="Q20" s="39"/>
    </row>
    <row r="21" spans="1:17" ht="21">
      <c r="A21" s="829"/>
      <c r="B21" s="215"/>
      <c r="C21" s="757"/>
      <c r="D21" s="740"/>
      <c r="E21" s="740"/>
      <c r="F21" s="774"/>
      <c r="G21" s="775"/>
      <c r="H21" s="776"/>
      <c r="I21" s="777"/>
      <c r="J21" s="744"/>
      <c r="K21" s="778"/>
      <c r="L21" s="429"/>
      <c r="M21" s="133"/>
      <c r="N21" s="36"/>
      <c r="O21" s="1012"/>
      <c r="P21" s="820"/>
      <c r="Q21" s="39"/>
    </row>
    <row r="22" spans="1:17" ht="21">
      <c r="A22" s="829"/>
      <c r="B22" s="1021">
        <v>46072</v>
      </c>
      <c r="C22" s="1022" t="s">
        <v>399</v>
      </c>
      <c r="D22" s="1041"/>
      <c r="E22" s="1041"/>
      <c r="F22" s="1042" t="s">
        <v>622</v>
      </c>
      <c r="G22" s="1043">
        <v>26</v>
      </c>
      <c r="H22" s="1044" t="s">
        <v>17</v>
      </c>
      <c r="I22" s="1045">
        <v>5550</v>
      </c>
      <c r="J22" s="1046">
        <f>I22*G22</f>
        <v>144300</v>
      </c>
      <c r="K22" s="1044" t="s">
        <v>625</v>
      </c>
      <c r="L22" s="1007">
        <v>46072</v>
      </c>
      <c r="M22" s="829"/>
      <c r="N22" s="36"/>
      <c r="O22" s="84"/>
      <c r="P22" s="136"/>
      <c r="Q22" s="39"/>
    </row>
    <row r="23" spans="1:17" ht="18.75">
      <c r="A23" s="829"/>
      <c r="B23" s="1024"/>
      <c r="C23" s="1025"/>
      <c r="D23" s="1041"/>
      <c r="E23" s="1041"/>
      <c r="F23" s="1035" t="s">
        <v>623</v>
      </c>
      <c r="G23" s="1047">
        <v>26</v>
      </c>
      <c r="H23" s="1048" t="s">
        <v>17</v>
      </c>
      <c r="I23" s="1049">
        <v>6105</v>
      </c>
      <c r="J23" s="1050">
        <f>G23*I23</f>
        <v>158730</v>
      </c>
      <c r="K23" s="1044"/>
      <c r="L23" s="1051"/>
      <c r="M23" s="59"/>
      <c r="N23" s="36"/>
      <c r="O23" s="176"/>
      <c r="P23" s="700"/>
      <c r="Q23" s="39"/>
    </row>
    <row r="24" spans="1:17" ht="18.75">
      <c r="A24" s="829"/>
      <c r="B24" s="1052"/>
      <c r="C24" s="1053"/>
      <c r="D24" s="1054"/>
      <c r="E24" s="1054"/>
      <c r="F24" s="1042" t="s">
        <v>624</v>
      </c>
      <c r="G24" s="1043">
        <v>26</v>
      </c>
      <c r="H24" s="1044" t="s">
        <v>17</v>
      </c>
      <c r="I24" s="1045">
        <v>3330</v>
      </c>
      <c r="J24" s="1046">
        <f t="shared" ref="J24" si="2">I24*G24</f>
        <v>86580</v>
      </c>
      <c r="K24" s="1055"/>
      <c r="L24" s="1056"/>
      <c r="M24" s="829"/>
      <c r="N24" s="36"/>
      <c r="O24" s="1012">
        <f>SUM(J22:J24)</f>
        <v>389610</v>
      </c>
      <c r="P24" s="820" t="s">
        <v>526</v>
      </c>
      <c r="Q24" s="39"/>
    </row>
    <row r="25" spans="1:17" ht="18.75">
      <c r="A25" s="829"/>
      <c r="B25" s="1052"/>
      <c r="C25" s="1053"/>
      <c r="D25" s="1054"/>
      <c r="E25" s="1054"/>
      <c r="F25" s="1042"/>
      <c r="G25" s="1043"/>
      <c r="H25" s="1044"/>
      <c r="I25" s="1045"/>
      <c r="J25" s="1046"/>
      <c r="K25" s="1055"/>
      <c r="L25" s="1056"/>
      <c r="M25" s="829"/>
      <c r="N25" s="36"/>
      <c r="O25" s="176"/>
      <c r="P25" s="700"/>
      <c r="Q25" s="39"/>
    </row>
    <row r="26" spans="1:17" ht="18.75">
      <c r="A26" s="829"/>
      <c r="B26" s="838"/>
      <c r="C26" s="839"/>
      <c r="D26" s="833"/>
      <c r="E26" s="832"/>
      <c r="F26" s="774"/>
      <c r="G26" s="824"/>
      <c r="H26" s="778"/>
      <c r="I26" s="825"/>
      <c r="J26" s="791"/>
      <c r="K26" s="845"/>
      <c r="L26" s="838"/>
      <c r="M26" s="829"/>
      <c r="N26" s="36"/>
      <c r="O26" s="1012"/>
      <c r="P26" s="820"/>
      <c r="Q26" s="39"/>
    </row>
    <row r="27" spans="1:17" ht="21">
      <c r="A27" s="829"/>
      <c r="B27" s="1021">
        <v>46090</v>
      </c>
      <c r="C27" s="1022" t="s">
        <v>399</v>
      </c>
      <c r="D27" s="740"/>
      <c r="E27" s="740"/>
      <c r="F27" s="774" t="s">
        <v>708</v>
      </c>
      <c r="G27" s="184">
        <v>31</v>
      </c>
      <c r="H27" s="776" t="s">
        <v>17</v>
      </c>
      <c r="I27" s="825">
        <v>7770</v>
      </c>
      <c r="J27" s="791">
        <f>I27*G27</f>
        <v>240870</v>
      </c>
      <c r="K27" s="778" t="s">
        <v>707</v>
      </c>
      <c r="L27" s="429">
        <v>46090</v>
      </c>
      <c r="M27" s="829"/>
      <c r="N27" s="36"/>
      <c r="O27" s="176">
        <f>SUM(J27)</f>
        <v>240870</v>
      </c>
      <c r="P27" s="820" t="s">
        <v>526</v>
      </c>
      <c r="Q27" s="39"/>
    </row>
    <row r="28" spans="1:17" ht="18.75">
      <c r="A28" s="829"/>
      <c r="B28" s="759"/>
      <c r="C28" s="746"/>
      <c r="D28" s="740"/>
      <c r="E28" s="740"/>
      <c r="F28" s="774"/>
      <c r="G28" s="775"/>
      <c r="H28" s="778"/>
      <c r="I28" s="777"/>
      <c r="J28" s="744"/>
      <c r="K28" s="746"/>
      <c r="L28" s="747"/>
      <c r="M28" s="133"/>
      <c r="N28" s="36"/>
      <c r="O28" s="176"/>
      <c r="P28" s="700"/>
      <c r="Q28" s="39"/>
    </row>
    <row r="29" spans="1:17" ht="18.75">
      <c r="A29" s="829"/>
      <c r="B29" s="759"/>
      <c r="C29" s="746"/>
      <c r="D29" s="740"/>
      <c r="E29" s="740"/>
      <c r="F29" s="774"/>
      <c r="G29" s="775"/>
      <c r="H29" s="778"/>
      <c r="I29" s="777"/>
      <c r="J29" s="744"/>
      <c r="K29" s="746"/>
      <c r="L29" s="747"/>
      <c r="M29" s="133"/>
      <c r="N29" s="36"/>
      <c r="O29" s="176"/>
      <c r="P29" s="700"/>
      <c r="Q29" s="39"/>
    </row>
    <row r="30" spans="1:17" ht="18.75">
      <c r="A30" s="829"/>
      <c r="B30" s="759"/>
      <c r="C30" s="746"/>
      <c r="D30" s="740"/>
      <c r="E30" s="740"/>
      <c r="F30" s="774"/>
      <c r="G30" s="775"/>
      <c r="H30" s="778"/>
      <c r="I30" s="777"/>
      <c r="J30" s="744"/>
      <c r="K30" s="746"/>
      <c r="L30" s="747"/>
      <c r="M30" s="133"/>
      <c r="N30" s="36"/>
      <c r="O30" s="176"/>
      <c r="P30" s="820"/>
      <c r="Q30" s="39"/>
    </row>
    <row r="31" spans="1:17" ht="18.75">
      <c r="A31" s="829"/>
      <c r="B31" s="759"/>
      <c r="C31" s="746"/>
      <c r="D31" s="740"/>
      <c r="E31" s="740"/>
      <c r="F31" s="774"/>
      <c r="G31" s="775"/>
      <c r="H31" s="778"/>
      <c r="I31" s="777"/>
      <c r="J31" s="744"/>
      <c r="K31" s="746"/>
      <c r="L31" s="747"/>
      <c r="M31" s="133"/>
      <c r="N31" s="36"/>
      <c r="O31" s="176"/>
      <c r="P31" s="700"/>
      <c r="Q31" s="39"/>
    </row>
    <row r="32" spans="1:17" ht="18.75">
      <c r="A32" s="59"/>
      <c r="B32" s="564"/>
      <c r="C32" s="432"/>
      <c r="D32" s="427"/>
      <c r="E32" s="215"/>
      <c r="F32" s="723"/>
      <c r="G32" s="184"/>
      <c r="H32" s="705"/>
      <c r="I32" s="706"/>
      <c r="J32" s="438"/>
      <c r="K32" s="219"/>
      <c r="L32" s="429"/>
      <c r="M32" s="59"/>
      <c r="N32" s="36"/>
      <c r="O32" s="176"/>
      <c r="P32" s="700"/>
      <c r="Q32" s="39"/>
    </row>
    <row r="33" spans="1:17" ht="18.75">
      <c r="A33" s="59"/>
      <c r="B33" s="964"/>
      <c r="C33" s="965"/>
      <c r="D33" s="733"/>
      <c r="E33" s="758"/>
      <c r="F33" s="725"/>
      <c r="G33" s="435"/>
      <c r="H33" s="762"/>
      <c r="I33" s="763"/>
      <c r="J33" s="764"/>
      <c r="K33" s="765"/>
      <c r="L33" s="760"/>
      <c r="M33" s="133"/>
      <c r="N33" s="36"/>
      <c r="O33" s="176"/>
      <c r="P33" s="700"/>
      <c r="Q33" s="39"/>
    </row>
    <row r="34" spans="1:17" ht="18.75">
      <c r="A34" s="59"/>
      <c r="B34" s="564"/>
      <c r="C34" s="432"/>
      <c r="D34" s="740"/>
      <c r="E34" s="740"/>
      <c r="F34" s="774"/>
      <c r="G34" s="775"/>
      <c r="H34" s="778"/>
      <c r="I34" s="777"/>
      <c r="J34" s="744"/>
      <c r="K34" s="219"/>
      <c r="L34" s="429"/>
      <c r="M34" s="133"/>
      <c r="N34" s="36"/>
      <c r="O34" s="176"/>
      <c r="P34" s="700"/>
      <c r="Q34" s="39"/>
    </row>
    <row r="35" spans="1:17" ht="18.75">
      <c r="A35" s="59"/>
      <c r="B35" s="966"/>
      <c r="C35" s="967"/>
      <c r="D35" s="740"/>
      <c r="E35" s="740"/>
      <c r="F35" s="774"/>
      <c r="G35" s="775"/>
      <c r="H35" s="778"/>
      <c r="I35" s="777"/>
      <c r="J35" s="744"/>
      <c r="K35" s="779"/>
      <c r="L35" s="780"/>
      <c r="M35" s="133"/>
      <c r="N35" s="36"/>
      <c r="O35" s="176"/>
      <c r="P35" s="700"/>
      <c r="Q35" s="39"/>
    </row>
    <row r="36" spans="1:17" ht="18.75">
      <c r="A36" s="59"/>
      <c r="B36" s="966"/>
      <c r="C36" s="967"/>
      <c r="D36" s="740"/>
      <c r="E36" s="740"/>
      <c r="F36" s="774"/>
      <c r="G36" s="775"/>
      <c r="H36" s="778"/>
      <c r="I36" s="777"/>
      <c r="J36" s="744"/>
      <c r="K36" s="746"/>
      <c r="L36" s="747"/>
      <c r="M36" s="133"/>
      <c r="N36" s="36"/>
      <c r="O36" s="176"/>
      <c r="P36" s="700"/>
      <c r="Q36" s="39"/>
    </row>
    <row r="37" spans="1:17" ht="18.75">
      <c r="A37" s="59"/>
      <c r="B37" s="966"/>
      <c r="C37" s="967"/>
      <c r="D37" s="740"/>
      <c r="E37" s="740"/>
      <c r="F37" s="774"/>
      <c r="G37" s="775"/>
      <c r="H37" s="778"/>
      <c r="I37" s="777"/>
      <c r="J37" s="744"/>
      <c r="K37" s="746"/>
      <c r="L37" s="747"/>
      <c r="M37" s="133"/>
      <c r="N37" s="36"/>
      <c r="O37" s="176"/>
      <c r="P37" s="700"/>
      <c r="Q37" s="39"/>
    </row>
    <row r="38" spans="1:17" ht="18.75">
      <c r="A38" s="59"/>
      <c r="B38" s="759"/>
      <c r="C38" s="746"/>
      <c r="D38" s="740"/>
      <c r="E38" s="740"/>
      <c r="F38" s="774"/>
      <c r="G38" s="775"/>
      <c r="H38" s="778"/>
      <c r="I38" s="777"/>
      <c r="J38" s="744"/>
      <c r="K38" s="746"/>
      <c r="L38" s="747"/>
      <c r="M38" s="133"/>
      <c r="N38" s="36"/>
      <c r="O38" s="176"/>
      <c r="P38" s="700"/>
      <c r="Q38" s="39"/>
    </row>
    <row r="39" spans="1:17" ht="18.75">
      <c r="A39" s="59"/>
      <c r="B39" s="759"/>
      <c r="C39" s="746"/>
      <c r="D39" s="740"/>
      <c r="E39" s="740"/>
      <c r="F39" s="774"/>
      <c r="G39" s="775"/>
      <c r="H39" s="778"/>
      <c r="I39" s="777"/>
      <c r="J39" s="744"/>
      <c r="K39" s="746"/>
      <c r="L39" s="747"/>
      <c r="M39" s="133"/>
      <c r="N39" s="36"/>
      <c r="O39" s="176"/>
      <c r="P39" s="700"/>
      <c r="Q39" s="39"/>
    </row>
    <row r="40" spans="1:17" ht="18.75">
      <c r="A40" s="59"/>
      <c r="B40" s="759"/>
      <c r="C40" s="746"/>
      <c r="D40" s="740"/>
      <c r="E40" s="740"/>
      <c r="F40" s="774"/>
      <c r="G40" s="775"/>
      <c r="H40" s="778"/>
      <c r="I40" s="777"/>
      <c r="J40" s="744"/>
      <c r="K40" s="746"/>
      <c r="L40" s="747"/>
      <c r="M40" s="133"/>
      <c r="N40" s="36"/>
      <c r="O40" s="176"/>
      <c r="P40" s="700"/>
      <c r="Q40" s="39"/>
    </row>
    <row r="41" spans="1:17" ht="18.75">
      <c r="A41" s="59"/>
      <c r="B41" s="759"/>
      <c r="C41" s="746"/>
      <c r="D41" s="740"/>
      <c r="E41" s="740"/>
      <c r="F41" s="774"/>
      <c r="G41" s="775"/>
      <c r="H41" s="778"/>
      <c r="I41" s="777"/>
      <c r="J41" s="744"/>
      <c r="K41" s="746"/>
      <c r="L41" s="747"/>
      <c r="M41" s="133"/>
      <c r="N41" s="36"/>
      <c r="O41" s="176"/>
      <c r="P41" s="700"/>
      <c r="Q41" s="39"/>
    </row>
    <row r="42" spans="1:17" ht="18.75">
      <c r="A42" s="59"/>
      <c r="B42" s="759"/>
      <c r="C42" s="746"/>
      <c r="D42" s="740"/>
      <c r="E42" s="740"/>
      <c r="F42" s="774"/>
      <c r="G42" s="775"/>
      <c r="H42" s="778"/>
      <c r="I42" s="777"/>
      <c r="J42" s="744"/>
      <c r="K42" s="746"/>
      <c r="L42" s="747"/>
      <c r="M42" s="133"/>
      <c r="N42" s="36"/>
      <c r="O42" s="176"/>
      <c r="P42" s="700"/>
      <c r="Q42" s="39"/>
    </row>
    <row r="43" spans="1:17" ht="18.75">
      <c r="A43" s="59"/>
      <c r="B43" s="759"/>
      <c r="C43" s="746"/>
      <c r="D43" s="740"/>
      <c r="E43" s="740"/>
      <c r="F43" s="774"/>
      <c r="G43" s="775"/>
      <c r="H43" s="778"/>
      <c r="I43" s="777"/>
      <c r="J43" s="744"/>
      <c r="K43" s="746"/>
      <c r="L43" s="747"/>
      <c r="M43" s="133"/>
      <c r="N43" s="36"/>
      <c r="O43" s="176"/>
      <c r="P43" s="700"/>
      <c r="Q43" s="39"/>
    </row>
    <row r="44" spans="1:17" ht="18.75">
      <c r="A44" s="59"/>
      <c r="B44" s="759"/>
      <c r="C44" s="746"/>
      <c r="D44" s="740"/>
      <c r="E44" s="740"/>
      <c r="F44" s="774"/>
      <c r="G44" s="775"/>
      <c r="H44" s="778"/>
      <c r="I44" s="777"/>
      <c r="J44" s="744"/>
      <c r="K44" s="746"/>
      <c r="L44" s="747"/>
      <c r="M44" s="133"/>
      <c r="N44" s="36"/>
      <c r="O44" s="176"/>
      <c r="P44" s="700"/>
      <c r="Q44" s="39"/>
    </row>
    <row r="45" spans="1:17" ht="18.75">
      <c r="A45" s="59"/>
      <c r="B45" s="759"/>
      <c r="C45" s="746"/>
      <c r="D45" s="740"/>
      <c r="E45" s="740"/>
      <c r="F45" s="774"/>
      <c r="G45" s="775"/>
      <c r="H45" s="778"/>
      <c r="I45" s="777"/>
      <c r="J45" s="744"/>
      <c r="K45" s="746"/>
      <c r="L45" s="747"/>
      <c r="M45" s="133"/>
      <c r="N45" s="36"/>
      <c r="O45" s="176"/>
      <c r="P45" s="700"/>
      <c r="Q45" s="39"/>
    </row>
    <row r="46" spans="1:17" ht="18.75">
      <c r="A46" s="59"/>
      <c r="B46" s="759"/>
      <c r="C46" s="746"/>
      <c r="D46" s="740"/>
      <c r="E46" s="740"/>
      <c r="F46" s="774"/>
      <c r="G46" s="775"/>
      <c r="H46" s="778"/>
      <c r="I46" s="777"/>
      <c r="J46" s="744"/>
      <c r="K46" s="746"/>
      <c r="L46" s="747"/>
      <c r="M46" s="133"/>
      <c r="N46" s="36"/>
      <c r="O46" s="176"/>
      <c r="P46" s="700"/>
      <c r="Q46" s="39"/>
    </row>
    <row r="47" spans="1:17" ht="18.75">
      <c r="A47" s="59"/>
      <c r="B47" s="759"/>
      <c r="C47" s="746"/>
      <c r="D47" s="740"/>
      <c r="E47" s="740"/>
      <c r="F47" s="774"/>
      <c r="G47" s="775"/>
      <c r="H47" s="778"/>
      <c r="I47" s="777"/>
      <c r="J47" s="744"/>
      <c r="K47" s="746"/>
      <c r="L47" s="747"/>
      <c r="M47" s="133"/>
      <c r="N47" s="36"/>
      <c r="O47" s="176"/>
      <c r="P47" s="700"/>
      <c r="Q47" s="39"/>
    </row>
    <row r="48" spans="1:17" ht="18.75">
      <c r="A48" s="59"/>
      <c r="B48" s="759"/>
      <c r="C48" s="746"/>
      <c r="D48" s="740"/>
      <c r="E48" s="740"/>
      <c r="F48" s="774"/>
      <c r="G48" s="775"/>
      <c r="H48" s="778"/>
      <c r="I48" s="777"/>
      <c r="J48" s="744"/>
      <c r="K48" s="746"/>
      <c r="L48" s="747"/>
      <c r="M48" s="59"/>
      <c r="N48" s="36"/>
      <c r="O48" s="176"/>
      <c r="P48" s="700"/>
      <c r="Q48" s="39"/>
    </row>
    <row r="49" spans="1:18" ht="18.75">
      <c r="A49" s="59"/>
      <c r="B49" s="759"/>
      <c r="C49" s="746"/>
      <c r="D49" s="740"/>
      <c r="E49" s="740"/>
      <c r="F49" s="774"/>
      <c r="G49" s="775"/>
      <c r="H49" s="778"/>
      <c r="I49" s="777"/>
      <c r="J49" s="744"/>
      <c r="K49" s="746"/>
      <c r="L49" s="747"/>
      <c r="M49" s="133"/>
      <c r="N49" s="36"/>
      <c r="O49" s="176"/>
      <c r="P49" s="700"/>
      <c r="Q49" s="39"/>
    </row>
    <row r="50" spans="1:18" ht="18.75">
      <c r="A50" s="59"/>
      <c r="B50" s="759"/>
      <c r="C50" s="746"/>
      <c r="D50" s="740"/>
      <c r="E50" s="740"/>
      <c r="F50" s="774"/>
      <c r="G50" s="775"/>
      <c r="H50" s="778"/>
      <c r="I50" s="777"/>
      <c r="J50" s="744"/>
      <c r="K50" s="746"/>
      <c r="L50" s="747"/>
      <c r="M50" s="133"/>
      <c r="N50" s="36"/>
      <c r="O50" s="176"/>
      <c r="P50" s="700"/>
      <c r="Q50" s="39"/>
    </row>
    <row r="51" spans="1:18" ht="18.75">
      <c r="A51" s="59"/>
      <c r="B51" s="759"/>
      <c r="C51" s="746"/>
      <c r="D51" s="740"/>
      <c r="E51" s="740"/>
      <c r="F51" s="774"/>
      <c r="G51" s="775"/>
      <c r="H51" s="778"/>
      <c r="I51" s="777"/>
      <c r="J51" s="744"/>
      <c r="K51" s="746"/>
      <c r="L51" s="747"/>
      <c r="M51" s="133"/>
      <c r="N51" s="36"/>
      <c r="O51" s="176"/>
      <c r="P51" s="700"/>
      <c r="Q51" s="39"/>
    </row>
    <row r="52" spans="1:18" ht="18.75">
      <c r="A52" s="59"/>
      <c r="B52" s="759"/>
      <c r="C52" s="746"/>
      <c r="D52" s="740"/>
      <c r="E52" s="740"/>
      <c r="F52" s="774"/>
      <c r="G52" s="775"/>
      <c r="H52" s="778"/>
      <c r="I52" s="777"/>
      <c r="J52" s="744"/>
      <c r="K52" s="746"/>
      <c r="L52" s="747"/>
      <c r="M52" s="133"/>
      <c r="N52" s="36"/>
      <c r="O52" s="176"/>
      <c r="P52" s="569"/>
      <c r="Q52" s="39"/>
    </row>
    <row r="53" spans="1:18" ht="18.75">
      <c r="A53" s="59"/>
      <c r="B53" s="759"/>
      <c r="C53" s="746"/>
      <c r="D53" s="740"/>
      <c r="E53" s="740"/>
      <c r="F53" s="774"/>
      <c r="G53" s="775"/>
      <c r="H53" s="778"/>
      <c r="I53" s="777"/>
      <c r="J53" s="744"/>
      <c r="K53" s="746"/>
      <c r="L53" s="747"/>
      <c r="M53" s="133"/>
      <c r="N53" s="36"/>
      <c r="O53" s="176"/>
      <c r="P53" s="700"/>
      <c r="Q53" s="39"/>
    </row>
    <row r="54" spans="1:18" ht="18.75">
      <c r="A54" s="59"/>
      <c r="B54" s="759"/>
      <c r="C54" s="746"/>
      <c r="D54" s="740"/>
      <c r="E54" s="740"/>
      <c r="F54" s="774"/>
      <c r="G54" s="775"/>
      <c r="H54" s="778"/>
      <c r="I54" s="777"/>
      <c r="J54" s="744"/>
      <c r="K54" s="746"/>
      <c r="L54" s="747"/>
      <c r="M54" s="133"/>
      <c r="N54" s="36"/>
      <c r="O54" s="176"/>
      <c r="P54" s="700"/>
      <c r="Q54" s="39"/>
    </row>
    <row r="55" spans="1:18" ht="18.75">
      <c r="A55" s="59"/>
      <c r="B55" s="766"/>
      <c r="C55" s="767"/>
      <c r="D55" s="738"/>
      <c r="E55" s="751"/>
      <c r="F55" s="768"/>
      <c r="G55" s="769"/>
      <c r="H55" s="770"/>
      <c r="I55" s="771"/>
      <c r="J55" s="772"/>
      <c r="K55" s="773"/>
      <c r="L55" s="766"/>
      <c r="M55" s="133"/>
      <c r="N55" s="36"/>
      <c r="O55" s="176"/>
      <c r="P55" s="700"/>
      <c r="Q55" s="39"/>
    </row>
    <row r="56" spans="1:18" ht="18.75">
      <c r="A56" s="59"/>
      <c r="B56" s="429"/>
      <c r="C56" s="216"/>
      <c r="D56" s="740"/>
      <c r="E56" s="740"/>
      <c r="F56" s="823"/>
      <c r="G56" s="775"/>
      <c r="H56" s="776"/>
      <c r="I56" s="777"/>
      <c r="J56" s="744"/>
      <c r="K56" s="778"/>
      <c r="L56" s="429"/>
      <c r="M56" s="133"/>
      <c r="N56" s="36"/>
      <c r="O56" s="176"/>
      <c r="P56" s="700"/>
      <c r="Q56" s="39"/>
    </row>
    <row r="57" spans="1:18" ht="18.75">
      <c r="A57" s="59"/>
      <c r="B57" s="759"/>
      <c r="C57" s="746"/>
      <c r="D57" s="740"/>
      <c r="E57" s="740"/>
      <c r="F57" s="823"/>
      <c r="G57" s="775"/>
      <c r="H57" s="776"/>
      <c r="I57" s="777"/>
      <c r="J57" s="744"/>
      <c r="K57" s="779"/>
      <c r="L57" s="780"/>
      <c r="M57" s="133"/>
      <c r="N57" s="36"/>
      <c r="O57" s="176"/>
      <c r="P57" s="700"/>
      <c r="Q57" s="39"/>
    </row>
    <row r="58" spans="1:18" ht="18.75">
      <c r="A58" s="59"/>
      <c r="B58" s="759"/>
      <c r="C58" s="746"/>
      <c r="D58" s="740"/>
      <c r="E58" s="740"/>
      <c r="F58" s="823"/>
      <c r="G58" s="775"/>
      <c r="H58" s="776"/>
      <c r="I58" s="777"/>
      <c r="J58" s="744"/>
      <c r="K58" s="746"/>
      <c r="L58" s="747"/>
      <c r="M58" s="133"/>
      <c r="N58" s="36"/>
      <c r="O58" s="176"/>
      <c r="P58" s="700"/>
      <c r="Q58" s="39"/>
    </row>
    <row r="59" spans="1:18" ht="18.75">
      <c r="A59" s="59"/>
      <c r="B59" s="759"/>
      <c r="C59" s="746"/>
      <c r="D59" s="740"/>
      <c r="E59" s="740"/>
      <c r="F59" s="823"/>
      <c r="G59" s="775"/>
      <c r="H59" s="776"/>
      <c r="I59" s="777"/>
      <c r="J59" s="744"/>
      <c r="K59" s="746"/>
      <c r="L59" s="747"/>
      <c r="M59" s="133"/>
      <c r="N59" s="36"/>
      <c r="O59" s="176"/>
      <c r="P59" s="700"/>
      <c r="Q59" s="39"/>
    </row>
    <row r="60" spans="1:18" ht="18.75">
      <c r="A60" s="59"/>
      <c r="B60" s="759"/>
      <c r="C60" s="746"/>
      <c r="D60" s="740"/>
      <c r="E60" s="740"/>
      <c r="F60" s="823"/>
      <c r="G60" s="775"/>
      <c r="H60" s="778"/>
      <c r="I60" s="777"/>
      <c r="J60" s="744"/>
      <c r="K60" s="746"/>
      <c r="L60" s="747"/>
      <c r="M60" s="133"/>
      <c r="N60" s="36"/>
      <c r="O60" s="176"/>
      <c r="P60" s="700"/>
      <c r="Q60" s="39"/>
    </row>
    <row r="61" spans="1:18" ht="18.75">
      <c r="A61" s="59"/>
      <c r="B61" s="759"/>
      <c r="C61" s="746"/>
      <c r="D61" s="740"/>
      <c r="E61" s="740"/>
      <c r="F61" s="823"/>
      <c r="G61" s="775"/>
      <c r="H61" s="778"/>
      <c r="I61" s="777"/>
      <c r="J61" s="744"/>
      <c r="K61" s="746"/>
      <c r="L61" s="747"/>
      <c r="M61" s="133"/>
      <c r="N61" s="36"/>
      <c r="O61" s="176"/>
      <c r="P61" s="700"/>
      <c r="Q61" s="39"/>
    </row>
    <row r="62" spans="1:18" ht="18.75">
      <c r="A62" s="59"/>
      <c r="B62" s="759"/>
      <c r="C62" s="746"/>
      <c r="D62" s="740"/>
      <c r="E62" s="740"/>
      <c r="F62" s="823"/>
      <c r="G62" s="775"/>
      <c r="H62" s="778"/>
      <c r="I62" s="777"/>
      <c r="J62" s="744"/>
      <c r="K62" s="746"/>
      <c r="L62" s="747"/>
      <c r="M62" s="133"/>
      <c r="N62" s="36"/>
      <c r="O62" s="176"/>
      <c r="P62" s="700"/>
      <c r="Q62" s="39"/>
    </row>
    <row r="63" spans="1:18" ht="18.75">
      <c r="A63" s="59"/>
      <c r="B63" s="759"/>
      <c r="C63" s="746"/>
      <c r="D63" s="740"/>
      <c r="E63" s="740"/>
      <c r="F63" s="823"/>
      <c r="G63" s="775"/>
      <c r="H63" s="778"/>
      <c r="I63" s="777"/>
      <c r="J63" s="744"/>
      <c r="K63" s="746"/>
      <c r="L63" s="747"/>
      <c r="M63" s="133"/>
      <c r="N63" s="36"/>
      <c r="O63" s="176"/>
      <c r="P63" s="700"/>
      <c r="Q63" s="39"/>
    </row>
    <row r="64" spans="1:18" ht="18.75">
      <c r="A64" s="59"/>
      <c r="B64" s="759"/>
      <c r="C64" s="746"/>
      <c r="D64" s="740"/>
      <c r="E64" s="740"/>
      <c r="F64" s="823"/>
      <c r="G64" s="775"/>
      <c r="H64" s="778"/>
      <c r="I64" s="777"/>
      <c r="J64" s="744"/>
      <c r="K64" s="746"/>
      <c r="L64" s="747"/>
      <c r="M64" s="133"/>
      <c r="N64" s="36"/>
      <c r="O64" s="176"/>
      <c r="P64" s="716"/>
      <c r="Q64" s="716"/>
      <c r="R64" s="716"/>
    </row>
    <row r="65" spans="1:17" ht="18.75">
      <c r="A65" s="59"/>
      <c r="B65" s="759"/>
      <c r="C65" s="746"/>
      <c r="D65" s="740"/>
      <c r="E65" s="740"/>
      <c r="F65" s="823"/>
      <c r="G65" s="775"/>
      <c r="H65" s="778"/>
      <c r="I65" s="777"/>
      <c r="J65" s="744"/>
      <c r="K65" s="746"/>
      <c r="L65" s="747"/>
      <c r="M65" s="133"/>
      <c r="N65" s="36"/>
      <c r="O65" s="176"/>
      <c r="P65" s="700"/>
      <c r="Q65" s="39"/>
    </row>
    <row r="66" spans="1:17" ht="18.75">
      <c r="A66" s="59"/>
      <c r="B66" s="429"/>
      <c r="C66" s="216"/>
      <c r="D66" s="740"/>
      <c r="E66" s="740"/>
      <c r="F66" s="823"/>
      <c r="G66" s="775"/>
      <c r="H66" s="776"/>
      <c r="I66" s="777"/>
      <c r="J66" s="744"/>
      <c r="K66" s="778"/>
      <c r="L66" s="429"/>
      <c r="M66" s="133"/>
      <c r="N66" s="36"/>
      <c r="O66" s="176"/>
      <c r="P66" s="700"/>
      <c r="Q66" s="39"/>
    </row>
    <row r="67" spans="1:17" ht="18.75">
      <c r="A67" s="59"/>
      <c r="B67" s="759"/>
      <c r="C67" s="746"/>
      <c r="D67" s="740"/>
      <c r="E67" s="740"/>
      <c r="F67" s="823"/>
      <c r="G67" s="775"/>
      <c r="H67" s="776"/>
      <c r="I67" s="777"/>
      <c r="J67" s="744"/>
      <c r="K67" s="779"/>
      <c r="L67" s="780"/>
      <c r="M67" s="133"/>
      <c r="N67" s="36"/>
      <c r="O67" s="176"/>
      <c r="P67" s="700"/>
      <c r="Q67" s="39"/>
    </row>
    <row r="68" spans="1:17" ht="18.75">
      <c r="A68" s="59"/>
      <c r="B68" s="759"/>
      <c r="C68" s="746"/>
      <c r="D68" s="740"/>
      <c r="E68" s="740"/>
      <c r="F68" s="823"/>
      <c r="G68" s="775"/>
      <c r="H68" s="776"/>
      <c r="I68" s="777"/>
      <c r="J68" s="744"/>
      <c r="K68" s="746"/>
      <c r="L68" s="747"/>
      <c r="M68" s="133"/>
      <c r="N68" s="36"/>
      <c r="O68" s="176"/>
      <c r="P68" s="700"/>
      <c r="Q68" s="39"/>
    </row>
    <row r="69" spans="1:17" ht="18.75">
      <c r="A69" s="59"/>
      <c r="B69" s="766"/>
      <c r="C69" s="767"/>
      <c r="D69" s="738"/>
      <c r="E69" s="751"/>
      <c r="F69" s="768"/>
      <c r="G69" s="769"/>
      <c r="H69" s="770"/>
      <c r="I69" s="771"/>
      <c r="J69" s="772"/>
      <c r="K69" s="773"/>
      <c r="L69" s="766"/>
      <c r="M69" s="133"/>
      <c r="N69" s="36"/>
      <c r="O69" s="176"/>
      <c r="P69" s="700"/>
      <c r="Q69" s="39"/>
    </row>
    <row r="70" spans="1:17" ht="18.75">
      <c r="A70" s="59"/>
      <c r="B70" s="429"/>
      <c r="C70" s="216"/>
      <c r="D70" s="427"/>
      <c r="E70" s="215"/>
      <c r="F70" s="726"/>
      <c r="G70" s="702"/>
      <c r="H70" s="701"/>
      <c r="I70" s="703"/>
      <c r="J70" s="437"/>
      <c r="K70" s="219"/>
      <c r="L70" s="429"/>
      <c r="M70" s="133"/>
      <c r="N70" s="36"/>
      <c r="O70" s="176"/>
      <c r="P70" s="700"/>
      <c r="Q70" s="39"/>
    </row>
    <row r="71" spans="1:17" ht="18.75">
      <c r="A71" s="1139" t="s">
        <v>393</v>
      </c>
      <c r="B71" s="1139"/>
      <c r="C71" s="1139"/>
      <c r="D71" s="1139"/>
      <c r="E71" s="1139"/>
      <c r="F71" s="1139"/>
      <c r="G71" s="1139"/>
      <c r="H71" s="1139"/>
      <c r="I71" s="1139"/>
      <c r="J71" s="1139"/>
      <c r="K71" s="1139"/>
      <c r="L71" s="1139"/>
      <c r="M71" s="1139"/>
      <c r="N71" s="36"/>
      <c r="O71" s="176"/>
      <c r="P71" s="700"/>
      <c r="Q71" s="39"/>
    </row>
    <row r="72" spans="1:17" ht="18.75">
      <c r="A72" s="59"/>
      <c r="B72" s="429"/>
      <c r="C72" s="216"/>
      <c r="D72" s="427"/>
      <c r="E72" s="215"/>
      <c r="F72" s="726"/>
      <c r="G72" s="702"/>
      <c r="H72" s="701"/>
      <c r="I72" s="703"/>
      <c r="J72" s="437"/>
      <c r="K72" s="219"/>
      <c r="L72" s="429"/>
      <c r="M72" s="133"/>
      <c r="N72" s="36"/>
      <c r="O72" s="176"/>
      <c r="P72" s="700"/>
      <c r="Q72" s="39"/>
    </row>
    <row r="73" spans="1:17" ht="18.75">
      <c r="A73" s="829"/>
      <c r="B73" s="838"/>
      <c r="C73" s="839"/>
      <c r="D73" s="833"/>
      <c r="E73" s="832"/>
      <c r="F73" s="968"/>
      <c r="G73" s="969"/>
      <c r="H73" s="970"/>
      <c r="I73" s="703"/>
      <c r="J73" s="844"/>
      <c r="K73" s="845"/>
      <c r="L73" s="838"/>
      <c r="M73" s="849"/>
      <c r="N73" s="36"/>
      <c r="O73" s="176"/>
      <c r="P73" s="700"/>
      <c r="Q73" s="39"/>
    </row>
    <row r="74" spans="1:17" ht="18.75">
      <c r="A74" s="829"/>
      <c r="B74" s="1007">
        <v>46059</v>
      </c>
      <c r="C74" s="993" t="s">
        <v>379</v>
      </c>
      <c r="D74" s="427"/>
      <c r="E74" s="215"/>
      <c r="F74" s="723" t="s">
        <v>527</v>
      </c>
      <c r="G74" s="184">
        <v>7</v>
      </c>
      <c r="H74" s="705" t="s">
        <v>18</v>
      </c>
      <c r="I74" s="706">
        <v>115000.4</v>
      </c>
      <c r="J74" s="438">
        <f>G74*I74</f>
        <v>805002.79999999993</v>
      </c>
      <c r="K74" s="219" t="s">
        <v>614</v>
      </c>
      <c r="L74" s="429">
        <v>46059</v>
      </c>
      <c r="M74" s="59"/>
      <c r="N74" s="36"/>
      <c r="O74" s="176">
        <f>SUM(J74:J75)</f>
        <v>805002.79999999993</v>
      </c>
      <c r="P74" s="700" t="s">
        <v>375</v>
      </c>
      <c r="Q74" s="39"/>
    </row>
    <row r="75" spans="1:17" ht="18.75">
      <c r="A75" s="829"/>
      <c r="B75" s="1008"/>
      <c r="C75" s="1009"/>
      <c r="D75" s="833"/>
      <c r="E75" s="832"/>
      <c r="F75" s="723"/>
      <c r="G75" s="184"/>
      <c r="H75" s="705"/>
      <c r="I75" s="706"/>
      <c r="J75" s="438"/>
      <c r="K75" s="962"/>
      <c r="L75" s="838"/>
      <c r="M75" s="849"/>
      <c r="N75" s="36"/>
      <c r="O75" s="176"/>
      <c r="P75" s="700"/>
      <c r="Q75" s="39"/>
    </row>
    <row r="76" spans="1:17" ht="18.75">
      <c r="A76" s="829"/>
      <c r="B76" s="1007">
        <v>46065</v>
      </c>
      <c r="C76" s="993" t="s">
        <v>379</v>
      </c>
      <c r="D76" s="427"/>
      <c r="E76" s="215"/>
      <c r="F76" s="723" t="s">
        <v>527</v>
      </c>
      <c r="G76" s="184">
        <v>5</v>
      </c>
      <c r="H76" s="705" t="s">
        <v>18</v>
      </c>
      <c r="I76" s="706">
        <v>114330</v>
      </c>
      <c r="J76" s="438">
        <f>G76*I76</f>
        <v>571650</v>
      </c>
      <c r="K76" s="219" t="s">
        <v>615</v>
      </c>
      <c r="L76" s="429">
        <v>46065</v>
      </c>
      <c r="M76" s="59"/>
      <c r="N76" s="36"/>
      <c r="O76" s="176">
        <f>SUM(J76)</f>
        <v>571650</v>
      </c>
      <c r="P76" s="700" t="s">
        <v>375</v>
      </c>
      <c r="Q76" s="39"/>
    </row>
    <row r="77" spans="1:17" ht="18.75">
      <c r="A77" s="829"/>
      <c r="B77" s="1008"/>
      <c r="C77" s="1009"/>
      <c r="D77" s="833"/>
      <c r="E77" s="832"/>
      <c r="F77" s="1112"/>
      <c r="G77" s="1113"/>
      <c r="H77" s="717"/>
      <c r="I77" s="1114"/>
      <c r="J77" s="924"/>
      <c r="K77" s="845"/>
      <c r="L77" s="838"/>
      <c r="M77" s="829"/>
      <c r="N77" s="36"/>
      <c r="O77" s="176"/>
      <c r="P77" s="700"/>
      <c r="Q77" s="39"/>
    </row>
    <row r="78" spans="1:17" ht="18.75">
      <c r="A78" s="829"/>
      <c r="B78" s="1062">
        <v>46073</v>
      </c>
      <c r="C78" s="1063" t="s">
        <v>379</v>
      </c>
      <c r="D78" s="559"/>
      <c r="E78" s="215"/>
      <c r="F78" s="723" t="s">
        <v>527</v>
      </c>
      <c r="G78" s="184">
        <v>2</v>
      </c>
      <c r="H78" s="705" t="s">
        <v>18</v>
      </c>
      <c r="I78" s="706">
        <v>114330</v>
      </c>
      <c r="J78" s="438">
        <f>G78*I78</f>
        <v>228660</v>
      </c>
      <c r="K78" s="219" t="s">
        <v>703</v>
      </c>
      <c r="L78" s="429">
        <v>46090</v>
      </c>
      <c r="M78" s="59"/>
      <c r="N78" s="36"/>
      <c r="O78" s="176">
        <f>SUM(J78:J79)</f>
        <v>378510</v>
      </c>
      <c r="P78" s="700" t="s">
        <v>375</v>
      </c>
      <c r="Q78" s="39"/>
    </row>
    <row r="79" spans="1:17" ht="18.75">
      <c r="A79" s="829"/>
      <c r="B79" s="1115"/>
      <c r="C79" s="1116"/>
      <c r="D79" s="840"/>
      <c r="E79" s="832"/>
      <c r="F79" s="723" t="s">
        <v>705</v>
      </c>
      <c r="G79" s="184">
        <v>1</v>
      </c>
      <c r="H79" s="705" t="s">
        <v>18</v>
      </c>
      <c r="I79" s="706">
        <v>149850</v>
      </c>
      <c r="J79" s="438">
        <f>G79*I79</f>
        <v>149850</v>
      </c>
      <c r="K79" s="845"/>
      <c r="L79" s="838"/>
      <c r="M79" s="829"/>
      <c r="N79" s="36"/>
      <c r="O79" s="176"/>
      <c r="P79" s="700"/>
      <c r="Q79" s="39"/>
    </row>
    <row r="80" spans="1:17" ht="18.75">
      <c r="A80" s="59"/>
      <c r="B80" s="1007"/>
      <c r="C80" s="993"/>
      <c r="D80" s="427"/>
      <c r="E80" s="215"/>
      <c r="F80" s="726"/>
      <c r="G80" s="702"/>
      <c r="H80" s="701"/>
      <c r="I80" s="703"/>
      <c r="J80" s="437"/>
      <c r="K80" s="219"/>
      <c r="L80" s="429"/>
      <c r="M80" s="133"/>
      <c r="N80" s="36"/>
      <c r="O80" s="176"/>
      <c r="P80" s="700"/>
      <c r="Q80" s="39"/>
    </row>
    <row r="81" spans="1:17" ht="18.75">
      <c r="A81" s="59"/>
      <c r="B81" s="1062">
        <v>46090</v>
      </c>
      <c r="C81" s="1063" t="s">
        <v>379</v>
      </c>
      <c r="D81" s="559"/>
      <c r="E81" s="215"/>
      <c r="F81" s="723" t="s">
        <v>527</v>
      </c>
      <c r="G81" s="184">
        <v>10</v>
      </c>
      <c r="H81" s="705" t="s">
        <v>18</v>
      </c>
      <c r="I81" s="706">
        <v>114330</v>
      </c>
      <c r="J81" s="438">
        <f>G81*I81</f>
        <v>1143300</v>
      </c>
      <c r="K81" s="219" t="s">
        <v>703</v>
      </c>
      <c r="L81" s="429">
        <v>46090</v>
      </c>
      <c r="M81" s="59"/>
      <c r="N81" s="36"/>
      <c r="O81" s="176">
        <f>SUM(J81:J82)</f>
        <v>1143300</v>
      </c>
      <c r="P81" s="700" t="s">
        <v>375</v>
      </c>
      <c r="Q81" s="39"/>
    </row>
    <row r="82" spans="1:17" ht="18.75">
      <c r="A82" s="829"/>
      <c r="B82" s="1008"/>
      <c r="C82" s="1009"/>
      <c r="D82" s="833"/>
      <c r="E82" s="832"/>
      <c r="F82" s="723"/>
      <c r="G82" s="184"/>
      <c r="H82" s="705"/>
      <c r="I82" s="706"/>
      <c r="J82" s="438"/>
      <c r="K82" s="962"/>
      <c r="L82" s="838"/>
      <c r="M82" s="829"/>
      <c r="N82" s="36"/>
      <c r="O82" s="176"/>
      <c r="P82" s="700"/>
      <c r="Q82" s="39"/>
    </row>
    <row r="83" spans="1:17" ht="18.75">
      <c r="A83" s="59"/>
      <c r="B83" s="1007"/>
      <c r="C83" s="993"/>
      <c r="D83" s="427"/>
      <c r="E83" s="215"/>
      <c r="F83" s="726"/>
      <c r="G83" s="702"/>
      <c r="H83" s="701"/>
      <c r="I83" s="703"/>
      <c r="J83" s="437"/>
      <c r="K83" s="219"/>
      <c r="L83" s="429"/>
      <c r="M83" s="133"/>
      <c r="N83" s="36"/>
      <c r="O83" s="176"/>
      <c r="P83" s="700"/>
      <c r="Q83" s="39"/>
    </row>
    <row r="84" spans="1:17" ht="18.75">
      <c r="A84" s="59"/>
      <c r="B84" s="1007"/>
      <c r="C84" s="993"/>
      <c r="D84" s="427"/>
      <c r="E84" s="215"/>
      <c r="F84" s="723"/>
      <c r="G84" s="184"/>
      <c r="H84" s="705"/>
      <c r="I84" s="706"/>
      <c r="J84" s="438"/>
      <c r="K84" s="778"/>
      <c r="L84" s="429"/>
      <c r="M84" s="59"/>
      <c r="N84" s="36"/>
      <c r="O84" s="176"/>
      <c r="P84" s="700"/>
      <c r="Q84" s="39"/>
    </row>
    <row r="85" spans="1:17" ht="18.75">
      <c r="A85" s="59"/>
      <c r="B85" s="1010"/>
      <c r="C85" s="1011"/>
      <c r="D85" s="183"/>
      <c r="E85" s="215"/>
      <c r="F85" s="559"/>
      <c r="G85" s="428"/>
      <c r="H85" s="713"/>
      <c r="I85" s="436"/>
      <c r="J85" s="437"/>
      <c r="K85" s="219"/>
      <c r="L85" s="429"/>
      <c r="M85" s="59"/>
      <c r="N85" s="36"/>
      <c r="O85" s="176"/>
      <c r="P85" s="700"/>
      <c r="Q85" s="39"/>
    </row>
    <row r="86" spans="1:17" ht="18.75">
      <c r="A86" s="829"/>
      <c r="B86" s="1010">
        <v>46077</v>
      </c>
      <c r="C86" s="1011" t="s">
        <v>379</v>
      </c>
      <c r="D86" s="1032"/>
      <c r="E86" s="1021"/>
      <c r="F86" s="1035" t="s">
        <v>553</v>
      </c>
      <c r="G86" s="184">
        <v>3</v>
      </c>
      <c r="H86" s="705" t="s">
        <v>18</v>
      </c>
      <c r="I86" s="706">
        <v>114000</v>
      </c>
      <c r="J86" s="438">
        <f>G86*I86</f>
        <v>342000</v>
      </c>
      <c r="K86" s="219" t="s">
        <v>629</v>
      </c>
      <c r="L86" s="429">
        <v>45712</v>
      </c>
      <c r="M86" s="829"/>
      <c r="N86" s="36"/>
      <c r="O86" s="176"/>
      <c r="P86" s="700"/>
      <c r="Q86" s="39"/>
    </row>
    <row r="87" spans="1:17" ht="18.75">
      <c r="A87" s="829"/>
      <c r="B87" s="1008"/>
      <c r="C87" s="1009"/>
      <c r="D87" s="1036"/>
      <c r="E87" s="1037"/>
      <c r="F87" s="1035" t="s">
        <v>554</v>
      </c>
      <c r="G87" s="184">
        <v>9</v>
      </c>
      <c r="H87" s="705" t="s">
        <v>18</v>
      </c>
      <c r="I87" s="706">
        <v>114000</v>
      </c>
      <c r="J87" s="438">
        <f>G87*I87</f>
        <v>1026000</v>
      </c>
      <c r="K87" s="962"/>
      <c r="L87" s="838"/>
      <c r="M87" s="829"/>
      <c r="N87" s="36"/>
      <c r="O87" s="176">
        <f>SUM(J86:J87)</f>
        <v>1368000</v>
      </c>
      <c r="P87" s="662" t="s">
        <v>403</v>
      </c>
      <c r="Q87" s="39"/>
    </row>
    <row r="88" spans="1:17" ht="18.75">
      <c r="A88" s="829"/>
      <c r="B88" s="1038"/>
      <c r="C88" s="1039"/>
      <c r="D88" s="1040"/>
      <c r="E88" s="1037"/>
      <c r="F88" s="1036"/>
      <c r="G88" s="841"/>
      <c r="H88" s="842"/>
      <c r="I88" s="843"/>
      <c r="J88" s="844"/>
      <c r="K88" s="845"/>
      <c r="L88" s="838"/>
      <c r="M88" s="829"/>
      <c r="N88" s="36"/>
      <c r="O88" s="176"/>
      <c r="P88" s="700"/>
      <c r="Q88" s="39"/>
    </row>
    <row r="89" spans="1:17" ht="18.75">
      <c r="A89" s="829"/>
      <c r="B89" s="851"/>
      <c r="C89" s="960"/>
      <c r="D89" s="961"/>
      <c r="E89" s="832"/>
      <c r="F89" s="840"/>
      <c r="G89" s="841"/>
      <c r="H89" s="842"/>
      <c r="I89" s="843"/>
      <c r="J89" s="844"/>
      <c r="K89" s="845"/>
      <c r="L89" s="838"/>
      <c r="M89" s="829"/>
      <c r="N89" s="36"/>
      <c r="O89" s="176"/>
      <c r="P89" s="700"/>
      <c r="Q89" s="39"/>
    </row>
    <row r="90" spans="1:17" ht="18.75">
      <c r="A90" s="829"/>
      <c r="B90" s="851"/>
      <c r="C90" s="960"/>
      <c r="D90" s="961"/>
      <c r="E90" s="832"/>
      <c r="F90" s="840"/>
      <c r="G90" s="841"/>
      <c r="H90" s="842"/>
      <c r="I90" s="843"/>
      <c r="J90" s="844"/>
      <c r="K90" s="845"/>
      <c r="L90" s="838"/>
      <c r="M90" s="829"/>
      <c r="N90" s="36"/>
      <c r="O90" s="176"/>
      <c r="P90" s="700"/>
      <c r="Q90" s="39"/>
    </row>
    <row r="91" spans="1:17" ht="18.75">
      <c r="A91" s="59"/>
      <c r="B91" s="759"/>
      <c r="C91" s="746"/>
      <c r="D91" s="740"/>
      <c r="E91" s="740"/>
      <c r="F91" s="823"/>
      <c r="G91" s="775"/>
      <c r="H91" s="776"/>
      <c r="I91" s="777"/>
      <c r="J91" s="744"/>
      <c r="K91" s="746"/>
      <c r="L91" s="747"/>
      <c r="M91" s="133"/>
      <c r="N91" s="36"/>
      <c r="O91" s="176"/>
      <c r="P91" s="700"/>
      <c r="Q91" s="39"/>
    </row>
    <row r="92" spans="1:17" ht="18.75">
      <c r="A92" s="1139" t="s">
        <v>394</v>
      </c>
      <c r="B92" s="1139"/>
      <c r="C92" s="1139"/>
      <c r="D92" s="1139"/>
      <c r="E92" s="1139"/>
      <c r="F92" s="1139"/>
      <c r="G92" s="1139"/>
      <c r="H92" s="1139"/>
      <c r="I92" s="1139"/>
      <c r="J92" s="1139"/>
      <c r="K92" s="1139"/>
      <c r="L92" s="1139"/>
      <c r="M92" s="1139"/>
      <c r="N92" s="36"/>
      <c r="O92" s="176"/>
      <c r="P92" s="716"/>
      <c r="Q92" s="39"/>
    </row>
    <row r="93" spans="1:17" ht="18.75">
      <c r="A93" s="59"/>
      <c r="B93" s="430"/>
      <c r="C93" s="217"/>
      <c r="D93" s="217"/>
      <c r="E93" s="215"/>
      <c r="F93" s="559"/>
      <c r="G93" s="428"/>
      <c r="H93" s="705"/>
      <c r="I93" s="436"/>
      <c r="J93" s="437"/>
      <c r="K93" s="427"/>
      <c r="L93" s="427"/>
      <c r="M93" s="59"/>
      <c r="N93" s="36"/>
      <c r="O93" s="176"/>
      <c r="P93" s="716"/>
      <c r="Q93" s="39"/>
    </row>
    <row r="94" spans="1:17" ht="18.75">
      <c r="A94" s="829"/>
      <c r="B94" s="830"/>
      <c r="C94" s="831"/>
      <c r="D94" s="831"/>
      <c r="E94" s="832"/>
      <c r="F94" s="840"/>
      <c r="G94" s="841"/>
      <c r="H94" s="717"/>
      <c r="I94" s="955"/>
      <c r="J94" s="844"/>
      <c r="K94" s="833"/>
      <c r="L94" s="833"/>
      <c r="M94" s="829"/>
      <c r="N94" s="36"/>
      <c r="O94" s="176"/>
      <c r="P94" s="716"/>
      <c r="Q94" s="39"/>
    </row>
    <row r="95" spans="1:17" ht="18.75">
      <c r="A95" s="829"/>
      <c r="B95" s="1007">
        <v>46050</v>
      </c>
      <c r="C95" s="993" t="s">
        <v>379</v>
      </c>
      <c r="D95" s="427"/>
      <c r="E95" s="215"/>
      <c r="F95" s="559" t="s">
        <v>606</v>
      </c>
      <c r="G95" s="184">
        <v>4</v>
      </c>
      <c r="H95" s="705" t="s">
        <v>15</v>
      </c>
      <c r="I95" s="706">
        <v>58830</v>
      </c>
      <c r="J95" s="438">
        <f>G95*I95</f>
        <v>235320</v>
      </c>
      <c r="K95" s="219" t="s">
        <v>607</v>
      </c>
      <c r="L95" s="429">
        <v>46050</v>
      </c>
      <c r="M95" s="59"/>
      <c r="N95" s="36"/>
      <c r="O95" s="176">
        <f>SUM(J95:J96)</f>
        <v>801420</v>
      </c>
      <c r="P95" s="700" t="s">
        <v>375</v>
      </c>
      <c r="Q95" s="39"/>
    </row>
    <row r="96" spans="1:17" ht="18.75">
      <c r="A96" s="59"/>
      <c r="B96" s="1007"/>
      <c r="C96" s="993"/>
      <c r="D96" s="427"/>
      <c r="E96" s="215"/>
      <c r="F96" s="559" t="s">
        <v>385</v>
      </c>
      <c r="G96" s="184">
        <v>10</v>
      </c>
      <c r="H96" s="705" t="s">
        <v>15</v>
      </c>
      <c r="I96" s="706">
        <v>56610</v>
      </c>
      <c r="J96" s="438">
        <f>G96*I96</f>
        <v>566100</v>
      </c>
      <c r="K96" s="219"/>
      <c r="L96" s="429"/>
      <c r="M96" s="133"/>
      <c r="N96" s="36"/>
      <c r="O96" s="176"/>
      <c r="P96" s="715"/>
      <c r="Q96" s="39"/>
    </row>
    <row r="97" spans="1:17" ht="18.75">
      <c r="A97" s="429"/>
      <c r="B97" s="1007"/>
      <c r="C97" s="993"/>
      <c r="D97" s="427"/>
      <c r="E97" s="215"/>
      <c r="F97" s="559"/>
      <c r="G97" s="184"/>
      <c r="H97" s="705"/>
      <c r="I97" s="706"/>
      <c r="J97" s="438"/>
      <c r="K97" s="219"/>
      <c r="L97" s="429"/>
      <c r="M97" s="59"/>
      <c r="N97" s="36"/>
      <c r="O97" s="176"/>
      <c r="P97" s="700"/>
      <c r="Q97" s="39"/>
    </row>
    <row r="98" spans="1:17" ht="18.75">
      <c r="A98" s="59"/>
      <c r="B98" s="1007">
        <v>46062</v>
      </c>
      <c r="C98" s="993" t="s">
        <v>379</v>
      </c>
      <c r="D98" s="427"/>
      <c r="E98" s="215"/>
      <c r="F98" s="559" t="s">
        <v>385</v>
      </c>
      <c r="G98" s="184">
        <v>5</v>
      </c>
      <c r="H98" s="705" t="s">
        <v>15</v>
      </c>
      <c r="I98" s="706">
        <v>56610</v>
      </c>
      <c r="J98" s="438">
        <f>G98*I98</f>
        <v>283050</v>
      </c>
      <c r="K98" s="219" t="s">
        <v>608</v>
      </c>
      <c r="L98" s="429">
        <v>46062</v>
      </c>
      <c r="M98" s="59"/>
      <c r="N98" s="36"/>
      <c r="O98" s="176">
        <f>SUM(J98)</f>
        <v>283050</v>
      </c>
      <c r="P98" s="700" t="s">
        <v>375</v>
      </c>
      <c r="Q98" s="39"/>
    </row>
    <row r="99" spans="1:17" ht="18.75">
      <c r="A99" s="829"/>
      <c r="B99" s="838"/>
      <c r="C99" s="839"/>
      <c r="D99" s="863"/>
      <c r="E99" s="850"/>
      <c r="F99" s="1026"/>
      <c r="G99" s="1027"/>
      <c r="H99" s="1028"/>
      <c r="I99" s="1029"/>
      <c r="J99" s="1030"/>
      <c r="K99" s="845"/>
      <c r="L99" s="838"/>
      <c r="M99" s="829"/>
      <c r="N99" s="36"/>
      <c r="O99" s="176"/>
      <c r="P99" s="700"/>
      <c r="Q99" s="39"/>
    </row>
    <row r="100" spans="1:17" ht="18.75">
      <c r="A100" s="829"/>
      <c r="B100" s="1007">
        <v>46081</v>
      </c>
      <c r="C100" s="993" t="s">
        <v>379</v>
      </c>
      <c r="D100" s="427"/>
      <c r="E100" s="215"/>
      <c r="F100" s="1032" t="s">
        <v>606</v>
      </c>
      <c r="G100" s="184">
        <v>3</v>
      </c>
      <c r="H100" s="705" t="s">
        <v>15</v>
      </c>
      <c r="I100" s="706">
        <v>58941</v>
      </c>
      <c r="J100" s="438">
        <f>G100*I100</f>
        <v>176823</v>
      </c>
      <c r="K100" s="219" t="s">
        <v>632</v>
      </c>
      <c r="L100" s="429">
        <v>46081</v>
      </c>
      <c r="M100" s="829"/>
      <c r="N100" s="36"/>
      <c r="O100" s="176"/>
      <c r="P100" s="700"/>
      <c r="Q100" s="39"/>
    </row>
    <row r="101" spans="1:17" ht="18.75">
      <c r="A101" s="829"/>
      <c r="B101" s="1007"/>
      <c r="C101" s="993"/>
      <c r="D101" s="427"/>
      <c r="E101" s="215"/>
      <c r="F101" s="1032" t="s">
        <v>385</v>
      </c>
      <c r="G101" s="184">
        <v>9</v>
      </c>
      <c r="H101" s="705" t="s">
        <v>15</v>
      </c>
      <c r="I101" s="706">
        <v>55500</v>
      </c>
      <c r="J101" s="438">
        <f>G101*I101</f>
        <v>499500</v>
      </c>
      <c r="K101" s="219"/>
      <c r="L101" s="429"/>
      <c r="M101" s="829"/>
      <c r="N101" s="36"/>
      <c r="O101" s="176"/>
      <c r="P101" s="700"/>
      <c r="Q101" s="39"/>
    </row>
    <row r="102" spans="1:17" ht="18.75">
      <c r="A102" s="829"/>
      <c r="B102" s="1008"/>
      <c r="C102" s="1009"/>
      <c r="D102" s="863"/>
      <c r="E102" s="850"/>
      <c r="F102" s="1032" t="s">
        <v>630</v>
      </c>
      <c r="G102" s="184">
        <v>3</v>
      </c>
      <c r="H102" s="705" t="s">
        <v>15</v>
      </c>
      <c r="I102" s="706">
        <v>79920</v>
      </c>
      <c r="J102" s="438">
        <f>G102*I102</f>
        <v>239760</v>
      </c>
      <c r="K102" s="845"/>
      <c r="L102" s="838"/>
      <c r="M102" s="829"/>
      <c r="N102" s="36"/>
      <c r="O102" s="176">
        <f>SUM(J100:J102)</f>
        <v>916083</v>
      </c>
      <c r="P102" s="1031" t="s">
        <v>637</v>
      </c>
      <c r="Q102" s="39"/>
    </row>
    <row r="103" spans="1:17" ht="18.75">
      <c r="A103" s="829"/>
      <c r="B103" s="1008"/>
      <c r="C103" s="1009"/>
      <c r="D103" s="863"/>
      <c r="E103" s="850"/>
      <c r="F103" s="1026"/>
      <c r="G103" s="1027"/>
      <c r="H103" s="1028"/>
      <c r="I103" s="1029"/>
      <c r="J103" s="1030"/>
      <c r="K103" s="845"/>
      <c r="L103" s="838"/>
      <c r="M103" s="829"/>
      <c r="N103" s="36"/>
      <c r="O103" s="176"/>
      <c r="P103" s="700"/>
      <c r="Q103" s="39"/>
    </row>
    <row r="104" spans="1:17" ht="18.75">
      <c r="A104" s="59"/>
      <c r="B104" s="1033"/>
      <c r="C104" s="1011"/>
      <c r="D104" s="740"/>
      <c r="E104" s="740"/>
      <c r="F104" s="741"/>
      <c r="G104" s="789"/>
      <c r="H104" s="781"/>
      <c r="I104" s="790"/>
      <c r="J104" s="791"/>
      <c r="K104" s="219"/>
      <c r="L104" s="792"/>
      <c r="M104" s="133"/>
      <c r="N104" s="36"/>
      <c r="O104" s="176"/>
      <c r="P104" s="714"/>
      <c r="Q104" s="39"/>
    </row>
    <row r="105" spans="1:17" ht="18.75">
      <c r="A105" s="829"/>
      <c r="B105" s="1033"/>
      <c r="C105" s="1034"/>
      <c r="D105" s="973"/>
      <c r="E105" s="973"/>
      <c r="F105" s="974"/>
      <c r="G105" s="1014"/>
      <c r="H105" s="1015"/>
      <c r="I105" s="1016"/>
      <c r="J105" s="990"/>
      <c r="K105" s="1017"/>
      <c r="L105" s="1018"/>
      <c r="M105" s="849"/>
      <c r="N105" s="36"/>
      <c r="O105" s="176"/>
      <c r="P105" s="714"/>
      <c r="Q105" s="39"/>
    </row>
    <row r="106" spans="1:17" ht="18.75">
      <c r="A106" s="829"/>
      <c r="B106" s="1007">
        <v>46093</v>
      </c>
      <c r="C106" s="993" t="s">
        <v>379</v>
      </c>
      <c r="D106" s="427"/>
      <c r="E106" s="215"/>
      <c r="F106" s="1032" t="s">
        <v>385</v>
      </c>
      <c r="G106" s="184">
        <v>38</v>
      </c>
      <c r="H106" s="705" t="s">
        <v>15</v>
      </c>
      <c r="I106" s="706">
        <v>56610</v>
      </c>
      <c r="J106" s="438">
        <f>G106*I106</f>
        <v>2151180</v>
      </c>
      <c r="K106" s="219" t="s">
        <v>631</v>
      </c>
      <c r="L106" s="429">
        <v>46093</v>
      </c>
      <c r="M106" s="849"/>
      <c r="N106" s="36"/>
      <c r="O106" s="176"/>
      <c r="P106" s="714"/>
      <c r="Q106" s="39"/>
    </row>
    <row r="107" spans="1:17" ht="18.75">
      <c r="A107" s="829"/>
      <c r="B107" s="1033"/>
      <c r="C107" s="1034"/>
      <c r="D107" s="973"/>
      <c r="E107" s="973"/>
      <c r="F107" s="1032" t="s">
        <v>606</v>
      </c>
      <c r="G107" s="184">
        <v>2</v>
      </c>
      <c r="H107" s="705" t="s">
        <v>15</v>
      </c>
      <c r="I107" s="706">
        <v>61050</v>
      </c>
      <c r="J107" s="438">
        <f>G107*I107</f>
        <v>122100</v>
      </c>
      <c r="K107" s="1017"/>
      <c r="L107" s="1018"/>
      <c r="M107" s="849"/>
      <c r="N107" s="36"/>
      <c r="O107" s="176">
        <f>SUM(J106:J107)</f>
        <v>2273280</v>
      </c>
      <c r="P107" s="1019" t="s">
        <v>487</v>
      </c>
      <c r="Q107" s="39"/>
    </row>
    <row r="108" spans="1:17" ht="18.75">
      <c r="A108" s="829"/>
      <c r="B108" s="1033"/>
      <c r="C108" s="1034"/>
      <c r="D108" s="973"/>
      <c r="E108" s="973"/>
      <c r="F108" s="559"/>
      <c r="G108" s="184"/>
      <c r="H108" s="705"/>
      <c r="I108" s="706"/>
      <c r="J108" s="438"/>
      <c r="K108" s="1017"/>
      <c r="L108" s="1018"/>
      <c r="M108" s="849"/>
      <c r="N108" s="36"/>
      <c r="O108" s="176"/>
      <c r="P108" s="794"/>
      <c r="Q108" s="39"/>
    </row>
    <row r="109" spans="1:17" ht="18.75">
      <c r="A109" s="829"/>
      <c r="B109" s="1067">
        <v>46093</v>
      </c>
      <c r="C109" s="612" t="s">
        <v>379</v>
      </c>
      <c r="D109" s="484"/>
      <c r="E109" s="1068"/>
      <c r="F109" s="484" t="s">
        <v>385</v>
      </c>
      <c r="G109" s="184">
        <v>6</v>
      </c>
      <c r="H109" s="705" t="s">
        <v>15</v>
      </c>
      <c r="I109" s="706">
        <v>56610</v>
      </c>
      <c r="J109" s="438">
        <f>G109*I109</f>
        <v>339660</v>
      </c>
      <c r="K109" s="219" t="s">
        <v>658</v>
      </c>
      <c r="L109" s="429">
        <v>46093</v>
      </c>
      <c r="M109" s="849"/>
      <c r="N109" s="36"/>
      <c r="O109" s="176">
        <f>SUM(J109)</f>
        <v>339660</v>
      </c>
      <c r="P109" s="716" t="s">
        <v>485</v>
      </c>
      <c r="Q109" s="39"/>
    </row>
    <row r="110" spans="1:17" ht="18.75">
      <c r="A110" s="829"/>
      <c r="B110" s="971"/>
      <c r="C110" s="1013"/>
      <c r="D110" s="973"/>
      <c r="E110" s="973"/>
      <c r="F110" s="974"/>
      <c r="G110" s="1014"/>
      <c r="H110" s="1015"/>
      <c r="I110" s="1016"/>
      <c r="J110" s="990"/>
      <c r="K110" s="1017"/>
      <c r="L110" s="1018"/>
      <c r="M110" s="849"/>
      <c r="N110" s="36"/>
      <c r="O110" s="176"/>
      <c r="P110" s="714"/>
      <c r="Q110" s="39"/>
    </row>
    <row r="111" spans="1:17" ht="18.75">
      <c r="A111" s="829"/>
      <c r="B111" s="1062">
        <v>46090</v>
      </c>
      <c r="C111" s="1063" t="s">
        <v>379</v>
      </c>
      <c r="D111" s="427"/>
      <c r="E111" s="215"/>
      <c r="F111" s="559" t="s">
        <v>606</v>
      </c>
      <c r="G111" s="184">
        <v>15</v>
      </c>
      <c r="H111" s="705" t="s">
        <v>15</v>
      </c>
      <c r="I111" s="706">
        <v>53280</v>
      </c>
      <c r="J111" s="438">
        <f>G111*I111</f>
        <v>799200</v>
      </c>
      <c r="K111" s="219" t="s">
        <v>706</v>
      </c>
      <c r="L111" s="429">
        <v>46090</v>
      </c>
      <c r="M111" s="59"/>
      <c r="N111" s="36"/>
      <c r="O111" s="176">
        <f>SUM(J111:J112)</f>
        <v>799200</v>
      </c>
      <c r="P111" s="700" t="s">
        <v>375</v>
      </c>
      <c r="Q111" s="39"/>
    </row>
    <row r="112" spans="1:17" ht="18.75">
      <c r="A112" s="59"/>
      <c r="B112" s="966"/>
      <c r="C112" s="967"/>
      <c r="D112" s="740"/>
      <c r="E112" s="740"/>
      <c r="F112" s="741"/>
      <c r="G112" s="789"/>
      <c r="H112" s="781"/>
      <c r="I112" s="790"/>
      <c r="J112" s="791"/>
      <c r="K112" s="745"/>
      <c r="L112" s="793"/>
      <c r="M112" s="59"/>
      <c r="N112" s="36"/>
      <c r="O112" s="176"/>
      <c r="P112" s="700"/>
      <c r="Q112" s="39"/>
    </row>
    <row r="113" spans="1:17" ht="18.75">
      <c r="A113" s="59"/>
      <c r="B113" s="966"/>
      <c r="C113" s="967"/>
      <c r="D113" s="740"/>
      <c r="E113" s="740"/>
      <c r="F113" s="741"/>
      <c r="G113" s="789"/>
      <c r="H113" s="781"/>
      <c r="I113" s="790"/>
      <c r="J113" s="791"/>
      <c r="K113" s="745"/>
      <c r="L113" s="793"/>
      <c r="M113" s="133"/>
      <c r="N113" s="36"/>
      <c r="O113" s="176"/>
      <c r="P113" s="794"/>
      <c r="Q113" s="39"/>
    </row>
    <row r="114" spans="1:17" ht="18.75">
      <c r="A114" s="59"/>
      <c r="B114" s="564"/>
      <c r="C114" s="432"/>
      <c r="D114" s="427"/>
      <c r="E114" s="215"/>
      <c r="F114" s="726"/>
      <c r="G114" s="702"/>
      <c r="H114" s="701"/>
      <c r="I114" s="703"/>
      <c r="J114" s="437"/>
      <c r="K114" s="219"/>
      <c r="L114" s="429"/>
      <c r="M114" s="133"/>
      <c r="N114" s="36"/>
      <c r="O114" s="176"/>
      <c r="P114" s="714"/>
      <c r="Q114" s="39"/>
    </row>
    <row r="115" spans="1:17" ht="18.75">
      <c r="A115" s="1131" t="s">
        <v>395</v>
      </c>
      <c r="B115" s="1131"/>
      <c r="C115" s="1131"/>
      <c r="D115" s="1131"/>
      <c r="E115" s="1131"/>
      <c r="F115" s="1131"/>
      <c r="G115" s="1131"/>
      <c r="H115" s="1131"/>
      <c r="I115" s="1131"/>
      <c r="J115" s="1131"/>
      <c r="K115" s="1131"/>
      <c r="L115" s="1131"/>
      <c r="M115" s="1131"/>
      <c r="N115" s="36"/>
      <c r="O115" s="84"/>
      <c r="P115" s="136"/>
      <c r="Q115" s="39"/>
    </row>
    <row r="116" spans="1:17" ht="18.75">
      <c r="A116" s="59"/>
      <c r="B116" s="59"/>
      <c r="C116" s="59"/>
      <c r="D116" s="59"/>
      <c r="E116" s="59"/>
      <c r="F116" s="59"/>
      <c r="G116" s="172"/>
      <c r="H116" s="133"/>
      <c r="I116" s="59"/>
      <c r="J116" s="175"/>
      <c r="K116" s="183"/>
      <c r="L116" s="59"/>
      <c r="M116" s="59"/>
      <c r="N116" s="36"/>
      <c r="O116" s="84"/>
      <c r="P116" s="136"/>
      <c r="Q116" s="39"/>
    </row>
    <row r="117" spans="1:17" ht="18.75">
      <c r="A117" s="59"/>
      <c r="B117" s="686">
        <v>46112</v>
      </c>
      <c r="C117" s="216" t="s">
        <v>379</v>
      </c>
      <c r="D117" s="190"/>
      <c r="E117" s="191"/>
      <c r="F117" s="727" t="s">
        <v>440</v>
      </c>
      <c r="G117" s="684">
        <v>40</v>
      </c>
      <c r="H117" s="681" t="s">
        <v>17</v>
      </c>
      <c r="I117" s="682">
        <v>66600</v>
      </c>
      <c r="J117" s="683">
        <f t="shared" ref="J117:J119" si="3">I117*G117</f>
        <v>2664000</v>
      </c>
      <c r="K117" s="219" t="s">
        <v>550</v>
      </c>
      <c r="L117" s="429">
        <v>46112</v>
      </c>
      <c r="M117" s="170"/>
      <c r="N117" s="36"/>
      <c r="O117" s="84"/>
      <c r="P117" s="136"/>
      <c r="Q117" s="39"/>
    </row>
    <row r="118" spans="1:17" ht="18.75">
      <c r="A118" s="59"/>
      <c r="B118" s="189"/>
      <c r="C118" s="600"/>
      <c r="D118" s="190"/>
      <c r="E118" s="191"/>
      <c r="F118" s="727" t="s">
        <v>377</v>
      </c>
      <c r="G118" s="680">
        <v>28</v>
      </c>
      <c r="H118" s="681" t="s">
        <v>17</v>
      </c>
      <c r="I118" s="682">
        <v>16650</v>
      </c>
      <c r="J118" s="683">
        <f t="shared" si="3"/>
        <v>466200</v>
      </c>
      <c r="K118" s="200"/>
      <c r="L118" s="189"/>
      <c r="M118" s="170"/>
      <c r="N118" s="36"/>
      <c r="O118" s="84"/>
      <c r="P118" s="136"/>
      <c r="Q118" s="39"/>
    </row>
    <row r="119" spans="1:17" ht="18.75">
      <c r="A119" s="59"/>
      <c r="B119" s="189"/>
      <c r="C119" s="600"/>
      <c r="D119" s="190"/>
      <c r="E119" s="191"/>
      <c r="F119" s="727" t="s">
        <v>378</v>
      </c>
      <c r="G119" s="680">
        <v>20</v>
      </c>
      <c r="H119" s="681" t="s">
        <v>17</v>
      </c>
      <c r="I119" s="682">
        <v>22200</v>
      </c>
      <c r="J119" s="683">
        <f t="shared" si="3"/>
        <v>444000</v>
      </c>
      <c r="K119" s="200"/>
      <c r="L119" s="189"/>
      <c r="M119" s="170"/>
      <c r="N119" s="36"/>
      <c r="O119" s="84"/>
      <c r="P119" s="136"/>
      <c r="Q119" s="39"/>
    </row>
    <row r="120" spans="1:17" ht="18.75">
      <c r="A120" s="59"/>
      <c r="B120" s="189"/>
      <c r="C120" s="600"/>
      <c r="D120" s="190"/>
      <c r="E120" s="191"/>
      <c r="F120" s="727"/>
      <c r="G120" s="680"/>
      <c r="H120" s="681"/>
      <c r="I120" s="682"/>
      <c r="J120" s="683"/>
      <c r="K120" s="200"/>
      <c r="L120" s="189"/>
      <c r="M120" s="170"/>
      <c r="N120" s="36"/>
      <c r="O120" s="176">
        <f>SUM(J117:J120)</f>
        <v>3574200</v>
      </c>
      <c r="P120" s="819" t="s">
        <v>551</v>
      </c>
      <c r="Q120" s="39"/>
    </row>
    <row r="121" spans="1:17" ht="18.75">
      <c r="A121" s="59"/>
      <c r="B121" s="189"/>
      <c r="C121" s="600"/>
      <c r="D121" s="190"/>
      <c r="E121" s="191"/>
      <c r="F121" s="727"/>
      <c r="G121" s="680"/>
      <c r="H121" s="681"/>
      <c r="I121" s="682"/>
      <c r="J121" s="683"/>
      <c r="K121" s="200"/>
      <c r="L121" s="189"/>
      <c r="M121" s="170"/>
      <c r="N121" s="36"/>
      <c r="O121" s="84"/>
      <c r="P121" s="136"/>
      <c r="Q121" s="39"/>
    </row>
    <row r="122" spans="1:17" ht="18.75">
      <c r="A122" s="59"/>
      <c r="B122" s="189"/>
      <c r="C122" s="600"/>
      <c r="D122" s="190"/>
      <c r="E122" s="191"/>
      <c r="F122" s="727"/>
      <c r="G122" s="680"/>
      <c r="H122" s="681"/>
      <c r="I122" s="682"/>
      <c r="J122" s="683"/>
      <c r="K122" s="200"/>
      <c r="L122" s="189"/>
      <c r="M122" s="170"/>
      <c r="N122" s="36"/>
      <c r="O122" s="84"/>
      <c r="P122" s="136"/>
      <c r="Q122" s="39"/>
    </row>
    <row r="123" spans="1:17" ht="18.75">
      <c r="A123" s="59"/>
      <c r="B123" s="189"/>
      <c r="C123" s="600"/>
      <c r="D123" s="190"/>
      <c r="E123" s="191"/>
      <c r="F123" s="727"/>
      <c r="G123" s="680"/>
      <c r="H123" s="681"/>
      <c r="I123" s="682"/>
      <c r="J123" s="683"/>
      <c r="K123" s="200"/>
      <c r="L123" s="189"/>
      <c r="M123" s="170"/>
      <c r="N123" s="36"/>
      <c r="O123" s="84"/>
      <c r="P123" s="136"/>
      <c r="Q123" s="39"/>
    </row>
    <row r="124" spans="1:17" ht="18.75">
      <c r="A124" s="59"/>
      <c r="B124" s="189"/>
      <c r="C124" s="600"/>
      <c r="D124" s="190"/>
      <c r="E124" s="191"/>
      <c r="F124" s="727"/>
      <c r="G124" s="680"/>
      <c r="H124" s="681"/>
      <c r="I124" s="682"/>
      <c r="J124" s="683"/>
      <c r="K124" s="200"/>
      <c r="L124" s="189"/>
      <c r="M124" s="170"/>
      <c r="N124" s="36"/>
      <c r="O124" s="84"/>
      <c r="P124" s="136"/>
      <c r="Q124" s="39"/>
    </row>
    <row r="125" spans="1:17" ht="18.75">
      <c r="A125" s="59"/>
      <c r="B125" s="189"/>
      <c r="C125" s="600"/>
      <c r="D125" s="190"/>
      <c r="E125" s="191"/>
      <c r="F125" s="727"/>
      <c r="G125" s="684"/>
      <c r="H125" s="681"/>
      <c r="I125" s="682"/>
      <c r="J125" s="683"/>
      <c r="K125" s="200"/>
      <c r="L125" s="189"/>
      <c r="M125" s="170"/>
      <c r="N125" s="36"/>
      <c r="O125" s="84"/>
      <c r="P125" s="136"/>
      <c r="Q125" s="39"/>
    </row>
    <row r="126" spans="1:17" ht="18.75">
      <c r="A126" s="59"/>
      <c r="B126" s="189"/>
      <c r="C126" s="600"/>
      <c r="D126" s="190"/>
      <c r="E126" s="191"/>
      <c r="F126" s="727"/>
      <c r="G126" s="684"/>
      <c r="H126" s="681"/>
      <c r="I126" s="682"/>
      <c r="J126" s="683"/>
      <c r="K126" s="200"/>
      <c r="L126" s="189"/>
      <c r="M126" s="170"/>
      <c r="N126" s="36"/>
      <c r="O126" s="84"/>
      <c r="P126" s="136"/>
      <c r="Q126" s="39"/>
    </row>
    <row r="127" spans="1:17" ht="18.75">
      <c r="A127" s="59"/>
      <c r="B127" s="189"/>
      <c r="C127" s="600"/>
      <c r="D127" s="190"/>
      <c r="E127" s="191"/>
      <c r="F127" s="727"/>
      <c r="G127" s="684"/>
      <c r="H127" s="685"/>
      <c r="I127" s="682"/>
      <c r="J127" s="683"/>
      <c r="K127" s="200"/>
      <c r="L127" s="189"/>
      <c r="M127" s="170"/>
      <c r="N127" s="36"/>
      <c r="O127" s="176"/>
      <c r="P127" s="179"/>
      <c r="Q127" s="39"/>
    </row>
    <row r="128" spans="1:17" ht="18.75">
      <c r="A128" s="59"/>
      <c r="B128" s="189"/>
      <c r="C128" s="600"/>
      <c r="D128" s="190"/>
      <c r="E128" s="191"/>
      <c r="F128" s="679"/>
      <c r="G128" s="684"/>
      <c r="H128" s="681"/>
      <c r="I128" s="682"/>
      <c r="J128" s="683"/>
      <c r="K128" s="200"/>
      <c r="L128" s="189"/>
      <c r="M128" s="170"/>
      <c r="N128" s="36"/>
      <c r="O128" s="84"/>
      <c r="P128" s="136"/>
      <c r="Q128" s="39"/>
    </row>
    <row r="129" spans="1:17" ht="18.75">
      <c r="A129" s="59"/>
      <c r="B129" s="59"/>
      <c r="C129" s="59"/>
      <c r="D129" s="59"/>
      <c r="E129" s="59"/>
      <c r="F129" s="59"/>
      <c r="G129" s="172"/>
      <c r="H129" s="133"/>
      <c r="I129" s="59"/>
      <c r="J129" s="175"/>
      <c r="K129" s="183"/>
      <c r="L129" s="59"/>
      <c r="M129" s="59"/>
      <c r="N129" s="36"/>
      <c r="O129" s="84"/>
      <c r="P129" s="136"/>
      <c r="Q129" s="39"/>
    </row>
    <row r="130" spans="1:17" ht="18.75">
      <c r="A130" s="1129" t="str">
        <f>'LAMP.8 (II)'!A160:M160</f>
        <v>5. Perangko, Meterai dan Benda Pos Lainnya</v>
      </c>
      <c r="B130" s="1129"/>
      <c r="C130" s="1129"/>
      <c r="D130" s="1129"/>
      <c r="E130" s="1129"/>
      <c r="F130" s="1129"/>
      <c r="G130" s="1129"/>
      <c r="H130" s="1129"/>
      <c r="I130" s="1129"/>
      <c r="J130" s="1129"/>
      <c r="K130" s="1129"/>
      <c r="L130" s="1129"/>
      <c r="M130" s="1129"/>
      <c r="N130" s="36"/>
      <c r="O130" s="84"/>
      <c r="P130" s="136"/>
      <c r="Q130" s="39"/>
    </row>
    <row r="131" spans="1:17" ht="18.75">
      <c r="A131" s="217"/>
      <c r="B131" s="217"/>
      <c r="C131" s="217"/>
      <c r="D131" s="217"/>
      <c r="E131" s="217"/>
      <c r="F131" s="217"/>
      <c r="G131" s="434"/>
      <c r="H131" s="427"/>
      <c r="I131" s="217"/>
      <c r="J131" s="224"/>
      <c r="K131" s="427"/>
      <c r="L131" s="217"/>
      <c r="M131" s="217"/>
      <c r="N131" s="36"/>
      <c r="O131" s="84"/>
      <c r="P131" s="136"/>
      <c r="Q131" s="39"/>
    </row>
    <row r="132" spans="1:17" ht="18.75">
      <c r="A132" s="217"/>
      <c r="B132" s="485"/>
      <c r="C132" s="492"/>
      <c r="D132" s="795"/>
      <c r="E132" s="796"/>
      <c r="F132" s="797"/>
      <c r="G132" s="798"/>
      <c r="H132" s="795"/>
      <c r="I132" s="799"/>
      <c r="J132" s="799"/>
      <c r="K132" s="733"/>
      <c r="L132" s="215"/>
      <c r="M132" s="217"/>
      <c r="N132" s="36"/>
      <c r="O132" s="176"/>
      <c r="P132" s="662"/>
      <c r="Q132" s="39"/>
    </row>
    <row r="133" spans="1:17" ht="18.75">
      <c r="A133" s="217"/>
      <c r="B133" s="590"/>
      <c r="C133" s="590"/>
      <c r="D133" s="590"/>
      <c r="E133" s="590"/>
      <c r="F133" s="590"/>
      <c r="G133" s="734"/>
      <c r="H133" s="591"/>
      <c r="I133" s="782"/>
      <c r="J133" s="735"/>
      <c r="K133" s="733"/>
      <c r="L133" s="217"/>
      <c r="M133" s="217"/>
      <c r="N133" s="36"/>
      <c r="O133" s="84"/>
      <c r="P133" s="136"/>
      <c r="Q133" s="39"/>
    </row>
    <row r="134" spans="1:17" ht="18.75">
      <c r="A134" s="217"/>
      <c r="B134" s="958"/>
      <c r="C134" s="492"/>
      <c r="D134" s="795"/>
      <c r="E134" s="796"/>
      <c r="F134" s="797"/>
      <c r="G134" s="798"/>
      <c r="H134" s="795"/>
      <c r="I134" s="799"/>
      <c r="J134" s="799"/>
      <c r="K134" s="733"/>
      <c r="L134" s="215"/>
      <c r="M134" s="217"/>
      <c r="N134" s="36"/>
      <c r="O134" s="176"/>
      <c r="P134" s="716"/>
      <c r="Q134" s="39"/>
    </row>
    <row r="135" spans="1:17" ht="18.75">
      <c r="A135" s="217"/>
      <c r="B135" s="1004"/>
      <c r="C135" s="590"/>
      <c r="D135" s="590"/>
      <c r="E135" s="590"/>
      <c r="F135" s="590"/>
      <c r="G135" s="734"/>
      <c r="H135" s="591"/>
      <c r="I135" s="782"/>
      <c r="J135" s="735"/>
      <c r="K135" s="733"/>
      <c r="L135" s="217"/>
      <c r="M135" s="217"/>
      <c r="N135" s="36"/>
      <c r="O135" s="84"/>
      <c r="P135" s="136"/>
      <c r="Q135" s="39"/>
    </row>
    <row r="136" spans="1:17" ht="18.75">
      <c r="A136" s="217"/>
      <c r="B136" s="958"/>
      <c r="C136" s="492"/>
      <c r="D136" s="795"/>
      <c r="E136" s="796"/>
      <c r="F136" s="797"/>
      <c r="G136" s="798"/>
      <c r="H136" s="795"/>
      <c r="I136" s="799"/>
      <c r="J136" s="799"/>
      <c r="K136" s="733"/>
      <c r="L136" s="215"/>
      <c r="M136" s="217"/>
      <c r="N136" s="36"/>
      <c r="O136" s="176"/>
      <c r="P136" s="662"/>
      <c r="Q136" s="39"/>
    </row>
    <row r="137" spans="1:17" ht="18.75">
      <c r="A137" s="217"/>
      <c r="B137" s="958"/>
      <c r="C137" s="492"/>
      <c r="D137" s="795"/>
      <c r="E137" s="796"/>
      <c r="F137" s="797"/>
      <c r="G137" s="798"/>
      <c r="H137" s="795"/>
      <c r="I137" s="799"/>
      <c r="J137" s="799"/>
      <c r="K137" s="733"/>
      <c r="L137" s="215"/>
      <c r="M137" s="217"/>
      <c r="N137" s="36"/>
      <c r="O137" s="176"/>
      <c r="P137" s="716"/>
      <c r="Q137" s="39"/>
    </row>
    <row r="138" spans="1:17" ht="18.75">
      <c r="A138" s="217"/>
      <c r="B138" s="958"/>
      <c r="C138" s="492"/>
      <c r="D138" s="795"/>
      <c r="E138" s="796"/>
      <c r="F138" s="797"/>
      <c r="G138" s="798"/>
      <c r="H138" s="795"/>
      <c r="I138" s="799"/>
      <c r="J138" s="799"/>
      <c r="K138" s="733"/>
      <c r="L138" s="215"/>
      <c r="M138" s="217"/>
      <c r="N138" s="36"/>
      <c r="O138" s="176"/>
      <c r="P138" s="662"/>
      <c r="Q138" s="39"/>
    </row>
    <row r="139" spans="1:17" ht="18.75">
      <c r="A139" s="831"/>
      <c r="B139" s="958"/>
      <c r="C139" s="492"/>
      <c r="D139" s="795"/>
      <c r="E139" s="796"/>
      <c r="F139" s="797"/>
      <c r="G139" s="798"/>
      <c r="H139" s="795"/>
      <c r="I139" s="799"/>
      <c r="J139" s="799"/>
      <c r="K139" s="882"/>
      <c r="L139" s="876"/>
      <c r="M139" s="831"/>
      <c r="N139" s="36"/>
      <c r="O139" s="176"/>
      <c r="P139" s="662"/>
      <c r="Q139" s="39"/>
    </row>
    <row r="140" spans="1:17" ht="18.75">
      <c r="A140" s="217"/>
      <c r="B140" s="958">
        <v>46087</v>
      </c>
      <c r="C140" s="492" t="s">
        <v>20</v>
      </c>
      <c r="D140" s="800"/>
      <c r="E140" s="740"/>
      <c r="F140" s="801" t="s">
        <v>242</v>
      </c>
      <c r="G140" s="789">
        <v>400</v>
      </c>
      <c r="H140" s="802" t="s">
        <v>21</v>
      </c>
      <c r="I140" s="803">
        <v>10000</v>
      </c>
      <c r="J140" s="791">
        <f>G140*I140</f>
        <v>4000000</v>
      </c>
      <c r="K140" s="793" t="s">
        <v>605</v>
      </c>
      <c r="L140" s="485">
        <v>46087</v>
      </c>
      <c r="M140" s="217"/>
      <c r="N140" s="36"/>
      <c r="O140" s="176">
        <f>SUM(J140)</f>
        <v>4000000</v>
      </c>
      <c r="P140" s="662" t="s">
        <v>392</v>
      </c>
      <c r="Q140" s="39"/>
    </row>
    <row r="141" spans="1:17" ht="18.75">
      <c r="A141" s="217"/>
      <c r="B141" s="958"/>
      <c r="C141" s="492"/>
      <c r="D141" s="795"/>
      <c r="E141" s="796"/>
      <c r="F141" s="797"/>
      <c r="G141" s="798"/>
      <c r="H141" s="795"/>
      <c r="I141" s="799"/>
      <c r="J141" s="799"/>
      <c r="K141" s="733"/>
      <c r="L141" s="215"/>
      <c r="M141" s="217"/>
      <c r="N141" s="36"/>
      <c r="O141" s="176"/>
      <c r="P141" s="662"/>
      <c r="Q141" s="39"/>
    </row>
    <row r="142" spans="1:17" ht="18.75">
      <c r="A142" s="217"/>
      <c r="B142" s="563"/>
      <c r="C142" s="216"/>
      <c r="D142" s="427"/>
      <c r="E142" s="215"/>
      <c r="F142" s="216"/>
      <c r="G142" s="482"/>
      <c r="H142" s="427"/>
      <c r="I142" s="442"/>
      <c r="J142" s="442"/>
      <c r="K142" s="427"/>
      <c r="L142" s="215"/>
      <c r="M142" s="217"/>
      <c r="N142" s="36"/>
      <c r="O142" s="176"/>
      <c r="P142" s="194"/>
      <c r="Q142" s="39"/>
    </row>
    <row r="143" spans="1:17" ht="18.75">
      <c r="A143" s="217"/>
      <c r="B143" s="958"/>
      <c r="C143" s="492"/>
      <c r="D143" s="795"/>
      <c r="E143" s="796"/>
      <c r="F143" s="797"/>
      <c r="G143" s="798"/>
      <c r="H143" s="795"/>
      <c r="I143" s="799"/>
      <c r="J143" s="799"/>
      <c r="K143" s="733"/>
      <c r="L143" s="485"/>
      <c r="M143" s="217"/>
      <c r="N143" s="36"/>
      <c r="O143" s="176"/>
      <c r="P143" s="847"/>
      <c r="Q143" s="39"/>
    </row>
    <row r="144" spans="1:17" ht="18.75">
      <c r="A144" s="217"/>
      <c r="B144" s="563"/>
      <c r="C144" s="216"/>
      <c r="D144" s="427"/>
      <c r="E144" s="215"/>
      <c r="F144" s="216"/>
      <c r="G144" s="482"/>
      <c r="H144" s="427"/>
      <c r="I144" s="442"/>
      <c r="J144" s="442"/>
      <c r="K144" s="427"/>
      <c r="L144" s="215"/>
      <c r="M144" s="217"/>
      <c r="N144" s="36"/>
      <c r="O144" s="176"/>
      <c r="P144" s="178"/>
      <c r="Q144" s="39"/>
    </row>
    <row r="145" spans="1:17" ht="18.75">
      <c r="A145" s="217"/>
      <c r="B145" s="215"/>
      <c r="C145" s="216"/>
      <c r="D145" s="427"/>
      <c r="E145" s="215"/>
      <c r="F145" s="216"/>
      <c r="G145" s="441"/>
      <c r="H145" s="216"/>
      <c r="I145" s="442"/>
      <c r="J145" s="442"/>
      <c r="K145" s="427"/>
      <c r="L145" s="217"/>
      <c r="M145" s="217"/>
      <c r="N145" s="36"/>
      <c r="O145" s="176"/>
      <c r="P145" s="194"/>
      <c r="Q145" s="39"/>
    </row>
    <row r="146" spans="1:17" ht="18.75">
      <c r="A146" s="1129" t="s">
        <v>402</v>
      </c>
      <c r="B146" s="1129"/>
      <c r="C146" s="1129"/>
      <c r="D146" s="1129"/>
      <c r="E146" s="1129"/>
      <c r="F146" s="1129"/>
      <c r="G146" s="1129"/>
      <c r="H146" s="1129"/>
      <c r="I146" s="1129"/>
      <c r="J146" s="1129"/>
      <c r="K146" s="1129"/>
      <c r="L146" s="1129"/>
      <c r="M146" s="1129"/>
      <c r="N146" s="36"/>
      <c r="O146" s="84"/>
      <c r="P146" s="136"/>
      <c r="Q146" s="39"/>
    </row>
    <row r="147" spans="1:17" ht="15.75">
      <c r="A147" s="59"/>
      <c r="B147" s="59"/>
      <c r="C147" s="59"/>
      <c r="D147" s="59"/>
      <c r="E147" s="59"/>
      <c r="F147" s="59"/>
      <c r="G147" s="172"/>
      <c r="H147" s="133"/>
      <c r="I147" s="59"/>
      <c r="J147" s="175"/>
      <c r="K147" s="133"/>
      <c r="L147" s="59"/>
      <c r="M147" s="59"/>
      <c r="N147" s="36"/>
      <c r="O147" s="84"/>
      <c r="P147" s="136"/>
      <c r="Q147" s="39"/>
    </row>
    <row r="148" spans="1:17" ht="18.75">
      <c r="A148" s="59"/>
      <c r="B148" s="215"/>
      <c r="C148" s="216"/>
      <c r="D148" s="59"/>
      <c r="E148" s="59"/>
      <c r="F148" s="559"/>
      <c r="G148" s="434"/>
      <c r="H148" s="427"/>
      <c r="I148" s="709"/>
      <c r="J148" s="224"/>
      <c r="K148" s="427"/>
      <c r="L148" s="215"/>
      <c r="M148" s="59"/>
      <c r="N148" s="36"/>
      <c r="O148" s="84"/>
      <c r="P148" s="136"/>
      <c r="Q148" s="39"/>
    </row>
    <row r="149" spans="1:17" ht="18.75">
      <c r="A149" s="59"/>
      <c r="B149" s="59"/>
      <c r="C149" s="732"/>
      <c r="D149" s="732"/>
      <c r="E149" s="732"/>
      <c r="F149" s="733"/>
      <c r="G149" s="734"/>
      <c r="H149" s="427"/>
      <c r="I149" s="709"/>
      <c r="J149" s="735"/>
      <c r="K149" s="693"/>
      <c r="L149" s="732"/>
      <c r="M149" s="59"/>
      <c r="N149" s="36"/>
      <c r="O149" s="84"/>
      <c r="P149" s="136"/>
      <c r="Q149" s="39"/>
    </row>
    <row r="150" spans="1:17" ht="18.75">
      <c r="A150" s="59"/>
      <c r="B150" s="758">
        <v>45727</v>
      </c>
      <c r="C150" s="216" t="s">
        <v>379</v>
      </c>
      <c r="D150" s="740"/>
      <c r="E150" s="740"/>
      <c r="F150" s="741" t="s">
        <v>398</v>
      </c>
      <c r="G150" s="742">
        <v>10</v>
      </c>
      <c r="H150" s="427" t="s">
        <v>17</v>
      </c>
      <c r="I150" s="743">
        <v>39405</v>
      </c>
      <c r="J150" s="744">
        <f>G150*I150</f>
        <v>394050</v>
      </c>
      <c r="K150" s="745" t="s">
        <v>555</v>
      </c>
      <c r="L150" s="215">
        <v>45727</v>
      </c>
      <c r="M150" s="59"/>
      <c r="N150" s="36"/>
      <c r="O150" s="84"/>
      <c r="P150" s="136"/>
      <c r="Q150" s="39"/>
    </row>
    <row r="151" spans="1:17" ht="18.75">
      <c r="A151" s="59"/>
      <c r="B151" s="759"/>
      <c r="C151" s="746"/>
      <c r="D151" s="740"/>
      <c r="E151" s="740"/>
      <c r="F151" s="741" t="s">
        <v>561</v>
      </c>
      <c r="G151" s="742">
        <v>20</v>
      </c>
      <c r="H151" s="427" t="s">
        <v>17</v>
      </c>
      <c r="I151" s="743">
        <v>37740</v>
      </c>
      <c r="J151" s="744">
        <f t="shared" ref="J151:J163" si="4">G151*I151</f>
        <v>754800</v>
      </c>
      <c r="K151" s="746"/>
      <c r="L151" s="747"/>
      <c r="M151" s="59"/>
      <c r="N151" s="36"/>
      <c r="O151" s="84"/>
      <c r="P151" s="136"/>
      <c r="Q151" s="39"/>
    </row>
    <row r="152" spans="1:17" ht="18.75">
      <c r="A152" s="59"/>
      <c r="B152" s="759"/>
      <c r="C152" s="746"/>
      <c r="D152" s="740"/>
      <c r="E152" s="740"/>
      <c r="F152" s="741" t="s">
        <v>556</v>
      </c>
      <c r="G152" s="742">
        <v>10</v>
      </c>
      <c r="H152" s="427" t="s">
        <v>17</v>
      </c>
      <c r="I152" s="743">
        <v>10545</v>
      </c>
      <c r="J152" s="744">
        <f t="shared" si="4"/>
        <v>105450</v>
      </c>
      <c r="K152" s="746"/>
      <c r="L152" s="747"/>
      <c r="M152" s="59"/>
      <c r="N152" s="36"/>
      <c r="O152" s="84"/>
      <c r="P152" s="136"/>
      <c r="Q152" s="39"/>
    </row>
    <row r="153" spans="1:17" ht="18.75">
      <c r="A153" s="59"/>
      <c r="B153" s="759"/>
      <c r="C153" s="746"/>
      <c r="D153" s="740"/>
      <c r="E153" s="740"/>
      <c r="F153" s="741" t="s">
        <v>557</v>
      </c>
      <c r="G153" s="742">
        <v>20</v>
      </c>
      <c r="H153" s="427" t="s">
        <v>17</v>
      </c>
      <c r="I153" s="743">
        <v>16983</v>
      </c>
      <c r="J153" s="744">
        <f t="shared" si="4"/>
        <v>339660</v>
      </c>
      <c r="K153" s="746"/>
      <c r="L153" s="747"/>
      <c r="M153" s="59"/>
      <c r="N153" s="36"/>
      <c r="O153" s="84"/>
      <c r="P153" s="136"/>
      <c r="Q153" s="39"/>
    </row>
    <row r="154" spans="1:17" ht="18.75">
      <c r="A154" s="59"/>
      <c r="B154" s="759"/>
      <c r="C154" s="746"/>
      <c r="D154" s="740"/>
      <c r="E154" s="740"/>
      <c r="F154" s="741" t="s">
        <v>559</v>
      </c>
      <c r="G154" s="742">
        <v>20</v>
      </c>
      <c r="H154" s="427" t="s">
        <v>17</v>
      </c>
      <c r="I154" s="743">
        <v>20500</v>
      </c>
      <c r="J154" s="744">
        <f t="shared" ref="J154" si="5">G154*I154</f>
        <v>410000</v>
      </c>
      <c r="K154" s="746"/>
      <c r="L154" s="747"/>
      <c r="M154" s="59"/>
      <c r="N154" s="36"/>
      <c r="O154" s="84"/>
      <c r="P154" s="136"/>
      <c r="Q154" s="39"/>
    </row>
    <row r="155" spans="1:17" ht="18.75">
      <c r="A155" s="59"/>
      <c r="B155" s="759"/>
      <c r="C155" s="746"/>
      <c r="D155" s="740"/>
      <c r="E155" s="740"/>
      <c r="F155" s="741" t="s">
        <v>558</v>
      </c>
      <c r="G155" s="742">
        <v>25</v>
      </c>
      <c r="H155" s="427" t="s">
        <v>17</v>
      </c>
      <c r="I155" s="743">
        <v>21000</v>
      </c>
      <c r="J155" s="744">
        <f t="shared" si="4"/>
        <v>525000</v>
      </c>
      <c r="K155" s="746"/>
      <c r="L155" s="747"/>
      <c r="M155" s="59"/>
      <c r="N155" s="36"/>
      <c r="O155" s="84"/>
      <c r="P155" s="136"/>
      <c r="Q155" s="39"/>
    </row>
    <row r="156" spans="1:17" ht="18.75">
      <c r="A156" s="59"/>
      <c r="B156" s="759"/>
      <c r="C156" s="746"/>
      <c r="D156" s="740"/>
      <c r="E156" s="740"/>
      <c r="F156" s="741" t="s">
        <v>400</v>
      </c>
      <c r="G156" s="742">
        <v>35</v>
      </c>
      <c r="H156" s="427" t="s">
        <v>17</v>
      </c>
      <c r="I156" s="743">
        <v>16206</v>
      </c>
      <c r="J156" s="744">
        <f>G156*I156</f>
        <v>567210</v>
      </c>
      <c r="K156" s="746"/>
      <c r="L156" s="747"/>
      <c r="M156" s="59"/>
      <c r="N156" s="36"/>
      <c r="O156" s="84"/>
      <c r="P156" s="136"/>
      <c r="Q156" s="39"/>
    </row>
    <row r="157" spans="1:17" ht="18.75">
      <c r="A157" s="59"/>
      <c r="B157" s="759"/>
      <c r="C157" s="746"/>
      <c r="D157" s="740"/>
      <c r="E157" s="740"/>
      <c r="F157" s="741" t="s">
        <v>560</v>
      </c>
      <c r="G157" s="742">
        <v>20</v>
      </c>
      <c r="H157" s="427" t="s">
        <v>17</v>
      </c>
      <c r="I157" s="743">
        <v>20535</v>
      </c>
      <c r="J157" s="744">
        <f t="shared" si="4"/>
        <v>410700</v>
      </c>
      <c r="K157" s="746"/>
      <c r="L157" s="747"/>
      <c r="M157" s="59"/>
      <c r="N157" s="36"/>
      <c r="O157" s="84"/>
      <c r="P157" s="136"/>
      <c r="Q157" s="39"/>
    </row>
    <row r="158" spans="1:17" ht="18.75">
      <c r="A158" s="59"/>
      <c r="B158" s="759"/>
      <c r="C158" s="746"/>
      <c r="D158" s="740"/>
      <c r="E158" s="740"/>
      <c r="F158" s="741" t="s">
        <v>562</v>
      </c>
      <c r="G158" s="742">
        <v>25</v>
      </c>
      <c r="H158" s="427" t="s">
        <v>17</v>
      </c>
      <c r="I158" s="743">
        <v>14985</v>
      </c>
      <c r="J158" s="744">
        <f t="shared" si="4"/>
        <v>374625</v>
      </c>
      <c r="K158" s="746"/>
      <c r="L158" s="747"/>
      <c r="M158" s="59"/>
      <c r="N158" s="36"/>
      <c r="O158" s="84"/>
      <c r="P158" s="136"/>
      <c r="Q158" s="39"/>
    </row>
    <row r="159" spans="1:17" ht="18.75">
      <c r="A159" s="59"/>
      <c r="B159" s="759"/>
      <c r="C159" s="746"/>
      <c r="D159" s="740"/>
      <c r="E159" s="740"/>
      <c r="F159" s="741" t="s">
        <v>563</v>
      </c>
      <c r="G159" s="742">
        <v>10</v>
      </c>
      <c r="H159" s="427" t="s">
        <v>17</v>
      </c>
      <c r="I159" s="743">
        <v>193140</v>
      </c>
      <c r="J159" s="744">
        <f t="shared" si="4"/>
        <v>1931400</v>
      </c>
      <c r="K159" s="746"/>
      <c r="L159" s="747"/>
      <c r="M159" s="59"/>
      <c r="N159" s="36"/>
      <c r="O159" s="84"/>
      <c r="P159" s="136"/>
      <c r="Q159" s="39"/>
    </row>
    <row r="160" spans="1:17" ht="18.75">
      <c r="A160" s="59"/>
      <c r="B160" s="759"/>
      <c r="C160" s="746"/>
      <c r="D160" s="740"/>
      <c r="E160" s="740"/>
      <c r="F160" s="741" t="s">
        <v>564</v>
      </c>
      <c r="G160" s="742">
        <v>20</v>
      </c>
      <c r="H160" s="427" t="s">
        <v>17</v>
      </c>
      <c r="I160" s="743">
        <v>29415</v>
      </c>
      <c r="J160" s="744">
        <f t="shared" si="4"/>
        <v>588300</v>
      </c>
      <c r="K160" s="746"/>
      <c r="L160" s="747"/>
      <c r="M160" s="59"/>
      <c r="N160" s="36"/>
      <c r="O160" s="84"/>
      <c r="P160" s="136"/>
      <c r="Q160" s="39"/>
    </row>
    <row r="161" spans="1:17" ht="18.75">
      <c r="A161" s="59"/>
      <c r="B161" s="759"/>
      <c r="C161" s="746"/>
      <c r="D161" s="740"/>
      <c r="E161" s="740"/>
      <c r="F161" s="741" t="s">
        <v>565</v>
      </c>
      <c r="G161" s="742">
        <v>10</v>
      </c>
      <c r="H161" s="427" t="s">
        <v>17</v>
      </c>
      <c r="I161" s="743">
        <v>63825</v>
      </c>
      <c r="J161" s="744">
        <f t="shared" si="4"/>
        <v>638250</v>
      </c>
      <c r="K161" s="746"/>
      <c r="L161" s="747"/>
      <c r="M161" s="59"/>
      <c r="N161" s="36"/>
      <c r="O161" s="84"/>
      <c r="P161" s="136"/>
      <c r="Q161" s="39"/>
    </row>
    <row r="162" spans="1:17" ht="18.75">
      <c r="A162" s="59"/>
      <c r="B162" s="759"/>
      <c r="C162" s="746"/>
      <c r="D162" s="740"/>
      <c r="E162" s="740"/>
      <c r="F162" s="741" t="s">
        <v>566</v>
      </c>
      <c r="G162" s="742">
        <v>20</v>
      </c>
      <c r="H162" s="427" t="s">
        <v>17</v>
      </c>
      <c r="I162" s="743">
        <v>33855</v>
      </c>
      <c r="J162" s="744">
        <f t="shared" si="4"/>
        <v>677100</v>
      </c>
      <c r="K162" s="746"/>
      <c r="L162" s="747"/>
      <c r="M162" s="59"/>
      <c r="N162" s="36"/>
      <c r="O162" s="84"/>
      <c r="P162" s="136"/>
      <c r="Q162" s="39"/>
    </row>
    <row r="163" spans="1:17" ht="18.75">
      <c r="A163" s="59"/>
      <c r="B163" s="759"/>
      <c r="C163" s="746"/>
      <c r="D163" s="740"/>
      <c r="E163" s="740"/>
      <c r="F163" s="741" t="s">
        <v>567</v>
      </c>
      <c r="G163" s="742">
        <v>10</v>
      </c>
      <c r="H163" s="427" t="s">
        <v>17</v>
      </c>
      <c r="I163" s="743">
        <v>15984</v>
      </c>
      <c r="J163" s="744">
        <f t="shared" si="4"/>
        <v>159840</v>
      </c>
      <c r="K163" s="746"/>
      <c r="L163" s="747"/>
      <c r="M163" s="59"/>
      <c r="N163" s="36"/>
      <c r="O163" s="176">
        <f>SUM(J150:J163)</f>
        <v>7876385</v>
      </c>
      <c r="P163" s="569" t="s">
        <v>401</v>
      </c>
      <c r="Q163" s="39"/>
    </row>
    <row r="164" spans="1:17" ht="18.75">
      <c r="A164" s="829"/>
      <c r="B164" s="826"/>
      <c r="C164" s="972"/>
      <c r="D164" s="973"/>
      <c r="E164" s="973"/>
      <c r="F164" s="974"/>
      <c r="G164" s="975"/>
      <c r="H164" s="833"/>
      <c r="I164" s="976"/>
      <c r="J164" s="977"/>
      <c r="K164" s="972"/>
      <c r="L164" s="827"/>
      <c r="M164" s="829"/>
      <c r="N164" s="36"/>
      <c r="O164" s="176"/>
      <c r="P164" s="569"/>
      <c r="Q164" s="39"/>
    </row>
    <row r="165" spans="1:17" ht="18.75">
      <c r="A165" s="829"/>
      <c r="B165" s="826"/>
      <c r="C165" s="972"/>
      <c r="D165" s="973"/>
      <c r="E165" s="973"/>
      <c r="F165" s="974"/>
      <c r="G165" s="975"/>
      <c r="H165" s="833"/>
      <c r="I165" s="976"/>
      <c r="J165" s="977"/>
      <c r="K165" s="972"/>
      <c r="L165" s="827"/>
      <c r="M165" s="829"/>
      <c r="N165" s="36"/>
      <c r="O165" s="176"/>
      <c r="P165" s="569"/>
      <c r="Q165" s="39"/>
    </row>
    <row r="166" spans="1:17" ht="18.75">
      <c r="A166" s="829"/>
      <c r="B166" s="758">
        <v>46051</v>
      </c>
      <c r="C166" s="993" t="s">
        <v>633</v>
      </c>
      <c r="D166" s="1041"/>
      <c r="E166" s="1041"/>
      <c r="F166" s="1057" t="s">
        <v>634</v>
      </c>
      <c r="G166" s="1058">
        <v>36</v>
      </c>
      <c r="H166" s="1032" t="s">
        <v>17</v>
      </c>
      <c r="I166" s="1059">
        <v>36630</v>
      </c>
      <c r="J166" s="1060">
        <f>G166*I166</f>
        <v>1318680</v>
      </c>
      <c r="K166" s="1061" t="s">
        <v>635</v>
      </c>
      <c r="L166" s="215">
        <v>46051</v>
      </c>
      <c r="M166" s="829"/>
      <c r="N166" s="36"/>
      <c r="O166" s="176">
        <f>SUM(J166)</f>
        <v>1318680</v>
      </c>
      <c r="P166" s="822" t="s">
        <v>636</v>
      </c>
      <c r="Q166" s="39"/>
    </row>
    <row r="167" spans="1:17" ht="18.75">
      <c r="A167" s="829"/>
      <c r="B167" s="759"/>
      <c r="C167" s="1025"/>
      <c r="D167" s="1041"/>
      <c r="E167" s="1041"/>
      <c r="F167" s="1057"/>
      <c r="G167" s="1058"/>
      <c r="H167" s="1032"/>
      <c r="I167" s="1059"/>
      <c r="J167" s="1060"/>
      <c r="K167" s="1025"/>
      <c r="L167" s="747"/>
      <c r="M167" s="829"/>
      <c r="N167" s="36"/>
      <c r="O167" s="176"/>
      <c r="P167" s="569"/>
      <c r="Q167" s="39"/>
    </row>
    <row r="168" spans="1:17" ht="18.75">
      <c r="A168" s="829"/>
      <c r="B168" s="826"/>
      <c r="C168" s="972"/>
      <c r="D168" s="973"/>
      <c r="E168" s="973"/>
      <c r="F168" s="974"/>
      <c r="G168" s="975"/>
      <c r="H168" s="833"/>
      <c r="I168" s="976"/>
      <c r="J168" s="977"/>
      <c r="K168" s="972"/>
      <c r="L168" s="827"/>
      <c r="M168" s="829"/>
      <c r="N168" s="36"/>
      <c r="O168" s="176"/>
      <c r="P168" s="569"/>
      <c r="Q168" s="39"/>
    </row>
    <row r="169" spans="1:17" ht="18.75">
      <c r="A169" s="829"/>
      <c r="B169" s="826"/>
      <c r="C169" s="972"/>
      <c r="D169" s="973"/>
      <c r="E169" s="973"/>
      <c r="F169" s="974"/>
      <c r="G169" s="975"/>
      <c r="H169" s="833"/>
      <c r="I169" s="976"/>
      <c r="J169" s="977"/>
      <c r="K169" s="972"/>
      <c r="L169" s="827"/>
      <c r="M169" s="829"/>
      <c r="N169" s="36"/>
      <c r="O169" s="176"/>
      <c r="P169" s="569"/>
      <c r="Q169" s="39"/>
    </row>
    <row r="170" spans="1:17" ht="18.75">
      <c r="A170" s="829"/>
      <c r="B170" s="826"/>
      <c r="C170" s="972"/>
      <c r="D170" s="973"/>
      <c r="E170" s="973"/>
      <c r="F170" s="974"/>
      <c r="G170" s="975"/>
      <c r="H170" s="833"/>
      <c r="I170" s="976"/>
      <c r="J170" s="977"/>
      <c r="K170" s="972"/>
      <c r="L170" s="827"/>
      <c r="M170" s="829"/>
      <c r="N170" s="36"/>
      <c r="O170" s="176"/>
      <c r="P170" s="569"/>
      <c r="Q170" s="39"/>
    </row>
    <row r="171" spans="1:17" ht="18.75">
      <c r="A171" s="829"/>
      <c r="B171" s="826"/>
      <c r="C171" s="972"/>
      <c r="D171" s="973"/>
      <c r="E171" s="973"/>
      <c r="F171" s="974"/>
      <c r="G171" s="975"/>
      <c r="H171" s="833"/>
      <c r="I171" s="976"/>
      <c r="J171" s="977"/>
      <c r="K171" s="972"/>
      <c r="L171" s="827"/>
      <c r="M171" s="829"/>
      <c r="N171" s="36"/>
      <c r="O171" s="176"/>
      <c r="P171" s="569"/>
      <c r="Q171" s="39"/>
    </row>
    <row r="172" spans="1:17" ht="18.75">
      <c r="A172" s="829"/>
      <c r="B172" s="826"/>
      <c r="C172" s="972"/>
      <c r="D172" s="973"/>
      <c r="E172" s="973"/>
      <c r="F172" s="974"/>
      <c r="G172" s="975"/>
      <c r="H172" s="833"/>
      <c r="I172" s="976"/>
      <c r="J172" s="977"/>
      <c r="K172" s="972"/>
      <c r="L172" s="827"/>
      <c r="M172" s="829"/>
      <c r="N172" s="36"/>
      <c r="O172" s="176"/>
      <c r="P172" s="569"/>
      <c r="Q172" s="39"/>
    </row>
    <row r="173" spans="1:17" ht="18.75">
      <c r="A173" s="59"/>
      <c r="B173" s="759"/>
      <c r="C173" s="746"/>
      <c r="D173" s="740"/>
      <c r="E173" s="740"/>
      <c r="F173" s="741"/>
      <c r="G173" s="742"/>
      <c r="H173" s="427"/>
      <c r="I173" s="743"/>
      <c r="J173" s="744"/>
      <c r="K173" s="746"/>
      <c r="L173" s="747"/>
      <c r="M173" s="59"/>
      <c r="N173" s="36"/>
      <c r="O173" s="176"/>
      <c r="P173" s="569"/>
      <c r="Q173" s="39"/>
    </row>
    <row r="174" spans="1:17" ht="18.75">
      <c r="A174" s="59"/>
      <c r="B174" s="53"/>
      <c r="C174" s="53"/>
      <c r="D174" s="53"/>
      <c r="E174" s="53"/>
      <c r="F174" s="736"/>
      <c r="G174" s="737"/>
      <c r="H174" s="738"/>
      <c r="I174" s="709"/>
      <c r="J174" s="739"/>
      <c r="K174" s="131"/>
      <c r="L174" s="53"/>
      <c r="M174" s="59"/>
      <c r="N174" s="36"/>
      <c r="O174" s="84"/>
      <c r="P174" s="136"/>
      <c r="Q174" s="39"/>
    </row>
    <row r="175" spans="1:17" ht="18.75">
      <c r="A175" s="59"/>
      <c r="B175" s="59"/>
      <c r="C175" s="59"/>
      <c r="D175" s="59"/>
      <c r="E175" s="59"/>
      <c r="F175" s="613"/>
      <c r="G175" s="172"/>
      <c r="H175" s="133"/>
      <c r="I175" s="609"/>
      <c r="J175" s="443"/>
      <c r="K175" s="133"/>
      <c r="L175" s="59"/>
      <c r="M175" s="59"/>
      <c r="N175" s="36"/>
      <c r="O175" s="227"/>
      <c r="P175" s="181"/>
      <c r="Q175" s="39"/>
    </row>
    <row r="176" spans="1:17" ht="18.75">
      <c r="A176" s="1129" t="s">
        <v>396</v>
      </c>
      <c r="B176" s="1129"/>
      <c r="C176" s="1129"/>
      <c r="D176" s="1129"/>
      <c r="E176" s="1129"/>
      <c r="F176" s="1129"/>
      <c r="G176" s="1129"/>
      <c r="H176" s="1129"/>
      <c r="I176" s="1129"/>
      <c r="J176" s="1129"/>
      <c r="K176" s="1129"/>
      <c r="L176" s="1129"/>
      <c r="M176" s="1129"/>
      <c r="N176" s="36"/>
      <c r="O176" s="84"/>
      <c r="P176" s="136"/>
      <c r="Q176" s="39"/>
    </row>
    <row r="177" spans="1:17" ht="18.75" customHeight="1">
      <c r="A177" s="59"/>
      <c r="B177" s="169"/>
      <c r="C177" s="59"/>
      <c r="D177" s="59"/>
      <c r="E177" s="59"/>
      <c r="F177" s="170"/>
      <c r="G177" s="203"/>
      <c r="H177" s="204"/>
      <c r="I177" s="175"/>
      <c r="J177" s="175"/>
      <c r="K177" s="210"/>
      <c r="L177" s="187"/>
      <c r="M177" s="187"/>
      <c r="N177" s="195"/>
      <c r="O177" s="196"/>
      <c r="P177" s="136"/>
      <c r="Q177" s="39"/>
    </row>
    <row r="178" spans="1:17" ht="18.75" customHeight="1">
      <c r="A178" s="59"/>
      <c r="B178" s="637">
        <v>45687</v>
      </c>
      <c r="C178" s="216" t="s">
        <v>367</v>
      </c>
      <c r="D178" s="434"/>
      <c r="E178" s="217"/>
      <c r="F178" s="216" t="s">
        <v>25</v>
      </c>
      <c r="G178" s="218">
        <v>174</v>
      </c>
      <c r="H178" s="219" t="s">
        <v>23</v>
      </c>
      <c r="I178" s="223">
        <v>12500</v>
      </c>
      <c r="J178" s="224">
        <f>G178*I178</f>
        <v>2175000</v>
      </c>
      <c r="K178" s="427"/>
      <c r="L178" s="177"/>
      <c r="M178" s="187"/>
      <c r="N178" s="195"/>
      <c r="O178" s="198"/>
      <c r="P178" s="185"/>
      <c r="Q178" s="39"/>
    </row>
    <row r="179" spans="1:17" ht="18.75" customHeight="1">
      <c r="A179" s="59"/>
      <c r="B179" s="637"/>
      <c r="C179" s="217"/>
      <c r="D179" s="434"/>
      <c r="E179" s="217"/>
      <c r="F179" s="216" t="s">
        <v>368</v>
      </c>
      <c r="G179" s="218">
        <v>300</v>
      </c>
      <c r="H179" s="219" t="s">
        <v>23</v>
      </c>
      <c r="I179" s="223">
        <v>15100</v>
      </c>
      <c r="J179" s="224">
        <f>G179*I179</f>
        <v>4530000</v>
      </c>
      <c r="K179" s="427"/>
      <c r="L179" s="177"/>
      <c r="M179" s="187"/>
      <c r="N179" s="195"/>
      <c r="O179" s="198">
        <f>SUM(J178:J179)</f>
        <v>6705000</v>
      </c>
      <c r="P179" s="663" t="s">
        <v>213</v>
      </c>
      <c r="Q179" s="39"/>
    </row>
    <row r="180" spans="1:17" ht="18.75" customHeight="1">
      <c r="A180" s="59"/>
      <c r="B180" s="637"/>
      <c r="C180" s="217"/>
      <c r="D180" s="217"/>
      <c r="E180" s="217"/>
      <c r="F180" s="216"/>
      <c r="G180" s="218"/>
      <c r="H180" s="219"/>
      <c r="I180" s="223"/>
      <c r="J180" s="224"/>
      <c r="K180" s="427"/>
      <c r="L180" s="177"/>
      <c r="M180" s="187"/>
      <c r="N180" s="195"/>
      <c r="O180" s="198"/>
      <c r="P180" s="558"/>
      <c r="Q180" s="39"/>
    </row>
    <row r="181" spans="1:17" ht="18.75" customHeight="1">
      <c r="A181" s="59"/>
      <c r="B181" s="637">
        <v>45702</v>
      </c>
      <c r="C181" s="216" t="s">
        <v>367</v>
      </c>
      <c r="D181" s="434">
        <v>375000</v>
      </c>
      <c r="E181" s="217"/>
      <c r="F181" s="216" t="s">
        <v>25</v>
      </c>
      <c r="G181" s="218"/>
      <c r="H181" s="219"/>
      <c r="I181" s="223"/>
      <c r="J181" s="224">
        <f>G181*I181</f>
        <v>0</v>
      </c>
      <c r="K181" s="427"/>
      <c r="L181" s="177"/>
      <c r="M181" s="187"/>
      <c r="N181" s="195"/>
      <c r="O181" s="198"/>
      <c r="P181" s="185"/>
      <c r="Q181" s="39"/>
    </row>
    <row r="182" spans="1:17" ht="18.75" customHeight="1">
      <c r="A182" s="59"/>
      <c r="B182" s="637"/>
      <c r="C182" s="217"/>
      <c r="D182" s="434"/>
      <c r="E182" s="217"/>
      <c r="F182" s="216" t="s">
        <v>368</v>
      </c>
      <c r="G182" s="218"/>
      <c r="H182" s="219"/>
      <c r="I182" s="223"/>
      <c r="J182" s="224">
        <f>G182*I182</f>
        <v>0</v>
      </c>
      <c r="K182" s="427"/>
      <c r="L182" s="177"/>
      <c r="M182" s="187"/>
      <c r="N182" s="195"/>
      <c r="O182" s="198"/>
      <c r="P182" s="663"/>
      <c r="Q182" s="39"/>
    </row>
    <row r="183" spans="1:17" ht="18.75" customHeight="1">
      <c r="A183" s="829"/>
      <c r="B183" s="637">
        <v>45706</v>
      </c>
      <c r="C183" s="216" t="s">
        <v>367</v>
      </c>
      <c r="D183" s="434">
        <v>300000</v>
      </c>
      <c r="E183" s="217"/>
      <c r="F183" s="216" t="s">
        <v>25</v>
      </c>
      <c r="G183" s="854"/>
      <c r="H183" s="845"/>
      <c r="I183" s="855"/>
      <c r="J183" s="856"/>
      <c r="K183" s="833"/>
      <c r="L183" s="857"/>
      <c r="M183" s="858"/>
      <c r="N183" s="195"/>
      <c r="O183" s="198"/>
      <c r="P183" s="663"/>
      <c r="Q183" s="39"/>
    </row>
    <row r="184" spans="1:17" ht="18.75" customHeight="1">
      <c r="A184" s="829"/>
      <c r="B184" s="637">
        <v>45706</v>
      </c>
      <c r="C184" s="216" t="s">
        <v>367</v>
      </c>
      <c r="D184" s="434">
        <v>5125000</v>
      </c>
      <c r="E184" s="831"/>
      <c r="F184" s="839"/>
      <c r="G184" s="854"/>
      <c r="H184" s="845"/>
      <c r="I184" s="855"/>
      <c r="J184" s="856"/>
      <c r="K184" s="833"/>
      <c r="L184" s="857"/>
      <c r="M184" s="858"/>
      <c r="N184" s="195"/>
      <c r="O184" s="198"/>
      <c r="P184" s="663"/>
      <c r="Q184" s="39"/>
    </row>
    <row r="185" spans="1:17" ht="18.75" customHeight="1">
      <c r="A185" s="829"/>
      <c r="B185" s="637">
        <v>45706</v>
      </c>
      <c r="C185" s="216" t="s">
        <v>367</v>
      </c>
      <c r="D185" s="434">
        <v>125000</v>
      </c>
      <c r="E185" s="831"/>
      <c r="F185" s="839"/>
      <c r="G185" s="854"/>
      <c r="H185" s="845"/>
      <c r="I185" s="855"/>
      <c r="J185" s="856"/>
      <c r="K185" s="833"/>
      <c r="L185" s="857"/>
      <c r="M185" s="858"/>
      <c r="N185" s="195"/>
      <c r="O185" s="198"/>
      <c r="P185" s="663"/>
      <c r="Q185" s="39"/>
    </row>
    <row r="186" spans="1:17" ht="18.75" customHeight="1">
      <c r="A186" s="59"/>
      <c r="B186" s="637"/>
      <c r="C186" s="217"/>
      <c r="D186" s="434"/>
      <c r="E186" s="217"/>
      <c r="F186" s="216"/>
      <c r="G186" s="218"/>
      <c r="H186" s="219"/>
      <c r="I186" s="223"/>
      <c r="J186" s="224"/>
      <c r="K186" s="427"/>
      <c r="L186" s="177"/>
      <c r="M186" s="187"/>
      <c r="N186" s="195"/>
      <c r="O186" s="198"/>
      <c r="P186" s="558"/>
      <c r="Q186" s="39"/>
    </row>
    <row r="187" spans="1:17" ht="18.75" customHeight="1">
      <c r="A187" s="59"/>
      <c r="B187" s="637">
        <v>45730</v>
      </c>
      <c r="C187" s="216" t="s">
        <v>367</v>
      </c>
      <c r="D187" s="434">
        <v>309600</v>
      </c>
      <c r="E187" s="217"/>
      <c r="F187" s="216" t="s">
        <v>366</v>
      </c>
      <c r="G187" s="218">
        <v>146.19</v>
      </c>
      <c r="H187" s="219" t="s">
        <v>23</v>
      </c>
      <c r="I187" s="223">
        <v>13300</v>
      </c>
      <c r="J187" s="224">
        <f>G187*I187</f>
        <v>1944327</v>
      </c>
      <c r="K187" s="631"/>
      <c r="L187" s="631"/>
      <c r="M187" s="187"/>
      <c r="N187" s="195"/>
      <c r="O187" s="196"/>
      <c r="P187" s="185"/>
      <c r="Q187" s="39"/>
    </row>
    <row r="188" spans="1:17" ht="18.75" customHeight="1">
      <c r="A188" s="59"/>
      <c r="B188" s="637">
        <v>45730</v>
      </c>
      <c r="C188" s="216" t="s">
        <v>367</v>
      </c>
      <c r="D188" s="434">
        <v>6192000</v>
      </c>
      <c r="E188" s="440"/>
      <c r="F188" s="486"/>
      <c r="G188" s="598"/>
      <c r="H188" s="493"/>
      <c r="I188" s="599"/>
      <c r="J188" s="599"/>
      <c r="K188" s="631"/>
      <c r="L188" s="631"/>
      <c r="M188" s="187"/>
      <c r="N188" s="195"/>
      <c r="O188" s="196"/>
      <c r="P188" s="185"/>
      <c r="Q188" s="39"/>
    </row>
    <row r="189" spans="1:17" ht="18.75" customHeight="1">
      <c r="A189" s="59"/>
      <c r="B189" s="637">
        <v>45730</v>
      </c>
      <c r="C189" s="216" t="s">
        <v>367</v>
      </c>
      <c r="D189" s="434">
        <v>129000</v>
      </c>
      <c r="E189" s="217"/>
      <c r="F189" s="216"/>
      <c r="G189" s="598"/>
      <c r="H189" s="493"/>
      <c r="I189" s="599"/>
      <c r="J189" s="599"/>
      <c r="K189" s="631"/>
      <c r="L189" s="631"/>
      <c r="M189" s="187"/>
      <c r="N189" s="195"/>
      <c r="O189" s="196">
        <f>SUM(J187:J189)</f>
        <v>1944327</v>
      </c>
      <c r="P189" s="194" t="s">
        <v>365</v>
      </c>
      <c r="Q189" s="39"/>
    </row>
    <row r="190" spans="1:17" ht="18.75" customHeight="1">
      <c r="A190" s="59"/>
      <c r="B190" s="637"/>
      <c r="C190" s="217"/>
      <c r="D190" s="434"/>
      <c r="E190" s="217"/>
      <c r="F190" s="216"/>
      <c r="G190" s="218"/>
      <c r="H190" s="219"/>
      <c r="I190" s="223"/>
      <c r="J190" s="224"/>
      <c r="K190" s="210"/>
      <c r="L190" s="187"/>
      <c r="M190" s="187"/>
      <c r="N190" s="195"/>
      <c r="O190" s="196"/>
      <c r="P190" s="181"/>
      <c r="Q190" s="39"/>
    </row>
    <row r="191" spans="1:17" ht="18.75" customHeight="1">
      <c r="A191" s="59"/>
      <c r="B191" s="637">
        <v>45727</v>
      </c>
      <c r="C191" s="216" t="s">
        <v>367</v>
      </c>
      <c r="D191" s="434">
        <v>387000</v>
      </c>
      <c r="E191" s="217"/>
      <c r="F191" s="216"/>
      <c r="G191" s="218"/>
      <c r="H191" s="219"/>
      <c r="I191" s="223"/>
      <c r="J191" s="224"/>
      <c r="K191" s="427"/>
      <c r="L191" s="177"/>
      <c r="M191" s="187"/>
      <c r="N191" s="195"/>
      <c r="O191" s="198"/>
      <c r="P191" s="185"/>
      <c r="Q191" s="39"/>
    </row>
    <row r="192" spans="1:17" ht="18.75" customHeight="1">
      <c r="A192" s="829"/>
      <c r="B192" s="853"/>
      <c r="C192" s="839"/>
      <c r="D192" s="963"/>
      <c r="E192" s="831"/>
      <c r="F192" s="839"/>
      <c r="G192" s="854"/>
      <c r="H192" s="845"/>
      <c r="I192" s="855"/>
      <c r="J192" s="856"/>
      <c r="K192" s="833"/>
      <c r="L192" s="857"/>
      <c r="M192" s="858"/>
      <c r="N192" s="195"/>
      <c r="O192" s="198"/>
      <c r="P192" s="185"/>
      <c r="Q192" s="39"/>
    </row>
    <row r="193" spans="1:17" ht="18.75" customHeight="1">
      <c r="A193" s="829"/>
      <c r="B193" s="853"/>
      <c r="C193" s="839"/>
      <c r="D193" s="963"/>
      <c r="E193" s="831"/>
      <c r="F193" s="839"/>
      <c r="G193" s="854"/>
      <c r="H193" s="845"/>
      <c r="I193" s="855"/>
      <c r="J193" s="856"/>
      <c r="K193" s="833"/>
      <c r="L193" s="857"/>
      <c r="M193" s="858"/>
      <c r="N193" s="195"/>
      <c r="O193" s="198"/>
      <c r="P193" s="185"/>
      <c r="Q193" s="39"/>
    </row>
    <row r="194" spans="1:17" ht="18.75" customHeight="1">
      <c r="A194" s="829"/>
      <c r="B194" s="637">
        <v>45716</v>
      </c>
      <c r="C194" s="216" t="s">
        <v>367</v>
      </c>
      <c r="D194" s="434"/>
      <c r="E194" s="217"/>
      <c r="F194" s="216" t="s">
        <v>25</v>
      </c>
      <c r="G194" s="218">
        <v>215</v>
      </c>
      <c r="H194" s="219" t="s">
        <v>23</v>
      </c>
      <c r="I194" s="223">
        <v>12900</v>
      </c>
      <c r="J194" s="224">
        <f>G194*I194</f>
        <v>2773500</v>
      </c>
      <c r="K194" s="427"/>
      <c r="L194" s="177"/>
      <c r="M194" s="187"/>
      <c r="N194" s="195"/>
      <c r="O194" s="198"/>
      <c r="P194" s="185"/>
      <c r="Q194" s="39"/>
    </row>
    <row r="195" spans="1:17" ht="18.75" customHeight="1">
      <c r="A195" s="829"/>
      <c r="B195" s="637"/>
      <c r="C195" s="217"/>
      <c r="D195" s="434"/>
      <c r="E195" s="217"/>
      <c r="F195" s="216" t="s">
        <v>368</v>
      </c>
      <c r="G195" s="218">
        <v>300</v>
      </c>
      <c r="H195" s="219" t="s">
        <v>23</v>
      </c>
      <c r="I195" s="223">
        <v>15100</v>
      </c>
      <c r="J195" s="224">
        <f>G195*I195</f>
        <v>4530000</v>
      </c>
      <c r="K195" s="427"/>
      <c r="L195" s="177"/>
      <c r="M195" s="187"/>
      <c r="N195" s="195"/>
      <c r="O195" s="198">
        <f>SUM(J194:J195)</f>
        <v>7303500</v>
      </c>
      <c r="P195" s="663" t="s">
        <v>213</v>
      </c>
      <c r="Q195" s="39"/>
    </row>
    <row r="196" spans="1:17" ht="18.75" customHeight="1">
      <c r="A196" s="59"/>
      <c r="B196" s="637"/>
      <c r="C196" s="217"/>
      <c r="D196" s="434"/>
      <c r="E196" s="217"/>
      <c r="F196" s="216"/>
      <c r="G196" s="218"/>
      <c r="H196" s="219"/>
      <c r="I196" s="223"/>
      <c r="J196" s="224"/>
      <c r="K196" s="427"/>
      <c r="L196" s="177"/>
      <c r="M196" s="187"/>
      <c r="N196" s="195"/>
      <c r="O196" s="198"/>
      <c r="P196" s="663"/>
      <c r="Q196" s="39"/>
    </row>
    <row r="197" spans="1:17" ht="18.75" customHeight="1">
      <c r="A197" s="829"/>
      <c r="B197" s="853"/>
      <c r="C197" s="831"/>
      <c r="D197" s="963"/>
      <c r="E197" s="831"/>
      <c r="F197" s="839"/>
      <c r="G197" s="854"/>
      <c r="H197" s="845"/>
      <c r="I197" s="855"/>
      <c r="J197" s="856"/>
      <c r="K197" s="833"/>
      <c r="L197" s="857"/>
      <c r="M197" s="858"/>
      <c r="N197" s="195"/>
      <c r="O197" s="198"/>
      <c r="P197" s="663"/>
      <c r="Q197" s="39"/>
    </row>
    <row r="198" spans="1:17" ht="18.75" customHeight="1">
      <c r="A198" s="829"/>
      <c r="B198" s="637">
        <v>45727</v>
      </c>
      <c r="C198" s="216" t="s">
        <v>367</v>
      </c>
      <c r="D198" s="434"/>
      <c r="E198" s="217"/>
      <c r="F198" s="216" t="s">
        <v>25</v>
      </c>
      <c r="G198" s="218">
        <v>200</v>
      </c>
      <c r="H198" s="219" t="s">
        <v>23</v>
      </c>
      <c r="I198" s="223">
        <v>12900</v>
      </c>
      <c r="J198" s="224">
        <f>G198*I198</f>
        <v>2580000</v>
      </c>
      <c r="K198" s="427"/>
      <c r="L198" s="177"/>
      <c r="M198" s="187"/>
      <c r="N198" s="195"/>
      <c r="O198" s="198"/>
      <c r="P198" s="185"/>
      <c r="Q198" s="39"/>
    </row>
    <row r="199" spans="1:17" ht="18.75" customHeight="1">
      <c r="A199" s="829"/>
      <c r="B199" s="637"/>
      <c r="C199" s="217"/>
      <c r="D199" s="434"/>
      <c r="E199" s="217"/>
      <c r="F199" s="216" t="s">
        <v>368</v>
      </c>
      <c r="G199" s="218">
        <v>300</v>
      </c>
      <c r="H199" s="219" t="s">
        <v>23</v>
      </c>
      <c r="I199" s="223">
        <v>15100</v>
      </c>
      <c r="J199" s="224">
        <f>G199*I199</f>
        <v>4530000</v>
      </c>
      <c r="K199" s="427"/>
      <c r="L199" s="177"/>
      <c r="M199" s="187"/>
      <c r="N199" s="195"/>
      <c r="O199" s="198">
        <f>SUM(J198:J199)</f>
        <v>7110000</v>
      </c>
      <c r="P199" s="663" t="s">
        <v>213</v>
      </c>
      <c r="Q199" s="39"/>
    </row>
    <row r="200" spans="1:17" ht="18.75" customHeight="1">
      <c r="A200" s="829"/>
      <c r="B200" s="853"/>
      <c r="C200" s="831"/>
      <c r="D200" s="963"/>
      <c r="E200" s="831"/>
      <c r="F200" s="839"/>
      <c r="G200" s="854"/>
      <c r="H200" s="845"/>
      <c r="I200" s="855"/>
      <c r="J200" s="856"/>
      <c r="K200" s="833"/>
      <c r="L200" s="857"/>
      <c r="M200" s="858"/>
      <c r="N200" s="195"/>
      <c r="O200" s="198"/>
      <c r="P200" s="663"/>
      <c r="Q200" s="39"/>
    </row>
    <row r="201" spans="1:17" ht="18.75" customHeight="1">
      <c r="A201" s="829"/>
      <c r="B201" s="853"/>
      <c r="C201" s="831"/>
      <c r="D201" s="963"/>
      <c r="E201" s="831"/>
      <c r="F201" s="839"/>
      <c r="G201" s="854"/>
      <c r="H201" s="845"/>
      <c r="I201" s="855"/>
      <c r="J201" s="856"/>
      <c r="K201" s="833"/>
      <c r="L201" s="857"/>
      <c r="M201" s="858"/>
      <c r="N201" s="195"/>
      <c r="O201" s="198"/>
      <c r="P201" s="663"/>
      <c r="Q201" s="39"/>
    </row>
    <row r="202" spans="1:17" ht="18.75" customHeight="1">
      <c r="A202" s="829"/>
      <c r="B202" s="853"/>
      <c r="C202" s="831"/>
      <c r="D202" s="963"/>
      <c r="E202" s="831"/>
      <c r="F202" s="839"/>
      <c r="G202" s="854"/>
      <c r="H202" s="845"/>
      <c r="I202" s="855"/>
      <c r="J202" s="856"/>
      <c r="K202" s="833"/>
      <c r="L202" s="857"/>
      <c r="M202" s="858"/>
      <c r="N202" s="195"/>
      <c r="O202" s="198"/>
      <c r="P202" s="663"/>
      <c r="Q202" s="39"/>
    </row>
    <row r="203" spans="1:17" ht="18.75" customHeight="1">
      <c r="A203" s="59"/>
      <c r="B203" s="637"/>
      <c r="C203" s="217"/>
      <c r="D203" s="217"/>
      <c r="E203" s="217"/>
      <c r="F203" s="216"/>
      <c r="G203" s="218"/>
      <c r="H203" s="219"/>
      <c r="I203" s="223"/>
      <c r="J203" s="224"/>
      <c r="K203" s="427"/>
      <c r="L203" s="177"/>
      <c r="M203" s="187"/>
      <c r="N203" s="195"/>
      <c r="O203" s="198"/>
      <c r="P203" s="663"/>
      <c r="Q203" s="39"/>
    </row>
    <row r="204" spans="1:17" ht="18.75" customHeight="1">
      <c r="A204" s="1130" t="s">
        <v>467</v>
      </c>
      <c r="B204" s="1130"/>
      <c r="C204" s="1130"/>
      <c r="D204" s="1130"/>
      <c r="E204" s="1130"/>
      <c r="F204" s="1130"/>
      <c r="G204" s="1130"/>
      <c r="H204" s="1130"/>
      <c r="I204" s="1130"/>
      <c r="J204" s="1130"/>
      <c r="K204" s="1130"/>
      <c r="L204" s="1130"/>
      <c r="M204" s="1130"/>
      <c r="N204" s="195"/>
      <c r="O204" s="198"/>
      <c r="P204" s="663"/>
      <c r="Q204" s="39"/>
    </row>
    <row r="205" spans="1:17" ht="18.75" customHeight="1">
      <c r="A205" s="829"/>
      <c r="B205" s="853"/>
      <c r="C205" s="831"/>
      <c r="D205" s="831"/>
      <c r="E205" s="831"/>
      <c r="F205" s="839"/>
      <c r="G205" s="854"/>
      <c r="H205" s="845"/>
      <c r="I205" s="855"/>
      <c r="J205" s="856"/>
      <c r="K205" s="833"/>
      <c r="L205" s="857"/>
      <c r="M205" s="858"/>
      <c r="N205" s="195"/>
      <c r="O205" s="198"/>
      <c r="P205" s="663"/>
      <c r="Q205" s="39"/>
    </row>
    <row r="206" spans="1:17" ht="18.75" customHeight="1">
      <c r="A206" s="829"/>
      <c r="B206" s="637">
        <v>45798</v>
      </c>
      <c r="C206" s="216" t="s">
        <v>468</v>
      </c>
      <c r="D206" s="217"/>
      <c r="E206" s="217"/>
      <c r="F206" s="216" t="s">
        <v>469</v>
      </c>
      <c r="G206" s="218">
        <v>4</v>
      </c>
      <c r="H206" s="219" t="s">
        <v>470</v>
      </c>
      <c r="I206" s="223">
        <v>220000</v>
      </c>
      <c r="J206" s="224">
        <f>G206*I206</f>
        <v>880000</v>
      </c>
      <c r="K206" s="745" t="s">
        <v>591</v>
      </c>
      <c r="L206" s="215">
        <v>45798</v>
      </c>
      <c r="M206" s="858"/>
      <c r="N206" s="195"/>
      <c r="O206" s="198">
        <f>SUM(J206)</f>
        <v>880000</v>
      </c>
      <c r="P206" s="663"/>
      <c r="Q206" s="39"/>
    </row>
    <row r="207" spans="1:17" ht="18.75" customHeight="1">
      <c r="A207" s="829"/>
      <c r="B207" s="853"/>
      <c r="C207" s="831"/>
      <c r="D207" s="831"/>
      <c r="E207" s="831"/>
      <c r="F207" s="839"/>
      <c r="G207" s="854"/>
      <c r="H207" s="845"/>
      <c r="I207" s="855"/>
      <c r="J207" s="856"/>
      <c r="K207" s="833"/>
      <c r="L207" s="857"/>
      <c r="M207" s="858"/>
      <c r="N207" s="195"/>
      <c r="O207" s="198"/>
      <c r="P207" s="663"/>
      <c r="Q207" s="39"/>
    </row>
    <row r="208" spans="1:17" ht="18.75" customHeight="1">
      <c r="A208" s="829"/>
      <c r="B208" s="853"/>
      <c r="C208" s="831"/>
      <c r="D208" s="831"/>
      <c r="E208" s="831"/>
      <c r="F208" s="839"/>
      <c r="G208" s="854"/>
      <c r="H208" s="845"/>
      <c r="I208" s="855"/>
      <c r="J208" s="856"/>
      <c r="K208" s="833"/>
      <c r="L208" s="857"/>
      <c r="M208" s="858"/>
      <c r="N208" s="195"/>
      <c r="O208" s="198"/>
      <c r="P208" s="663"/>
      <c r="Q208" s="39"/>
    </row>
    <row r="209" spans="1:17" ht="18.75" customHeight="1">
      <c r="A209" s="1130" t="s">
        <v>507</v>
      </c>
      <c r="B209" s="1130"/>
      <c r="C209" s="1130"/>
      <c r="D209" s="1130"/>
      <c r="E209" s="1130"/>
      <c r="F209" s="1130"/>
      <c r="G209" s="1130"/>
      <c r="H209" s="1130"/>
      <c r="I209" s="1130"/>
      <c r="J209" s="1130"/>
      <c r="K209" s="1130"/>
      <c r="L209" s="1130"/>
      <c r="M209" s="1130"/>
      <c r="N209" s="195"/>
      <c r="O209" s="198"/>
      <c r="P209" s="663"/>
      <c r="Q209" s="39"/>
    </row>
    <row r="210" spans="1:17" ht="18.75" customHeight="1">
      <c r="A210" s="829"/>
      <c r="B210" s="853"/>
      <c r="C210" s="831"/>
      <c r="D210" s="831"/>
      <c r="E210" s="831"/>
      <c r="F210" s="839"/>
      <c r="G210" s="854"/>
      <c r="H210" s="845"/>
      <c r="I210" s="855"/>
      <c r="J210" s="856"/>
      <c r="K210" s="833"/>
      <c r="L210" s="857"/>
      <c r="M210" s="858"/>
      <c r="N210" s="195"/>
      <c r="O210" s="198"/>
      <c r="P210" s="663"/>
      <c r="Q210" s="39"/>
    </row>
    <row r="211" spans="1:17" ht="18.75" customHeight="1">
      <c r="A211" s="829"/>
      <c r="B211" s="637">
        <v>45376</v>
      </c>
      <c r="C211" s="216"/>
      <c r="D211" s="217"/>
      <c r="E211" s="217"/>
      <c r="F211" s="216" t="s">
        <v>520</v>
      </c>
      <c r="G211" s="218">
        <v>28</v>
      </c>
      <c r="H211" s="219" t="s">
        <v>17</v>
      </c>
      <c r="I211" s="223">
        <v>10000</v>
      </c>
      <c r="J211" s="224">
        <f>G211*I211</f>
        <v>280000</v>
      </c>
      <c r="K211" s="778"/>
      <c r="L211" s="637">
        <v>45376</v>
      </c>
      <c r="M211" s="858"/>
      <c r="N211" s="195"/>
      <c r="O211" s="198"/>
      <c r="P211" s="663"/>
      <c r="Q211" s="39"/>
    </row>
    <row r="212" spans="1:17" ht="18.75" customHeight="1">
      <c r="A212" s="829"/>
      <c r="B212" s="853"/>
      <c r="C212" s="831"/>
      <c r="D212" s="831"/>
      <c r="E212" s="831"/>
      <c r="F212" s="839"/>
      <c r="G212" s="854"/>
      <c r="H212" s="845"/>
      <c r="I212" s="855"/>
      <c r="J212" s="856"/>
      <c r="K212" s="833"/>
      <c r="L212" s="857"/>
      <c r="M212" s="858"/>
      <c r="N212" s="195"/>
      <c r="O212" s="198"/>
      <c r="P212" s="663"/>
      <c r="Q212" s="39"/>
    </row>
    <row r="213" spans="1:17" ht="18.75" customHeight="1">
      <c r="A213" s="829"/>
      <c r="B213" s="853"/>
      <c r="C213" s="831"/>
      <c r="D213" s="831"/>
      <c r="E213" s="831"/>
      <c r="F213" s="839"/>
      <c r="G213" s="854"/>
      <c r="H213" s="845"/>
      <c r="I213" s="855"/>
      <c r="J213" s="856"/>
      <c r="K213" s="833"/>
      <c r="L213" s="857"/>
      <c r="M213" s="858"/>
      <c r="N213" s="195"/>
      <c r="O213" s="198"/>
      <c r="P213" s="663"/>
      <c r="Q213" s="39"/>
    </row>
    <row r="214" spans="1:17" ht="18.75" customHeight="1">
      <c r="A214" s="829"/>
      <c r="B214" s="637">
        <v>45496</v>
      </c>
      <c r="C214" s="216"/>
      <c r="D214" s="217"/>
      <c r="E214" s="217"/>
      <c r="F214" s="216" t="s">
        <v>520</v>
      </c>
      <c r="G214" s="218">
        <v>189</v>
      </c>
      <c r="H214" s="219" t="s">
        <v>17</v>
      </c>
      <c r="I214" s="223">
        <v>10000</v>
      </c>
      <c r="J214" s="224">
        <f>G214*I214</f>
        <v>1890000</v>
      </c>
      <c r="K214" s="778"/>
      <c r="L214" s="637">
        <v>45381</v>
      </c>
      <c r="M214" s="858"/>
      <c r="N214" s="195"/>
      <c r="O214" s="198"/>
      <c r="P214" s="663"/>
      <c r="Q214" s="39"/>
    </row>
    <row r="215" spans="1:17" ht="18.75" customHeight="1">
      <c r="A215" s="829"/>
      <c r="B215" s="853"/>
      <c r="C215" s="831"/>
      <c r="D215" s="831"/>
      <c r="E215" s="831"/>
      <c r="F215" s="839"/>
      <c r="G215" s="854"/>
      <c r="H215" s="845"/>
      <c r="I215" s="855"/>
      <c r="J215" s="856"/>
      <c r="K215" s="833"/>
      <c r="L215" s="857"/>
      <c r="M215" s="858"/>
      <c r="N215" s="195"/>
      <c r="O215" s="198"/>
      <c r="P215" s="663"/>
      <c r="Q215" s="39"/>
    </row>
    <row r="216" spans="1:17" ht="18.75" customHeight="1">
      <c r="A216" s="829"/>
      <c r="B216" s="853"/>
      <c r="C216" s="831"/>
      <c r="D216" s="831"/>
      <c r="E216" s="831"/>
      <c r="F216" s="839"/>
      <c r="G216" s="854"/>
      <c r="H216" s="845"/>
      <c r="I216" s="855"/>
      <c r="J216" s="856"/>
      <c r="K216" s="833"/>
      <c r="L216" s="857"/>
      <c r="M216" s="858"/>
      <c r="N216" s="195"/>
      <c r="O216" s="198"/>
      <c r="P216" s="663"/>
      <c r="Q216" s="39"/>
    </row>
    <row r="217" spans="1:17" ht="18.75" customHeight="1">
      <c r="A217" s="829"/>
      <c r="B217" s="853"/>
      <c r="C217" s="831"/>
      <c r="D217" s="831"/>
      <c r="E217" s="831"/>
      <c r="F217" s="839"/>
      <c r="G217" s="854"/>
      <c r="H217" s="845"/>
      <c r="I217" s="855"/>
      <c r="J217" s="856"/>
      <c r="K217" s="833"/>
      <c r="L217" s="857"/>
      <c r="M217" s="858"/>
      <c r="N217" s="195"/>
      <c r="O217" s="198"/>
      <c r="P217" s="663"/>
      <c r="Q217" s="39"/>
    </row>
    <row r="218" spans="1:17" ht="18.75" customHeight="1">
      <c r="A218" s="829"/>
      <c r="B218" s="853"/>
      <c r="C218" s="831"/>
      <c r="D218" s="831"/>
      <c r="E218" s="831"/>
      <c r="F218" s="839"/>
      <c r="G218" s="854"/>
      <c r="H218" s="845"/>
      <c r="I218" s="855"/>
      <c r="J218" s="856"/>
      <c r="K218" s="833"/>
      <c r="L218" s="857"/>
      <c r="M218" s="858"/>
      <c r="N218" s="195"/>
      <c r="O218" s="198"/>
      <c r="P218" s="663"/>
      <c r="Q218" s="39"/>
    </row>
    <row r="219" spans="1:17" ht="18.75" customHeight="1">
      <c r="A219" s="829"/>
      <c r="B219" s="853"/>
      <c r="C219" s="831"/>
      <c r="D219" s="831"/>
      <c r="E219" s="831"/>
      <c r="F219" s="839"/>
      <c r="G219" s="854"/>
      <c r="H219" s="845"/>
      <c r="I219" s="855"/>
      <c r="J219" s="856"/>
      <c r="K219" s="833"/>
      <c r="L219" s="857"/>
      <c r="M219" s="858"/>
      <c r="N219" s="195"/>
      <c r="O219" s="198"/>
      <c r="P219" s="663"/>
      <c r="Q219" s="39"/>
    </row>
    <row r="220" spans="1:17" ht="18.75" customHeight="1">
      <c r="A220" s="829"/>
      <c r="B220" s="853"/>
      <c r="C220" s="831"/>
      <c r="D220" s="831"/>
      <c r="E220" s="831"/>
      <c r="F220" s="839"/>
      <c r="G220" s="854"/>
      <c r="H220" s="845"/>
      <c r="I220" s="855"/>
      <c r="J220" s="856"/>
      <c r="K220" s="833"/>
      <c r="L220" s="857"/>
      <c r="M220" s="858"/>
      <c r="N220" s="195"/>
      <c r="O220" s="198"/>
      <c r="P220" s="663"/>
      <c r="Q220" s="39"/>
    </row>
    <row r="221" spans="1:17" ht="18.75" customHeight="1">
      <c r="A221" s="1130" t="s">
        <v>471</v>
      </c>
      <c r="B221" s="1130"/>
      <c r="C221" s="1130"/>
      <c r="D221" s="1130"/>
      <c r="E221" s="1130"/>
      <c r="F221" s="1130"/>
      <c r="G221" s="1130"/>
      <c r="H221" s="1130"/>
      <c r="I221" s="1130"/>
      <c r="J221" s="1130"/>
      <c r="K221" s="1130"/>
      <c r="L221" s="1130"/>
      <c r="M221" s="1130"/>
      <c r="N221" s="195"/>
      <c r="O221" s="198"/>
      <c r="P221" s="663"/>
      <c r="Q221" s="39"/>
    </row>
    <row r="222" spans="1:17" ht="18.75" customHeight="1">
      <c r="A222" s="829"/>
      <c r="B222" s="853"/>
      <c r="C222" s="831"/>
      <c r="D222" s="831"/>
      <c r="E222" s="831"/>
      <c r="F222" s="839"/>
      <c r="G222" s="854"/>
      <c r="H222" s="845"/>
      <c r="I222" s="855"/>
      <c r="J222" s="856"/>
      <c r="K222" s="833"/>
      <c r="L222" s="857"/>
      <c r="M222" s="858"/>
      <c r="N222" s="195"/>
      <c r="O222" s="198"/>
      <c r="P222" s="663"/>
      <c r="Q222" s="39"/>
    </row>
    <row r="223" spans="1:17" ht="18.75" customHeight="1">
      <c r="A223" s="829"/>
      <c r="B223" s="637">
        <v>45386</v>
      </c>
      <c r="C223" s="216"/>
      <c r="D223" s="217"/>
      <c r="E223" s="217"/>
      <c r="F223" s="216" t="s">
        <v>504</v>
      </c>
      <c r="G223" s="218">
        <v>72</v>
      </c>
      <c r="H223" s="219" t="s">
        <v>23</v>
      </c>
      <c r="I223" s="223">
        <v>22000</v>
      </c>
      <c r="J223" s="224">
        <f>G223*I223</f>
        <v>1584000</v>
      </c>
      <c r="K223" s="833"/>
      <c r="L223" s="857"/>
      <c r="M223" s="858"/>
      <c r="N223" s="195"/>
      <c r="O223" s="198">
        <f>SUM(J223)</f>
        <v>1584000</v>
      </c>
      <c r="P223" s="716" t="s">
        <v>505</v>
      </c>
      <c r="Q223" s="39"/>
    </row>
    <row r="224" spans="1:17" ht="18.75" customHeight="1">
      <c r="A224" s="829"/>
      <c r="B224" s="853"/>
      <c r="C224" s="839"/>
      <c r="D224" s="831"/>
      <c r="E224" s="831"/>
      <c r="F224" s="839"/>
      <c r="G224" s="854"/>
      <c r="H224" s="845"/>
      <c r="I224" s="855"/>
      <c r="J224" s="856"/>
      <c r="K224" s="833"/>
      <c r="L224" s="857"/>
      <c r="M224" s="858"/>
      <c r="N224" s="195"/>
      <c r="O224" s="198"/>
      <c r="P224" s="663"/>
      <c r="Q224" s="39"/>
    </row>
    <row r="225" spans="1:17" ht="18.75" customHeight="1">
      <c r="A225" s="829"/>
      <c r="B225" s="637">
        <v>45526</v>
      </c>
      <c r="C225" s="216"/>
      <c r="D225" s="217"/>
      <c r="E225" s="217"/>
      <c r="F225" s="216" t="s">
        <v>504</v>
      </c>
      <c r="G225" s="218">
        <v>46</v>
      </c>
      <c r="H225" s="219" t="s">
        <v>23</v>
      </c>
      <c r="I225" s="223">
        <v>26000</v>
      </c>
      <c r="J225" s="224">
        <f>G225*I225</f>
        <v>1196000</v>
      </c>
      <c r="K225" s="833"/>
      <c r="L225" s="857"/>
      <c r="M225" s="858"/>
      <c r="N225" s="195"/>
      <c r="O225" s="198">
        <f>SUM(J225)</f>
        <v>1196000</v>
      </c>
      <c r="P225" s="716" t="s">
        <v>505</v>
      </c>
      <c r="Q225" s="39"/>
    </row>
    <row r="226" spans="1:17" ht="18.75" customHeight="1">
      <c r="A226" s="829"/>
      <c r="B226" s="853"/>
      <c r="C226" s="839"/>
      <c r="D226" s="831"/>
      <c r="E226" s="831"/>
      <c r="F226" s="839"/>
      <c r="G226" s="854"/>
      <c r="H226" s="845"/>
      <c r="I226" s="855"/>
      <c r="J226" s="856"/>
      <c r="K226" s="833"/>
      <c r="L226" s="857"/>
      <c r="M226" s="858"/>
      <c r="N226" s="195"/>
      <c r="O226" s="198"/>
      <c r="P226" s="663"/>
      <c r="Q226" s="39"/>
    </row>
    <row r="227" spans="1:17" ht="18.75" customHeight="1">
      <c r="A227" s="829"/>
      <c r="B227" s="853"/>
      <c r="C227" s="831"/>
      <c r="D227" s="831"/>
      <c r="E227" s="831"/>
      <c r="F227" s="839"/>
      <c r="G227" s="854"/>
      <c r="H227" s="845"/>
      <c r="I227" s="855"/>
      <c r="J227" s="856"/>
      <c r="K227" s="833"/>
      <c r="L227" s="857"/>
      <c r="M227" s="858"/>
      <c r="N227" s="195"/>
      <c r="O227" s="198"/>
      <c r="P227" s="663"/>
      <c r="Q227" s="39"/>
    </row>
    <row r="228" spans="1:17" ht="18.75" customHeight="1">
      <c r="A228" s="829"/>
      <c r="B228" s="853"/>
      <c r="C228" s="831"/>
      <c r="D228" s="831"/>
      <c r="E228" s="831"/>
      <c r="F228" s="839"/>
      <c r="G228" s="854"/>
      <c r="H228" s="845"/>
      <c r="I228" s="855"/>
      <c r="J228" s="856"/>
      <c r="K228" s="833"/>
      <c r="L228" s="857"/>
      <c r="M228" s="858"/>
      <c r="N228" s="195"/>
      <c r="O228" s="198"/>
      <c r="P228" s="663"/>
      <c r="Q228" s="39"/>
    </row>
    <row r="229" spans="1:17" ht="18.75" customHeight="1">
      <c r="A229" s="829"/>
      <c r="B229" s="853"/>
      <c r="C229" s="831"/>
      <c r="D229" s="831"/>
      <c r="E229" s="831"/>
      <c r="F229" s="839"/>
      <c r="G229" s="854"/>
      <c r="H229" s="845"/>
      <c r="I229" s="855"/>
      <c r="J229" s="856"/>
      <c r="K229" s="833"/>
      <c r="L229" s="857"/>
      <c r="M229" s="858"/>
      <c r="N229" s="195"/>
      <c r="O229" s="198"/>
      <c r="P229" s="663"/>
      <c r="Q229" s="39"/>
    </row>
    <row r="230" spans="1:17" ht="18.75" customHeight="1">
      <c r="A230" s="1130" t="s">
        <v>472</v>
      </c>
      <c r="B230" s="1130"/>
      <c r="C230" s="1130"/>
      <c r="D230" s="1130"/>
      <c r="E230" s="1130"/>
      <c r="F230" s="1130"/>
      <c r="G230" s="1130"/>
      <c r="H230" s="1130"/>
      <c r="I230" s="1130"/>
      <c r="J230" s="1130"/>
      <c r="K230" s="1130"/>
      <c r="L230" s="1130"/>
      <c r="M230" s="1130"/>
      <c r="N230" s="195"/>
      <c r="O230" s="198"/>
      <c r="P230" s="663"/>
      <c r="Q230" s="39"/>
    </row>
    <row r="231" spans="1:17" ht="18.75" customHeight="1">
      <c r="A231" s="829"/>
      <c r="B231" s="853"/>
      <c r="C231" s="831"/>
      <c r="D231" s="831"/>
      <c r="E231" s="831"/>
      <c r="F231" s="839"/>
      <c r="G231" s="854"/>
      <c r="H231" s="845"/>
      <c r="I231" s="855"/>
      <c r="J231" s="856"/>
      <c r="K231" s="833"/>
      <c r="L231" s="857"/>
      <c r="M231" s="858"/>
      <c r="N231" s="195"/>
      <c r="O231" s="198"/>
      <c r="P231" s="663"/>
      <c r="Q231" s="39"/>
    </row>
    <row r="232" spans="1:17" ht="18.75" customHeight="1">
      <c r="A232" s="829"/>
      <c r="B232" s="853"/>
      <c r="C232" s="831"/>
      <c r="D232" s="831"/>
      <c r="E232" s="831"/>
      <c r="F232" s="839"/>
      <c r="G232" s="854"/>
      <c r="H232" s="845"/>
      <c r="I232" s="855"/>
      <c r="J232" s="856"/>
      <c r="K232" s="833"/>
      <c r="L232" s="857"/>
      <c r="M232" s="858"/>
      <c r="N232" s="195"/>
      <c r="O232" s="198"/>
      <c r="P232" s="663"/>
      <c r="Q232" s="39"/>
    </row>
    <row r="233" spans="1:17" ht="18.75" customHeight="1">
      <c r="A233" s="829"/>
      <c r="B233" s="853"/>
      <c r="C233" s="831"/>
      <c r="D233" s="831"/>
      <c r="E233" s="831"/>
      <c r="F233" s="839"/>
      <c r="G233" s="854"/>
      <c r="H233" s="845"/>
      <c r="I233" s="855"/>
      <c r="J233" s="856"/>
      <c r="K233" s="833"/>
      <c r="L233" s="857"/>
      <c r="M233" s="858"/>
      <c r="N233" s="195"/>
      <c r="O233" s="198"/>
      <c r="P233" s="663"/>
      <c r="Q233" s="39"/>
    </row>
    <row r="234" spans="1:17" ht="18.75" customHeight="1">
      <c r="A234" s="829"/>
      <c r="B234" s="853"/>
      <c r="C234" s="831"/>
      <c r="D234" s="831"/>
      <c r="E234" s="831"/>
      <c r="F234" s="839"/>
      <c r="G234" s="854"/>
      <c r="H234" s="845"/>
      <c r="I234" s="855"/>
      <c r="J234" s="856"/>
      <c r="K234" s="833"/>
      <c r="L234" s="857"/>
      <c r="M234" s="858"/>
      <c r="N234" s="195"/>
      <c r="O234" s="198"/>
      <c r="P234" s="663"/>
      <c r="Q234" s="39"/>
    </row>
    <row r="235" spans="1:17" ht="18.75" customHeight="1">
      <c r="A235" s="829"/>
      <c r="B235" s="637">
        <v>45526</v>
      </c>
      <c r="C235" s="216" t="s">
        <v>525</v>
      </c>
      <c r="D235" s="217"/>
      <c r="E235" s="217"/>
      <c r="F235" s="216" t="s">
        <v>521</v>
      </c>
      <c r="G235" s="218">
        <v>180</v>
      </c>
      <c r="H235" s="219" t="s">
        <v>523</v>
      </c>
      <c r="I235" s="223">
        <v>63000</v>
      </c>
      <c r="J235" s="224">
        <f>G235*I235</f>
        <v>11340000</v>
      </c>
      <c r="K235" s="833"/>
      <c r="L235" s="857"/>
      <c r="M235" s="858"/>
      <c r="N235" s="195"/>
      <c r="O235" s="198">
        <f>SUM(J235)</f>
        <v>11340000</v>
      </c>
      <c r="P235" s="663" t="s">
        <v>522</v>
      </c>
      <c r="Q235" s="39"/>
    </row>
    <row r="236" spans="1:17" ht="18.75" customHeight="1">
      <c r="A236" s="829"/>
      <c r="B236" s="853"/>
      <c r="C236" s="831"/>
      <c r="D236" s="831"/>
      <c r="E236" s="831"/>
      <c r="F236" s="839"/>
      <c r="G236" s="854"/>
      <c r="H236" s="845"/>
      <c r="I236" s="855"/>
      <c r="J236" s="856"/>
      <c r="K236" s="833"/>
      <c r="L236" s="857"/>
      <c r="M236" s="858"/>
      <c r="N236" s="195"/>
      <c r="O236" s="198"/>
      <c r="P236" s="663"/>
      <c r="Q236" s="39"/>
    </row>
    <row r="237" spans="1:17" ht="18.75" customHeight="1">
      <c r="A237" s="829"/>
      <c r="B237" s="853"/>
      <c r="C237" s="831"/>
      <c r="D237" s="831"/>
      <c r="E237" s="831"/>
      <c r="F237" s="839"/>
      <c r="G237" s="854"/>
      <c r="H237" s="845"/>
      <c r="I237" s="855"/>
      <c r="J237" s="856"/>
      <c r="K237" s="833"/>
      <c r="L237" s="857"/>
      <c r="M237" s="858"/>
      <c r="N237" s="195"/>
      <c r="O237" s="198"/>
      <c r="P237" s="663"/>
      <c r="Q237" s="39"/>
    </row>
    <row r="238" spans="1:17" ht="18.75" customHeight="1">
      <c r="A238" s="829"/>
      <c r="B238" s="853"/>
      <c r="C238" s="831"/>
      <c r="D238" s="831"/>
      <c r="E238" s="831"/>
      <c r="F238" s="839"/>
      <c r="G238" s="854"/>
      <c r="H238" s="845"/>
      <c r="I238" s="855"/>
      <c r="J238" s="856"/>
      <c r="K238" s="833"/>
      <c r="L238" s="857"/>
      <c r="M238" s="858"/>
      <c r="N238" s="195"/>
      <c r="O238" s="198"/>
      <c r="P238" s="663"/>
      <c r="Q238" s="39"/>
    </row>
    <row r="239" spans="1:17" ht="15.75">
      <c r="A239" s="1130" t="s">
        <v>248</v>
      </c>
      <c r="B239" s="1130"/>
      <c r="C239" s="1130"/>
      <c r="D239" s="1130"/>
      <c r="E239" s="1130"/>
      <c r="F239" s="1130"/>
      <c r="G239" s="1130"/>
      <c r="H239" s="1130"/>
      <c r="I239" s="1130"/>
      <c r="J239" s="1130"/>
      <c r="K239" s="1130"/>
      <c r="L239" s="1130"/>
      <c r="M239" s="1130"/>
      <c r="N239" s="36"/>
      <c r="O239" s="198"/>
      <c r="P239" s="135"/>
      <c r="Q239" s="39"/>
    </row>
    <row r="240" spans="1:17" ht="15.75">
      <c r="A240" s="59"/>
      <c r="B240" s="169"/>
      <c r="C240" s="59"/>
      <c r="D240" s="133"/>
      <c r="E240" s="169"/>
      <c r="F240" s="168"/>
      <c r="G240" s="220"/>
      <c r="H240" s="168"/>
      <c r="I240" s="225"/>
      <c r="J240" s="226"/>
      <c r="K240" s="133"/>
      <c r="L240" s="59"/>
      <c r="M240" s="59"/>
      <c r="N240" s="36"/>
      <c r="O240" s="84"/>
      <c r="P240" s="136"/>
      <c r="Q240" s="39"/>
    </row>
    <row r="241" spans="1:17" ht="18.75">
      <c r="A241" s="829"/>
      <c r="B241" s="958">
        <v>46051</v>
      </c>
      <c r="C241" s="432" t="s">
        <v>491</v>
      </c>
      <c r="D241" s="491"/>
      <c r="E241" s="485"/>
      <c r="F241" s="621" t="s">
        <v>652</v>
      </c>
      <c r="G241" s="584">
        <v>1</v>
      </c>
      <c r="H241" s="585" t="s">
        <v>484</v>
      </c>
      <c r="I241" s="586">
        <v>372960</v>
      </c>
      <c r="J241" s="587">
        <f t="shared" ref="J241" si="6">G241*I241</f>
        <v>372960</v>
      </c>
      <c r="K241" s="219" t="s">
        <v>653</v>
      </c>
      <c r="L241" s="485">
        <v>46051</v>
      </c>
      <c r="M241" s="829"/>
      <c r="N241" s="36"/>
      <c r="O241" s="227">
        <f>SUM(J241)</f>
        <v>372960</v>
      </c>
      <c r="P241" s="872" t="s">
        <v>384</v>
      </c>
      <c r="Q241" s="39"/>
    </row>
    <row r="242" spans="1:17" ht="18.75">
      <c r="A242" s="829"/>
      <c r="B242" s="1092">
        <v>46051</v>
      </c>
      <c r="C242" s="1093" t="s">
        <v>491</v>
      </c>
      <c r="D242" s="1094"/>
      <c r="E242" s="1095"/>
      <c r="F242" s="1096" t="s">
        <v>654</v>
      </c>
      <c r="G242" s="1097">
        <v>1</v>
      </c>
      <c r="H242" s="1098" t="s">
        <v>484</v>
      </c>
      <c r="I242" s="1099">
        <v>555000</v>
      </c>
      <c r="J242" s="1100">
        <f t="shared" ref="J242" si="7">G242*I242</f>
        <v>555000</v>
      </c>
      <c r="K242" s="1101" t="s">
        <v>656</v>
      </c>
      <c r="L242" s="1095">
        <v>46051</v>
      </c>
      <c r="M242" s="829"/>
      <c r="N242" s="36"/>
      <c r="O242" s="227">
        <f>SUM(J242)</f>
        <v>555000</v>
      </c>
      <c r="P242" s="872" t="s">
        <v>384</v>
      </c>
      <c r="Q242" s="39"/>
    </row>
    <row r="243" spans="1:17" ht="18.75">
      <c r="A243" s="829"/>
      <c r="B243" s="1102"/>
      <c r="C243" s="1103"/>
      <c r="D243" s="1104"/>
      <c r="E243" s="1105"/>
      <c r="F243" s="1106"/>
      <c r="G243" s="1107"/>
      <c r="H243" s="1108"/>
      <c r="I243" s="1109"/>
      <c r="J243" s="1110"/>
      <c r="K243" s="1111"/>
      <c r="L243" s="1105"/>
      <c r="M243" s="829"/>
      <c r="N243" s="36"/>
      <c r="O243" s="227"/>
      <c r="P243" s="872"/>
      <c r="Q243" s="39"/>
    </row>
    <row r="244" spans="1:17" ht="18.75">
      <c r="A244" s="829"/>
      <c r="B244" s="1092">
        <v>46031</v>
      </c>
      <c r="C244" s="1093" t="s">
        <v>491</v>
      </c>
      <c r="D244" s="1094"/>
      <c r="E244" s="1095"/>
      <c r="F244" s="1096" t="s">
        <v>654</v>
      </c>
      <c r="G244" s="1097">
        <v>1</v>
      </c>
      <c r="H244" s="1098" t="s">
        <v>484</v>
      </c>
      <c r="I244" s="1099">
        <v>555000</v>
      </c>
      <c r="J244" s="1100">
        <f t="shared" ref="J244" si="8">G244*I244</f>
        <v>555000</v>
      </c>
      <c r="K244" s="1101" t="s">
        <v>655</v>
      </c>
      <c r="L244" s="1095">
        <v>46031</v>
      </c>
      <c r="M244" s="829"/>
      <c r="N244" s="36"/>
      <c r="O244" s="227">
        <f>SUM(J244)</f>
        <v>555000</v>
      </c>
      <c r="P244" s="872" t="s">
        <v>384</v>
      </c>
      <c r="Q244" s="39"/>
    </row>
    <row r="245" spans="1:17" ht="18.75">
      <c r="A245" s="829"/>
      <c r="B245" s="1102"/>
      <c r="C245" s="1103"/>
      <c r="D245" s="1104"/>
      <c r="E245" s="1105"/>
      <c r="F245" s="1106"/>
      <c r="G245" s="1107"/>
      <c r="H245" s="1108"/>
      <c r="I245" s="1109"/>
      <c r="J245" s="1110"/>
      <c r="K245" s="1111"/>
      <c r="L245" s="1105"/>
      <c r="M245" s="829"/>
      <c r="N245" s="36"/>
      <c r="O245" s="227"/>
      <c r="P245" s="872"/>
      <c r="Q245" s="39"/>
    </row>
    <row r="246" spans="1:17" ht="18.75">
      <c r="A246" s="829"/>
      <c r="B246" s="958">
        <v>46057</v>
      </c>
      <c r="C246" s="432" t="s">
        <v>491</v>
      </c>
      <c r="D246" s="491"/>
      <c r="E246" s="485"/>
      <c r="F246" s="621" t="s">
        <v>492</v>
      </c>
      <c r="G246" s="584">
        <v>1</v>
      </c>
      <c r="H246" s="585" t="s">
        <v>484</v>
      </c>
      <c r="I246" s="586">
        <v>125000</v>
      </c>
      <c r="J246" s="587">
        <f t="shared" ref="J246" si="9">G246*I246</f>
        <v>125000</v>
      </c>
      <c r="K246" s="219" t="s">
        <v>651</v>
      </c>
      <c r="L246" s="485">
        <v>45326</v>
      </c>
      <c r="M246" s="829"/>
      <c r="N246" s="36"/>
      <c r="O246" s="227">
        <f>SUM(J246)</f>
        <v>125000</v>
      </c>
      <c r="P246" s="872" t="s">
        <v>384</v>
      </c>
      <c r="Q246" s="39"/>
    </row>
    <row r="247" spans="1:17" ht="18.75">
      <c r="A247" s="829"/>
      <c r="B247" s="1102"/>
      <c r="C247" s="1103"/>
      <c r="D247" s="1104"/>
      <c r="E247" s="1105"/>
      <c r="F247" s="1106"/>
      <c r="G247" s="1107"/>
      <c r="H247" s="1108"/>
      <c r="I247" s="1109"/>
      <c r="J247" s="1110"/>
      <c r="K247" s="1111"/>
      <c r="L247" s="1105"/>
      <c r="M247" s="829"/>
      <c r="N247" s="36"/>
      <c r="O247" s="227"/>
      <c r="P247" s="872"/>
      <c r="Q247" s="39"/>
    </row>
    <row r="248" spans="1:17" ht="18.75">
      <c r="A248" s="829"/>
      <c r="B248" s="564">
        <v>46059</v>
      </c>
      <c r="C248" s="216" t="s">
        <v>379</v>
      </c>
      <c r="D248" s="491"/>
      <c r="E248" s="485"/>
      <c r="F248" s="621" t="s">
        <v>483</v>
      </c>
      <c r="G248" s="584">
        <v>3750</v>
      </c>
      <c r="H248" s="585" t="s">
        <v>484</v>
      </c>
      <c r="I248" s="586">
        <v>319.68</v>
      </c>
      <c r="J248" s="587">
        <f t="shared" ref="J248" si="10">G248*I248</f>
        <v>1198800</v>
      </c>
      <c r="K248" s="219" t="s">
        <v>702</v>
      </c>
      <c r="L248" s="485">
        <v>46073</v>
      </c>
      <c r="M248" s="829"/>
      <c r="N248" s="36"/>
      <c r="O248" s="227">
        <f>SUM(J248)</f>
        <v>1198800</v>
      </c>
      <c r="P248" s="872" t="s">
        <v>384</v>
      </c>
      <c r="Q248" s="39"/>
    </row>
    <row r="249" spans="1:17" ht="18.75">
      <c r="A249" s="829"/>
      <c r="B249" s="1102"/>
      <c r="C249" s="1103"/>
      <c r="D249" s="1104"/>
      <c r="E249" s="1105"/>
      <c r="F249" s="1106"/>
      <c r="G249" s="1107"/>
      <c r="H249" s="1108"/>
      <c r="I249" s="1109"/>
      <c r="J249" s="1110"/>
      <c r="K249" s="1111"/>
      <c r="L249" s="1105"/>
      <c r="M249" s="829"/>
      <c r="N249" s="36"/>
      <c r="O249" s="227"/>
      <c r="P249" s="872"/>
      <c r="Q249" s="39"/>
    </row>
    <row r="250" spans="1:17" ht="15.75">
      <c r="A250" s="59"/>
      <c r="B250" s="222"/>
      <c r="C250" s="49"/>
      <c r="D250" s="174"/>
      <c r="E250" s="222"/>
      <c r="F250" s="720"/>
      <c r="G250" s="721"/>
      <c r="H250" s="720"/>
      <c r="I250" s="225"/>
      <c r="J250" s="226"/>
      <c r="K250" s="133"/>
      <c r="L250" s="59"/>
      <c r="M250" s="59"/>
      <c r="N250" s="36"/>
      <c r="O250" s="84"/>
      <c r="P250" s="136"/>
      <c r="Q250" s="39"/>
    </row>
    <row r="251" spans="1:17" ht="18.75">
      <c r="A251" s="59"/>
      <c r="B251" s="1090">
        <v>46073</v>
      </c>
      <c r="C251" s="492" t="s">
        <v>609</v>
      </c>
      <c r="D251" s="491"/>
      <c r="E251" s="485"/>
      <c r="F251" s="621" t="s">
        <v>610</v>
      </c>
      <c r="G251" s="584">
        <v>20</v>
      </c>
      <c r="H251" s="585" t="s">
        <v>17</v>
      </c>
      <c r="I251" s="586">
        <v>8880</v>
      </c>
      <c r="J251" s="587">
        <f t="shared" ref="J251" si="11">G251*I251</f>
        <v>177600</v>
      </c>
      <c r="K251" s="219" t="s">
        <v>611</v>
      </c>
      <c r="L251" s="215">
        <v>46055</v>
      </c>
      <c r="M251" s="59"/>
      <c r="N251" s="36"/>
      <c r="O251" s="227">
        <f>SUM(J251)</f>
        <v>177600</v>
      </c>
      <c r="P251" s="872" t="s">
        <v>384</v>
      </c>
      <c r="Q251" s="39"/>
    </row>
    <row r="252" spans="1:17" ht="18.75">
      <c r="A252" s="59"/>
      <c r="B252" s="222"/>
      <c r="C252" s="49"/>
      <c r="D252" s="174"/>
      <c r="E252" s="222"/>
      <c r="F252" s="621"/>
      <c r="G252" s="584"/>
      <c r="H252" s="585"/>
      <c r="I252" s="225"/>
      <c r="J252" s="226"/>
      <c r="K252" s="133"/>
      <c r="L252" s="59"/>
      <c r="M252" s="59"/>
      <c r="N252" s="36"/>
      <c r="O252" s="84"/>
      <c r="P252" s="136"/>
      <c r="Q252" s="39"/>
    </row>
    <row r="253" spans="1:17" ht="18.75">
      <c r="A253" s="829"/>
      <c r="B253" s="956"/>
      <c r="C253" s="957"/>
      <c r="D253" s="868"/>
      <c r="E253" s="866"/>
      <c r="F253" s="621"/>
      <c r="G253" s="584"/>
      <c r="H253" s="585"/>
      <c r="I253" s="869"/>
      <c r="J253" s="870"/>
      <c r="K253" s="849"/>
      <c r="L253" s="829"/>
      <c r="M253" s="829"/>
      <c r="N253" s="36"/>
      <c r="O253" s="84"/>
      <c r="P253" s="136"/>
      <c r="Q253" s="39"/>
    </row>
    <row r="254" spans="1:17" ht="18.75">
      <c r="A254" s="829"/>
      <c r="B254" s="1091">
        <v>46059</v>
      </c>
      <c r="C254" s="216" t="s">
        <v>379</v>
      </c>
      <c r="D254" s="491"/>
      <c r="E254" s="485"/>
      <c r="F254" s="621" t="s">
        <v>483</v>
      </c>
      <c r="G254" s="584">
        <v>3000</v>
      </c>
      <c r="H254" s="585" t="s">
        <v>484</v>
      </c>
      <c r="I254" s="586">
        <v>333</v>
      </c>
      <c r="J254" s="587">
        <f t="shared" ref="J254" si="12">G254*I254</f>
        <v>999000</v>
      </c>
      <c r="K254" s="219" t="s">
        <v>612</v>
      </c>
      <c r="L254" s="485">
        <v>46055</v>
      </c>
      <c r="M254" s="829"/>
      <c r="N254" s="36"/>
      <c r="O254" s="227">
        <f>SUM(J254)</f>
        <v>999000</v>
      </c>
      <c r="P254" s="872" t="s">
        <v>384</v>
      </c>
      <c r="Q254" s="39"/>
    </row>
    <row r="255" spans="1:17" ht="18.75">
      <c r="A255" s="829"/>
      <c r="B255" s="956"/>
      <c r="C255" s="957"/>
      <c r="D255" s="868"/>
      <c r="E255" s="866"/>
      <c r="F255" s="621"/>
      <c r="G255" s="584"/>
      <c r="H255" s="585"/>
      <c r="I255" s="869"/>
      <c r="J255" s="870"/>
      <c r="K255" s="849"/>
      <c r="L255" s="829"/>
      <c r="M255" s="829"/>
      <c r="N255" s="36"/>
      <c r="O255" s="84"/>
      <c r="P255" s="136"/>
      <c r="Q255" s="39"/>
    </row>
    <row r="256" spans="1:17" ht="18.75">
      <c r="A256" s="829"/>
      <c r="B256" s="1091">
        <v>46065</v>
      </c>
      <c r="C256" s="216" t="s">
        <v>379</v>
      </c>
      <c r="D256" s="491"/>
      <c r="E256" s="485"/>
      <c r="F256" s="621" t="s">
        <v>483</v>
      </c>
      <c r="G256" s="584">
        <v>1826</v>
      </c>
      <c r="H256" s="585" t="s">
        <v>484</v>
      </c>
      <c r="I256" s="586">
        <v>333</v>
      </c>
      <c r="J256" s="587">
        <f t="shared" ref="J256" si="13">G256*I256</f>
        <v>608058</v>
      </c>
      <c r="K256" s="219" t="s">
        <v>613</v>
      </c>
      <c r="L256" s="485">
        <v>46065</v>
      </c>
      <c r="M256" s="829"/>
      <c r="N256" s="36"/>
      <c r="O256" s="227">
        <f>SUM(J256)</f>
        <v>608058</v>
      </c>
      <c r="P256" s="872" t="s">
        <v>384</v>
      </c>
      <c r="Q256" s="39"/>
    </row>
    <row r="257" spans="1:17" ht="18.75">
      <c r="A257" s="829"/>
      <c r="B257" s="958"/>
      <c r="C257" s="959"/>
      <c r="D257" s="868"/>
      <c r="E257" s="866"/>
      <c r="F257" s="621"/>
      <c r="G257" s="584"/>
      <c r="H257" s="585"/>
      <c r="I257" s="869"/>
      <c r="J257" s="870"/>
      <c r="K257" s="849"/>
      <c r="L257" s="829"/>
      <c r="M257" s="829"/>
      <c r="N257" s="36"/>
      <c r="O257" s="84"/>
      <c r="P257" s="136"/>
      <c r="Q257" s="39"/>
    </row>
    <row r="258" spans="1:17" ht="18.75">
      <c r="A258" s="829"/>
      <c r="B258" s="429">
        <v>46086</v>
      </c>
      <c r="C258" s="216" t="s">
        <v>379</v>
      </c>
      <c r="D258" s="491"/>
      <c r="E258" s="485"/>
      <c r="F258" s="621" t="s">
        <v>483</v>
      </c>
      <c r="G258" s="584">
        <v>1880</v>
      </c>
      <c r="H258" s="585" t="s">
        <v>484</v>
      </c>
      <c r="I258" s="586">
        <v>319.67977999999999</v>
      </c>
      <c r="J258" s="587">
        <f t="shared" ref="J258" si="14">G258*I258</f>
        <v>600997.98639999994</v>
      </c>
      <c r="K258" s="219" t="s">
        <v>628</v>
      </c>
      <c r="L258" s="485">
        <v>46086</v>
      </c>
      <c r="M258" s="829"/>
      <c r="N258" s="36"/>
      <c r="O258" s="227">
        <f>SUM(J258)</f>
        <v>600997.98639999994</v>
      </c>
      <c r="P258" s="848" t="s">
        <v>384</v>
      </c>
      <c r="Q258" s="39"/>
    </row>
    <row r="259" spans="1:17" ht="18.75">
      <c r="A259" s="829"/>
      <c r="B259" s="1005"/>
      <c r="C259" s="1006"/>
      <c r="D259" s="491"/>
      <c r="E259" s="485"/>
      <c r="F259" s="621"/>
      <c r="G259" s="584"/>
      <c r="H259" s="585"/>
      <c r="I259" s="586"/>
      <c r="J259" s="587"/>
      <c r="K259" s="219"/>
      <c r="L259" s="485"/>
      <c r="M259" s="829"/>
      <c r="N259" s="36"/>
      <c r="O259" s="227"/>
      <c r="P259" s="871"/>
      <c r="Q259" s="39"/>
    </row>
    <row r="260" spans="1:17" ht="18.75">
      <c r="A260" s="829"/>
      <c r="B260" s="429">
        <v>46097</v>
      </c>
      <c r="C260" s="216" t="s">
        <v>659</v>
      </c>
      <c r="D260" s="491"/>
      <c r="E260" s="485"/>
      <c r="F260" s="621" t="s">
        <v>483</v>
      </c>
      <c r="G260" s="584">
        <v>258.06606599999998</v>
      </c>
      <c r="H260" s="585" t="s">
        <v>484</v>
      </c>
      <c r="I260" s="586">
        <v>333</v>
      </c>
      <c r="J260" s="587">
        <f t="shared" ref="J260" si="15">G260*I260</f>
        <v>85935.999977999993</v>
      </c>
      <c r="K260" s="219" t="s">
        <v>660</v>
      </c>
      <c r="L260" s="485">
        <v>46097</v>
      </c>
      <c r="M260" s="829"/>
      <c r="N260" s="36"/>
      <c r="O260" s="227">
        <f>SUM(J260)</f>
        <v>85935.999977999993</v>
      </c>
      <c r="P260" s="871" t="s">
        <v>384</v>
      </c>
      <c r="Q260" s="39"/>
    </row>
    <row r="261" spans="1:17" ht="18.75">
      <c r="A261" s="829"/>
      <c r="B261" s="1005"/>
      <c r="C261" s="1006"/>
      <c r="D261" s="491"/>
      <c r="E261" s="485"/>
      <c r="F261" s="621"/>
      <c r="G261" s="584"/>
      <c r="H261" s="585"/>
      <c r="I261" s="586"/>
      <c r="J261" s="587"/>
      <c r="K261" s="219"/>
      <c r="L261" s="485"/>
      <c r="M261" s="829"/>
      <c r="N261" s="36"/>
      <c r="O261" s="227"/>
      <c r="P261" s="871"/>
      <c r="Q261" s="39"/>
    </row>
    <row r="262" spans="1:17" ht="18.75">
      <c r="A262" s="829"/>
      <c r="B262" s="564">
        <v>46091</v>
      </c>
      <c r="C262" s="216" t="s">
        <v>379</v>
      </c>
      <c r="D262" s="491"/>
      <c r="E262" s="485"/>
      <c r="F262" s="621" t="s">
        <v>483</v>
      </c>
      <c r="G262" s="584">
        <v>3960</v>
      </c>
      <c r="H262" s="585" t="s">
        <v>484</v>
      </c>
      <c r="I262" s="586">
        <v>333</v>
      </c>
      <c r="J262" s="587">
        <f t="shared" ref="J262" si="16">G262*I262</f>
        <v>1318680</v>
      </c>
      <c r="K262" s="219" t="s">
        <v>704</v>
      </c>
      <c r="L262" s="485">
        <v>46091</v>
      </c>
      <c r="M262" s="829"/>
      <c r="N262" s="36"/>
      <c r="O262" s="227">
        <f>SUM(J262)</f>
        <v>1318680</v>
      </c>
      <c r="P262" s="872" t="s">
        <v>384</v>
      </c>
      <c r="Q262" s="39"/>
    </row>
    <row r="263" spans="1:17" ht="18.75">
      <c r="A263" s="829"/>
      <c r="B263" s="958"/>
      <c r="C263" s="959"/>
      <c r="D263" s="491"/>
      <c r="E263" s="485"/>
      <c r="F263" s="621"/>
      <c r="G263" s="584"/>
      <c r="H263" s="585"/>
      <c r="I263" s="586"/>
      <c r="J263" s="587"/>
      <c r="K263" s="219"/>
      <c r="L263" s="485"/>
      <c r="M263" s="829"/>
      <c r="N263" s="36"/>
      <c r="O263" s="227"/>
      <c r="P263" s="871"/>
      <c r="Q263" s="39"/>
    </row>
    <row r="264" spans="1:17" ht="18.75">
      <c r="A264" s="829"/>
      <c r="B264" s="956"/>
      <c r="C264" s="957"/>
      <c r="D264" s="868"/>
      <c r="E264" s="866"/>
      <c r="F264" s="621"/>
      <c r="G264" s="584"/>
      <c r="H264" s="585"/>
      <c r="I264" s="586"/>
      <c r="J264" s="587"/>
      <c r="K264" s="849"/>
      <c r="L264" s="829"/>
      <c r="M264" s="829"/>
      <c r="N264" s="36"/>
      <c r="O264" s="227"/>
      <c r="P264" s="871"/>
      <c r="Q264" s="39"/>
    </row>
    <row r="265" spans="1:17" ht="18.75">
      <c r="A265" s="829"/>
      <c r="B265" s="956"/>
      <c r="C265" s="957"/>
      <c r="D265" s="868"/>
      <c r="E265" s="866"/>
      <c r="F265" s="621"/>
      <c r="G265" s="584"/>
      <c r="H265" s="585"/>
      <c r="I265" s="869"/>
      <c r="J265" s="870"/>
      <c r="K265" s="849"/>
      <c r="L265" s="829"/>
      <c r="M265" s="829"/>
      <c r="N265" s="36"/>
      <c r="O265" s="84"/>
      <c r="P265" s="136"/>
      <c r="Q265" s="39"/>
    </row>
    <row r="266" spans="1:17" ht="18.75">
      <c r="A266" s="829"/>
      <c r="B266" s="958"/>
      <c r="C266" s="959"/>
      <c r="D266" s="491"/>
      <c r="E266" s="485"/>
      <c r="F266" s="621"/>
      <c r="G266" s="584"/>
      <c r="H266" s="585"/>
      <c r="I266" s="586"/>
      <c r="J266" s="587"/>
      <c r="K266" s="219"/>
      <c r="L266" s="485"/>
      <c r="M266" s="829"/>
      <c r="N266" s="36"/>
      <c r="O266" s="227"/>
      <c r="P266" s="871"/>
      <c r="Q266" s="39"/>
    </row>
    <row r="267" spans="1:17" ht="18.75">
      <c r="A267" s="829"/>
      <c r="B267" s="956"/>
      <c r="C267" s="957"/>
      <c r="D267" s="868"/>
      <c r="E267" s="866"/>
      <c r="F267" s="621"/>
      <c r="G267" s="584"/>
      <c r="H267" s="585"/>
      <c r="I267" s="869"/>
      <c r="J267" s="870"/>
      <c r="K267" s="849"/>
      <c r="L267" s="829"/>
      <c r="M267" s="829"/>
      <c r="N267" s="36"/>
      <c r="O267" s="84"/>
      <c r="P267" s="136"/>
      <c r="Q267" s="39"/>
    </row>
    <row r="268" spans="1:17" ht="18.75">
      <c r="A268" s="829"/>
      <c r="B268" s="956"/>
      <c r="C268" s="957"/>
      <c r="D268" s="868"/>
      <c r="E268" s="866"/>
      <c r="F268" s="621"/>
      <c r="G268" s="584"/>
      <c r="H268" s="585"/>
      <c r="I268" s="869"/>
      <c r="J268" s="870"/>
      <c r="K268" s="849"/>
      <c r="L268" s="829"/>
      <c r="M268" s="829"/>
      <c r="N268" s="36"/>
      <c r="O268" s="84"/>
      <c r="P268" s="136"/>
      <c r="Q268" s="39"/>
    </row>
    <row r="269" spans="1:17" ht="18.75">
      <c r="A269" s="59"/>
      <c r="B269" s="958"/>
      <c r="C269" s="959"/>
      <c r="D269" s="491"/>
      <c r="E269" s="485"/>
      <c r="F269" s="621"/>
      <c r="G269" s="584"/>
      <c r="H269" s="585"/>
      <c r="I269" s="586"/>
      <c r="J269" s="587"/>
      <c r="K269" s="219"/>
      <c r="L269" s="485"/>
      <c r="M269" s="829"/>
      <c r="N269" s="36"/>
      <c r="O269" s="227"/>
      <c r="P269" s="871"/>
      <c r="Q269" s="39"/>
    </row>
    <row r="270" spans="1:17" ht="18.75">
      <c r="A270" s="59"/>
      <c r="B270" s="563"/>
      <c r="C270" s="1020"/>
      <c r="D270" s="427"/>
      <c r="E270" s="215"/>
      <c r="F270" s="722"/>
      <c r="G270" s="584"/>
      <c r="H270" s="585"/>
      <c r="I270" s="586"/>
      <c r="J270" s="587"/>
      <c r="K270" s="427"/>
      <c r="L270" s="217"/>
      <c r="M270" s="59"/>
      <c r="N270" s="36"/>
      <c r="O270" s="227"/>
      <c r="P270" s="719"/>
      <c r="Q270" s="39"/>
    </row>
    <row r="271" spans="1:17" ht="18.75">
      <c r="A271" s="59"/>
      <c r="B271" s="958"/>
      <c r="C271" s="959"/>
      <c r="D271" s="491"/>
      <c r="E271" s="485"/>
      <c r="F271" s="621"/>
      <c r="G271" s="584"/>
      <c r="H271" s="585"/>
      <c r="I271" s="586"/>
      <c r="J271" s="587"/>
      <c r="K271" s="219"/>
      <c r="L271" s="485"/>
      <c r="M271" s="829"/>
      <c r="N271" s="36"/>
      <c r="O271" s="227"/>
      <c r="P271" s="871"/>
      <c r="Q271" s="39"/>
    </row>
    <row r="272" spans="1:17" ht="18.75">
      <c r="A272" s="59"/>
      <c r="B272" s="956"/>
      <c r="C272" s="957"/>
      <c r="D272" s="868"/>
      <c r="E272" s="866"/>
      <c r="F272" s="621"/>
      <c r="G272" s="584"/>
      <c r="H272" s="585"/>
      <c r="I272" s="586"/>
      <c r="J272" s="587"/>
      <c r="K272" s="849"/>
      <c r="L272" s="829"/>
      <c r="M272" s="829"/>
      <c r="N272" s="36"/>
      <c r="O272" s="227"/>
      <c r="P272" s="871"/>
      <c r="Q272" s="39"/>
    </row>
    <row r="273" spans="1:17" ht="18.75">
      <c r="A273" s="829"/>
      <c r="B273" s="956"/>
      <c r="C273" s="957"/>
      <c r="D273" s="868"/>
      <c r="E273" s="866"/>
      <c r="F273" s="621"/>
      <c r="G273" s="584"/>
      <c r="H273" s="585"/>
      <c r="I273" s="874"/>
      <c r="J273" s="875"/>
      <c r="K273" s="849"/>
      <c r="L273" s="829"/>
      <c r="M273" s="829"/>
      <c r="N273" s="36"/>
      <c r="O273" s="227"/>
      <c r="P273" s="871"/>
      <c r="Q273" s="39"/>
    </row>
    <row r="274" spans="1:17" ht="18.75">
      <c r="A274" s="829"/>
      <c r="B274" s="948">
        <v>45614</v>
      </c>
      <c r="C274" s="949" t="s">
        <v>482</v>
      </c>
      <c r="D274" s="491"/>
      <c r="E274" s="485"/>
      <c r="F274" s="621" t="s">
        <v>483</v>
      </c>
      <c r="G274" s="584">
        <v>10000</v>
      </c>
      <c r="H274" s="585" t="s">
        <v>484</v>
      </c>
      <c r="I274" s="586">
        <v>300</v>
      </c>
      <c r="J274" s="587">
        <f t="shared" ref="J274" si="17">G274*I274</f>
        <v>3000000</v>
      </c>
      <c r="K274" s="219" t="s">
        <v>518</v>
      </c>
      <c r="L274" s="485">
        <v>45456</v>
      </c>
      <c r="M274" s="829"/>
      <c r="N274" s="36"/>
      <c r="O274" s="227">
        <f>SUM(J274)</f>
        <v>3000000</v>
      </c>
      <c r="P274" s="873" t="s">
        <v>519</v>
      </c>
      <c r="Q274" s="39"/>
    </row>
    <row r="275" spans="1:17" ht="18.75">
      <c r="A275" s="829"/>
      <c r="B275" s="950"/>
      <c r="C275" s="951"/>
      <c r="D275" s="868"/>
      <c r="E275" s="866"/>
      <c r="F275" s="621"/>
      <c r="G275" s="584"/>
      <c r="H275" s="585"/>
      <c r="I275" s="874"/>
      <c r="J275" s="875"/>
      <c r="K275" s="849"/>
      <c r="L275" s="829"/>
      <c r="M275" s="829"/>
      <c r="N275" s="36"/>
      <c r="O275" s="227"/>
      <c r="P275" s="871"/>
      <c r="Q275" s="39"/>
    </row>
    <row r="276" spans="1:17" ht="18.75">
      <c r="A276" s="829"/>
      <c r="B276" s="950"/>
      <c r="C276" s="951"/>
      <c r="D276" s="868"/>
      <c r="E276" s="866"/>
      <c r="F276" s="621"/>
      <c r="G276" s="584"/>
      <c r="H276" s="585"/>
      <c r="I276" s="874"/>
      <c r="J276" s="875"/>
      <c r="K276" s="849"/>
      <c r="L276" s="829"/>
      <c r="M276" s="829"/>
      <c r="N276" s="36"/>
      <c r="O276" s="227"/>
      <c r="P276" s="871"/>
      <c r="Q276" s="39"/>
    </row>
    <row r="277" spans="1:17" ht="18.75">
      <c r="A277" s="829"/>
      <c r="B277" s="948">
        <v>45366</v>
      </c>
      <c r="C277" s="949" t="s">
        <v>482</v>
      </c>
      <c r="D277" s="491"/>
      <c r="E277" s="485"/>
      <c r="F277" s="621" t="s">
        <v>483</v>
      </c>
      <c r="G277" s="584">
        <v>1400</v>
      </c>
      <c r="H277" s="585" t="s">
        <v>484</v>
      </c>
      <c r="I277" s="586">
        <v>400</v>
      </c>
      <c r="J277" s="587">
        <f t="shared" ref="J277" si="18">G277*I277</f>
        <v>560000</v>
      </c>
      <c r="K277" s="219" t="s">
        <v>501</v>
      </c>
      <c r="L277" s="485">
        <v>45366</v>
      </c>
      <c r="M277" s="829"/>
      <c r="N277" s="36"/>
      <c r="O277" s="227">
        <f>SUM(J277)</f>
        <v>560000</v>
      </c>
      <c r="P277" s="871" t="s">
        <v>487</v>
      </c>
      <c r="Q277" s="39"/>
    </row>
    <row r="278" spans="1:17" ht="18.75">
      <c r="A278" s="829"/>
      <c r="B278" s="950"/>
      <c r="C278" s="951"/>
      <c r="D278" s="868"/>
      <c r="E278" s="866"/>
      <c r="F278" s="621"/>
      <c r="G278" s="584"/>
      <c r="H278" s="585"/>
      <c r="I278" s="874"/>
      <c r="J278" s="875"/>
      <c r="K278" s="849"/>
      <c r="L278" s="829"/>
      <c r="M278" s="829"/>
      <c r="N278" s="36"/>
      <c r="O278" s="227"/>
      <c r="P278" s="871"/>
      <c r="Q278" s="39"/>
    </row>
    <row r="279" spans="1:17" ht="18.75">
      <c r="A279" s="829"/>
      <c r="B279" s="950"/>
      <c r="C279" s="951"/>
      <c r="D279" s="868"/>
      <c r="E279" s="866"/>
      <c r="F279" s="621"/>
      <c r="G279" s="584"/>
      <c r="H279" s="585"/>
      <c r="I279" s="874"/>
      <c r="J279" s="875"/>
      <c r="K279" s="849"/>
      <c r="L279" s="829"/>
      <c r="M279" s="829"/>
      <c r="N279" s="36"/>
      <c r="O279" s="227"/>
      <c r="P279" s="871"/>
      <c r="Q279" s="39"/>
    </row>
    <row r="280" spans="1:17" ht="18.75">
      <c r="A280" s="829"/>
      <c r="B280" s="950"/>
      <c r="C280" s="951"/>
      <c r="D280" s="868"/>
      <c r="E280" s="866"/>
      <c r="F280" s="621"/>
      <c r="G280" s="584"/>
      <c r="H280" s="585"/>
      <c r="I280" s="874"/>
      <c r="J280" s="875"/>
      <c r="K280" s="849"/>
      <c r="L280" s="829"/>
      <c r="M280" s="829"/>
      <c r="N280" s="36"/>
      <c r="O280" s="227"/>
      <c r="P280" s="871"/>
      <c r="Q280" s="39"/>
    </row>
    <row r="281" spans="1:17" ht="18.75">
      <c r="A281" s="829"/>
      <c r="B281" s="948">
        <v>45415</v>
      </c>
      <c r="C281" s="952" t="s">
        <v>379</v>
      </c>
      <c r="D281" s="491"/>
      <c r="E281" s="485"/>
      <c r="F281" s="621" t="s">
        <v>486</v>
      </c>
      <c r="G281" s="584">
        <v>1105</v>
      </c>
      <c r="H281" s="585" t="s">
        <v>484</v>
      </c>
      <c r="I281" s="586">
        <v>1600</v>
      </c>
      <c r="J281" s="587">
        <f t="shared" ref="J281" si="19">G281*I281</f>
        <v>1768000</v>
      </c>
      <c r="K281" s="219" t="s">
        <v>490</v>
      </c>
      <c r="L281" s="485">
        <v>45415</v>
      </c>
      <c r="M281" s="829"/>
      <c r="N281" s="36"/>
      <c r="O281" s="227">
        <f>SUM(J281)</f>
        <v>1768000</v>
      </c>
      <c r="P281" s="848" t="s">
        <v>487</v>
      </c>
      <c r="Q281" s="39"/>
    </row>
    <row r="282" spans="1:17" ht="18.75">
      <c r="A282" s="829"/>
      <c r="B282" s="950"/>
      <c r="C282" s="951"/>
      <c r="D282" s="868"/>
      <c r="E282" s="866"/>
      <c r="F282" s="621"/>
      <c r="G282" s="584"/>
      <c r="H282" s="585"/>
      <c r="I282" s="874"/>
      <c r="J282" s="875"/>
      <c r="K282" s="849"/>
      <c r="L282" s="829"/>
      <c r="M282" s="829"/>
      <c r="N282" s="36"/>
      <c r="O282" s="227"/>
      <c r="P282" s="871"/>
      <c r="Q282" s="39"/>
    </row>
    <row r="283" spans="1:17" ht="18.75">
      <c r="A283" s="829"/>
      <c r="B283" s="948">
        <v>45439</v>
      </c>
      <c r="C283" s="952" t="s">
        <v>379</v>
      </c>
      <c r="D283" s="491"/>
      <c r="E283" s="485"/>
      <c r="F283" s="621" t="s">
        <v>483</v>
      </c>
      <c r="G283" s="584">
        <v>7700</v>
      </c>
      <c r="H283" s="585" t="s">
        <v>484</v>
      </c>
      <c r="I283" s="586">
        <v>350</v>
      </c>
      <c r="J283" s="587">
        <f t="shared" ref="J283" si="20">G283*I283</f>
        <v>2695000</v>
      </c>
      <c r="K283" s="219" t="s">
        <v>489</v>
      </c>
      <c r="L283" s="485">
        <v>45439</v>
      </c>
      <c r="M283" s="829"/>
      <c r="N283" s="36"/>
      <c r="O283" s="227"/>
      <c r="P283" s="871"/>
      <c r="Q283" s="39"/>
    </row>
    <row r="284" spans="1:17" ht="18.75">
      <c r="A284" s="829"/>
      <c r="B284" s="952"/>
      <c r="C284" s="951"/>
      <c r="D284" s="868"/>
      <c r="E284" s="866"/>
      <c r="F284" s="621" t="s">
        <v>488</v>
      </c>
      <c r="G284" s="584">
        <v>660</v>
      </c>
      <c r="H284" s="585" t="s">
        <v>484</v>
      </c>
      <c r="I284" s="586">
        <v>900</v>
      </c>
      <c r="J284" s="587">
        <f t="shared" ref="J284:J286" si="21">G284*I284</f>
        <v>594000</v>
      </c>
      <c r="K284" s="849"/>
      <c r="L284" s="829"/>
      <c r="M284" s="829"/>
      <c r="N284" s="36"/>
      <c r="O284" s="227"/>
      <c r="P284" s="871"/>
      <c r="Q284" s="39"/>
    </row>
    <row r="285" spans="1:17" ht="18.75">
      <c r="A285" s="829"/>
      <c r="B285" s="950"/>
      <c r="C285" s="951"/>
      <c r="D285" s="868"/>
      <c r="E285" s="866"/>
      <c r="F285" s="621" t="s">
        <v>486</v>
      </c>
      <c r="G285" s="584">
        <v>480</v>
      </c>
      <c r="H285" s="585" t="s">
        <v>484</v>
      </c>
      <c r="I285" s="586">
        <v>1600</v>
      </c>
      <c r="J285" s="587">
        <f t="shared" si="21"/>
        <v>768000</v>
      </c>
      <c r="K285" s="849"/>
      <c r="L285" s="829"/>
      <c r="M285" s="829"/>
      <c r="N285" s="36"/>
      <c r="O285" s="227">
        <f>SUM(J283:J285)</f>
        <v>4057000</v>
      </c>
      <c r="P285" s="871" t="s">
        <v>487</v>
      </c>
      <c r="Q285" s="39"/>
    </row>
    <row r="286" spans="1:17" ht="18.75">
      <c r="A286" s="829"/>
      <c r="B286" s="948">
        <v>45457</v>
      </c>
      <c r="C286" s="952" t="s">
        <v>491</v>
      </c>
      <c r="D286" s="491"/>
      <c r="E286" s="485"/>
      <c r="F286" s="621" t="s">
        <v>492</v>
      </c>
      <c r="G286" s="584">
        <v>4</v>
      </c>
      <c r="H286" s="585" t="s">
        <v>484</v>
      </c>
      <c r="I286" s="586">
        <v>22500</v>
      </c>
      <c r="J286" s="587">
        <f t="shared" si="21"/>
        <v>90000</v>
      </c>
      <c r="K286" s="219" t="s">
        <v>493</v>
      </c>
      <c r="L286" s="485">
        <v>45457</v>
      </c>
      <c r="M286" s="829"/>
      <c r="N286" s="36"/>
      <c r="O286" s="227">
        <f>SUM(J286)</f>
        <v>90000</v>
      </c>
      <c r="P286" s="848" t="s">
        <v>487</v>
      </c>
      <c r="Q286" s="39"/>
    </row>
    <row r="287" spans="1:17" ht="18.75">
      <c r="A287" s="829"/>
      <c r="B287" s="950"/>
      <c r="C287" s="951"/>
      <c r="D287" s="868"/>
      <c r="E287" s="866"/>
      <c r="F287" s="621"/>
      <c r="G287" s="584"/>
      <c r="H287" s="585"/>
      <c r="I287" s="874"/>
      <c r="J287" s="875"/>
      <c r="K287" s="849"/>
      <c r="L287" s="829"/>
      <c r="M287" s="829"/>
      <c r="N287" s="36"/>
      <c r="O287" s="227"/>
      <c r="P287" s="871"/>
      <c r="Q287" s="39"/>
    </row>
    <row r="288" spans="1:17" ht="18.75">
      <c r="A288" s="829"/>
      <c r="B288" s="948">
        <v>45450</v>
      </c>
      <c r="C288" s="952" t="s">
        <v>491</v>
      </c>
      <c r="D288" s="491"/>
      <c r="E288" s="485"/>
      <c r="F288" s="621" t="s">
        <v>492</v>
      </c>
      <c r="G288" s="584">
        <v>4</v>
      </c>
      <c r="H288" s="585" t="s">
        <v>484</v>
      </c>
      <c r="I288" s="586">
        <v>22500</v>
      </c>
      <c r="J288" s="587">
        <f t="shared" ref="J288" si="22">G288*I288</f>
        <v>90000</v>
      </c>
      <c r="K288" s="219" t="s">
        <v>494</v>
      </c>
      <c r="L288" s="485">
        <v>45450</v>
      </c>
      <c r="M288" s="829"/>
      <c r="N288" s="36"/>
      <c r="O288" s="227">
        <f>SUM(J288)</f>
        <v>90000</v>
      </c>
      <c r="P288" s="848" t="s">
        <v>487</v>
      </c>
      <c r="Q288" s="39"/>
    </row>
    <row r="289" spans="1:17" ht="18.75">
      <c r="A289" s="829"/>
      <c r="B289" s="953"/>
      <c r="C289" s="954"/>
      <c r="D289" s="877"/>
      <c r="E289" s="876"/>
      <c r="F289" s="621"/>
      <c r="G289" s="584"/>
      <c r="H289" s="585"/>
      <c r="I289" s="874"/>
      <c r="J289" s="875"/>
      <c r="K289" s="845"/>
      <c r="L289" s="876"/>
      <c r="M289" s="829"/>
      <c r="N289" s="36"/>
      <c r="O289" s="227"/>
      <c r="P289" s="848"/>
      <c r="Q289" s="39"/>
    </row>
    <row r="290" spans="1:17" ht="18.75">
      <c r="A290" s="829"/>
      <c r="B290" s="948">
        <v>45495</v>
      </c>
      <c r="C290" s="949" t="s">
        <v>482</v>
      </c>
      <c r="D290" s="491"/>
      <c r="E290" s="485"/>
      <c r="F290" s="621" t="s">
        <v>483</v>
      </c>
      <c r="G290" s="584">
        <v>4950</v>
      </c>
      <c r="H290" s="585" t="s">
        <v>484</v>
      </c>
      <c r="I290" s="586">
        <v>300</v>
      </c>
      <c r="J290" s="587">
        <f t="shared" ref="J290" si="23">G290*I290</f>
        <v>1485000</v>
      </c>
      <c r="K290" s="219" t="s">
        <v>502</v>
      </c>
      <c r="L290" s="485">
        <v>45495</v>
      </c>
      <c r="M290" s="829"/>
      <c r="N290" s="36"/>
      <c r="O290" s="227">
        <f>SUM(J290)</f>
        <v>1485000</v>
      </c>
      <c r="P290" s="848" t="s">
        <v>487</v>
      </c>
      <c r="Q290" s="39"/>
    </row>
    <row r="291" spans="1:17" ht="18.75">
      <c r="A291" s="829"/>
      <c r="B291" s="950"/>
      <c r="C291" s="951"/>
      <c r="D291" s="868"/>
      <c r="E291" s="866"/>
      <c r="F291" s="621"/>
      <c r="G291" s="584"/>
      <c r="H291" s="585"/>
      <c r="I291" s="874"/>
      <c r="J291" s="875"/>
      <c r="K291" s="849"/>
      <c r="L291" s="829"/>
      <c r="M291" s="829"/>
      <c r="N291" s="36"/>
      <c r="O291" s="227"/>
      <c r="P291" s="871"/>
      <c r="Q291" s="39"/>
    </row>
    <row r="292" spans="1:17" ht="18.75">
      <c r="A292" s="829"/>
      <c r="B292" s="948">
        <v>45516</v>
      </c>
      <c r="C292" s="952" t="s">
        <v>379</v>
      </c>
      <c r="D292" s="491"/>
      <c r="E292" s="485"/>
      <c r="F292" s="621" t="s">
        <v>486</v>
      </c>
      <c r="G292" s="584">
        <v>1640</v>
      </c>
      <c r="H292" s="585" t="s">
        <v>484</v>
      </c>
      <c r="I292" s="586">
        <v>1600</v>
      </c>
      <c r="J292" s="587">
        <f t="shared" ref="J292" si="24">G292*I292</f>
        <v>2624000</v>
      </c>
      <c r="K292" s="219" t="s">
        <v>494</v>
      </c>
      <c r="L292" s="485">
        <v>45516</v>
      </c>
      <c r="M292" s="829"/>
      <c r="N292" s="36"/>
      <c r="O292" s="227">
        <f>SUM(J292)</f>
        <v>2624000</v>
      </c>
      <c r="P292" s="848" t="s">
        <v>487</v>
      </c>
      <c r="Q292" s="39"/>
    </row>
    <row r="293" spans="1:17" ht="18.75">
      <c r="A293" s="829"/>
      <c r="B293" s="950"/>
      <c r="C293" s="951"/>
      <c r="D293" s="868"/>
      <c r="E293" s="866"/>
      <c r="F293" s="621"/>
      <c r="G293" s="584"/>
      <c r="H293" s="585"/>
      <c r="I293" s="874"/>
      <c r="J293" s="875"/>
      <c r="K293" s="849"/>
      <c r="L293" s="829"/>
      <c r="M293" s="829"/>
      <c r="N293" s="36"/>
      <c r="O293" s="227"/>
      <c r="P293" s="871"/>
      <c r="Q293" s="39"/>
    </row>
    <row r="294" spans="1:17" ht="18.75">
      <c r="A294" s="829"/>
      <c r="B294" s="948">
        <v>45567</v>
      </c>
      <c r="C294" s="952" t="s">
        <v>379</v>
      </c>
      <c r="D294" s="491"/>
      <c r="E294" s="485"/>
      <c r="F294" s="621" t="s">
        <v>486</v>
      </c>
      <c r="G294" s="584">
        <v>1480</v>
      </c>
      <c r="H294" s="585" t="s">
        <v>484</v>
      </c>
      <c r="I294" s="586">
        <v>1600</v>
      </c>
      <c r="J294" s="587">
        <f t="shared" ref="J294" si="25">G294*I294</f>
        <v>2368000</v>
      </c>
      <c r="K294" s="219" t="s">
        <v>495</v>
      </c>
      <c r="L294" s="485">
        <v>45567</v>
      </c>
      <c r="M294" s="829"/>
      <c r="N294" s="36"/>
      <c r="O294" s="227">
        <f>SUM(J294)</f>
        <v>2368000</v>
      </c>
      <c r="P294" s="848" t="s">
        <v>487</v>
      </c>
      <c r="Q294" s="39"/>
    </row>
    <row r="295" spans="1:17" ht="18.75">
      <c r="A295" s="829"/>
      <c r="B295" s="950"/>
      <c r="C295" s="951"/>
      <c r="D295" s="868"/>
      <c r="E295" s="866"/>
      <c r="F295" s="621"/>
      <c r="G295" s="584"/>
      <c r="H295" s="585"/>
      <c r="I295" s="874"/>
      <c r="J295" s="875"/>
      <c r="K295" s="849"/>
      <c r="L295" s="829"/>
      <c r="M295" s="829"/>
      <c r="N295" s="36"/>
      <c r="O295" s="227"/>
      <c r="P295" s="871"/>
      <c r="Q295" s="39"/>
    </row>
    <row r="296" spans="1:17" ht="18.75">
      <c r="A296" s="829"/>
      <c r="B296" s="948">
        <v>45603</v>
      </c>
      <c r="C296" s="949" t="s">
        <v>482</v>
      </c>
      <c r="D296" s="491"/>
      <c r="E296" s="485"/>
      <c r="F296" s="621" t="s">
        <v>483</v>
      </c>
      <c r="G296" s="584">
        <v>9860</v>
      </c>
      <c r="H296" s="585" t="s">
        <v>484</v>
      </c>
      <c r="I296" s="586">
        <v>350</v>
      </c>
      <c r="J296" s="587">
        <f t="shared" ref="J296:J297" si="26">G296*I296</f>
        <v>3451000</v>
      </c>
      <c r="K296" s="219" t="s">
        <v>498</v>
      </c>
      <c r="L296" s="485">
        <v>45628</v>
      </c>
      <c r="M296" s="829"/>
      <c r="N296" s="36"/>
      <c r="O296" s="227"/>
      <c r="P296" s="871"/>
      <c r="Q296" s="39"/>
    </row>
    <row r="297" spans="1:17" ht="18.75">
      <c r="A297" s="829"/>
      <c r="B297" s="950"/>
      <c r="C297" s="951"/>
      <c r="D297" s="868"/>
      <c r="E297" s="866"/>
      <c r="F297" s="621" t="s">
        <v>497</v>
      </c>
      <c r="G297" s="584">
        <v>60</v>
      </c>
      <c r="H297" s="585" t="s">
        <v>484</v>
      </c>
      <c r="I297" s="586">
        <v>20000</v>
      </c>
      <c r="J297" s="587">
        <f t="shared" si="26"/>
        <v>1200000</v>
      </c>
      <c r="K297" s="849"/>
      <c r="L297" s="829"/>
      <c r="M297" s="829"/>
      <c r="N297" s="36"/>
      <c r="O297" s="227">
        <f>SUM(J296:J297)</f>
        <v>4651000</v>
      </c>
      <c r="P297" s="871" t="s">
        <v>487</v>
      </c>
      <c r="Q297" s="39"/>
    </row>
    <row r="298" spans="1:17" ht="18.75">
      <c r="A298" s="829"/>
      <c r="B298" s="950"/>
      <c r="C298" s="951"/>
      <c r="D298" s="868"/>
      <c r="E298" s="866"/>
      <c r="F298" s="621"/>
      <c r="G298" s="584"/>
      <c r="H298" s="585"/>
      <c r="I298" s="874"/>
      <c r="J298" s="875"/>
      <c r="K298" s="849"/>
      <c r="L298" s="829"/>
      <c r="M298" s="829"/>
      <c r="N298" s="36"/>
      <c r="O298" s="227"/>
      <c r="P298" s="848"/>
      <c r="Q298" s="39"/>
    </row>
    <row r="299" spans="1:17" ht="18.75">
      <c r="A299" s="829"/>
      <c r="B299" s="948">
        <v>45611</v>
      </c>
      <c r="C299" s="949" t="s">
        <v>482</v>
      </c>
      <c r="D299" s="491"/>
      <c r="E299" s="485"/>
      <c r="F299" s="621" t="s">
        <v>483</v>
      </c>
      <c r="G299" s="584">
        <v>2910</v>
      </c>
      <c r="H299" s="585" t="s">
        <v>484</v>
      </c>
      <c r="I299" s="586">
        <v>300</v>
      </c>
      <c r="J299" s="587">
        <f t="shared" ref="J299" si="27">G299*I299</f>
        <v>873000</v>
      </c>
      <c r="K299" s="219" t="s">
        <v>503</v>
      </c>
      <c r="L299" s="485">
        <v>45495</v>
      </c>
      <c r="M299" s="829"/>
      <c r="N299" s="36"/>
      <c r="O299" s="227">
        <f>SUM(J299)</f>
        <v>873000</v>
      </c>
      <c r="P299" s="848" t="s">
        <v>487</v>
      </c>
      <c r="Q299" s="39"/>
    </row>
    <row r="300" spans="1:17" ht="18.75">
      <c r="A300" s="829"/>
      <c r="B300" s="950"/>
      <c r="C300" s="951"/>
      <c r="D300" s="868"/>
      <c r="E300" s="866"/>
      <c r="F300" s="621"/>
      <c r="G300" s="584"/>
      <c r="H300" s="585"/>
      <c r="I300" s="874"/>
      <c r="J300" s="875"/>
      <c r="K300" s="849"/>
      <c r="L300" s="829"/>
      <c r="M300" s="829"/>
      <c r="N300" s="36"/>
      <c r="O300" s="227"/>
      <c r="P300" s="871"/>
      <c r="Q300" s="39"/>
    </row>
    <row r="301" spans="1:17" ht="18.75">
      <c r="A301" s="829"/>
      <c r="B301" s="948">
        <v>45628</v>
      </c>
      <c r="C301" s="949" t="s">
        <v>482</v>
      </c>
      <c r="D301" s="491"/>
      <c r="E301" s="485"/>
      <c r="F301" s="621" t="s">
        <v>483</v>
      </c>
      <c r="G301" s="584">
        <v>8188</v>
      </c>
      <c r="H301" s="585" t="s">
        <v>484</v>
      </c>
      <c r="I301" s="586">
        <v>350</v>
      </c>
      <c r="J301" s="587">
        <f t="shared" ref="J301:J302" si="28">G301*I301</f>
        <v>2865800</v>
      </c>
      <c r="K301" s="219" t="s">
        <v>496</v>
      </c>
      <c r="L301" s="485">
        <v>45628</v>
      </c>
      <c r="M301" s="829"/>
      <c r="N301" s="36"/>
      <c r="O301" s="227"/>
      <c r="P301" s="871"/>
      <c r="Q301" s="39"/>
    </row>
    <row r="302" spans="1:17" ht="18.75">
      <c r="A302" s="829"/>
      <c r="B302" s="950"/>
      <c r="C302" s="951"/>
      <c r="D302" s="868"/>
      <c r="E302" s="866"/>
      <c r="F302" s="621" t="s">
        <v>497</v>
      </c>
      <c r="G302" s="584">
        <v>106</v>
      </c>
      <c r="H302" s="585" t="s">
        <v>484</v>
      </c>
      <c r="I302" s="586">
        <v>9000</v>
      </c>
      <c r="J302" s="587">
        <f t="shared" si="28"/>
        <v>954000</v>
      </c>
      <c r="K302" s="849"/>
      <c r="L302" s="829"/>
      <c r="M302" s="829"/>
      <c r="N302" s="36"/>
      <c r="O302" s="227">
        <f>SUM(J301:J302)</f>
        <v>3819800</v>
      </c>
      <c r="P302" s="871" t="s">
        <v>487</v>
      </c>
      <c r="Q302" s="39"/>
    </row>
    <row r="303" spans="1:17" ht="18.75">
      <c r="A303" s="829"/>
      <c r="B303" s="950"/>
      <c r="C303" s="951"/>
      <c r="D303" s="868"/>
      <c r="E303" s="866"/>
      <c r="F303" s="621"/>
      <c r="G303" s="584"/>
      <c r="H303" s="585"/>
      <c r="I303" s="874"/>
      <c r="J303" s="875"/>
      <c r="K303" s="849"/>
      <c r="L303" s="829"/>
      <c r="M303" s="829"/>
      <c r="N303" s="36"/>
      <c r="O303" s="227"/>
      <c r="P303" s="871"/>
      <c r="Q303" s="39"/>
    </row>
    <row r="304" spans="1:17" ht="18.75">
      <c r="A304" s="829"/>
      <c r="B304" s="948">
        <v>45636</v>
      </c>
      <c r="C304" s="949" t="s">
        <v>482</v>
      </c>
      <c r="D304" s="491"/>
      <c r="E304" s="485"/>
      <c r="F304" s="621" t="s">
        <v>483</v>
      </c>
      <c r="G304" s="584">
        <v>2526</v>
      </c>
      <c r="H304" s="585" t="s">
        <v>484</v>
      </c>
      <c r="I304" s="586">
        <v>350</v>
      </c>
      <c r="J304" s="587">
        <f t="shared" ref="J304:J305" si="29">G304*I304</f>
        <v>884100</v>
      </c>
      <c r="K304" s="219" t="s">
        <v>499</v>
      </c>
      <c r="L304" s="485">
        <v>45636</v>
      </c>
      <c r="M304" s="829"/>
      <c r="N304" s="36"/>
      <c r="O304" s="227"/>
      <c r="P304" s="871"/>
      <c r="Q304" s="39"/>
    </row>
    <row r="305" spans="1:17" ht="18.75">
      <c r="A305" s="829"/>
      <c r="B305" s="950"/>
      <c r="C305" s="951"/>
      <c r="D305" s="868"/>
      <c r="E305" s="866"/>
      <c r="F305" s="621" t="s">
        <v>497</v>
      </c>
      <c r="G305" s="584">
        <v>50</v>
      </c>
      <c r="H305" s="585" t="s">
        <v>484</v>
      </c>
      <c r="I305" s="586">
        <v>9000</v>
      </c>
      <c r="J305" s="587">
        <f t="shared" si="29"/>
        <v>450000</v>
      </c>
      <c r="K305" s="849"/>
      <c r="L305" s="829"/>
      <c r="M305" s="829"/>
      <c r="N305" s="36"/>
      <c r="O305" s="227">
        <f>SUM(J304:J305)</f>
        <v>1334100</v>
      </c>
      <c r="P305" s="848" t="s">
        <v>487</v>
      </c>
      <c r="Q305" s="39"/>
    </row>
    <row r="306" spans="1:17" ht="18.75">
      <c r="A306" s="829"/>
      <c r="B306" s="950"/>
      <c r="C306" s="951"/>
      <c r="D306" s="868"/>
      <c r="E306" s="866"/>
      <c r="F306" s="621"/>
      <c r="G306" s="584"/>
      <c r="H306" s="585"/>
      <c r="I306" s="874"/>
      <c r="J306" s="875"/>
      <c r="K306" s="849"/>
      <c r="L306" s="829"/>
      <c r="M306" s="829"/>
      <c r="N306" s="36"/>
      <c r="O306" s="227"/>
      <c r="P306" s="871"/>
      <c r="Q306" s="39"/>
    </row>
    <row r="307" spans="1:17" ht="18.75">
      <c r="A307" s="829"/>
      <c r="B307" s="948">
        <v>45635</v>
      </c>
      <c r="C307" s="949" t="s">
        <v>482</v>
      </c>
      <c r="D307" s="491"/>
      <c r="E307" s="485"/>
      <c r="F307" s="621" t="s">
        <v>483</v>
      </c>
      <c r="G307" s="584">
        <v>12220</v>
      </c>
      <c r="H307" s="585" t="s">
        <v>484</v>
      </c>
      <c r="I307" s="586">
        <v>350</v>
      </c>
      <c r="J307" s="587">
        <f t="shared" ref="J307:J308" si="30">G307*I307</f>
        <v>4277000</v>
      </c>
      <c r="K307" s="219" t="s">
        <v>500</v>
      </c>
      <c r="L307" s="485">
        <v>45635</v>
      </c>
      <c r="M307" s="829"/>
      <c r="N307" s="36"/>
      <c r="O307" s="227"/>
      <c r="P307" s="871"/>
      <c r="Q307" s="39"/>
    </row>
    <row r="308" spans="1:17" ht="18.75">
      <c r="A308" s="829"/>
      <c r="B308" s="950"/>
      <c r="C308" s="951"/>
      <c r="D308" s="868"/>
      <c r="E308" s="866"/>
      <c r="F308" s="621" t="s">
        <v>497</v>
      </c>
      <c r="G308" s="584">
        <v>20</v>
      </c>
      <c r="H308" s="585" t="s">
        <v>484</v>
      </c>
      <c r="I308" s="586">
        <v>20000</v>
      </c>
      <c r="J308" s="587">
        <f t="shared" si="30"/>
        <v>400000</v>
      </c>
      <c r="K308" s="849"/>
      <c r="L308" s="829"/>
      <c r="M308" s="829"/>
      <c r="N308" s="36"/>
      <c r="O308" s="227">
        <f>SUM(J307:J308)</f>
        <v>4677000</v>
      </c>
      <c r="P308" s="848" t="s">
        <v>487</v>
      </c>
      <c r="Q308" s="39"/>
    </row>
    <row r="309" spans="1:17" ht="18.75">
      <c r="A309" s="829"/>
      <c r="B309" s="866"/>
      <c r="C309" s="867"/>
      <c r="D309" s="868"/>
      <c r="E309" s="866"/>
      <c r="F309" s="621"/>
      <c r="G309" s="584"/>
      <c r="H309" s="585"/>
      <c r="I309" s="874"/>
      <c r="J309" s="875"/>
      <c r="K309" s="849"/>
      <c r="L309" s="829"/>
      <c r="M309" s="829"/>
      <c r="N309" s="36"/>
      <c r="O309" s="227"/>
      <c r="P309" s="871"/>
      <c r="Q309" s="39"/>
    </row>
    <row r="310" spans="1:17" ht="18.75">
      <c r="A310" s="829"/>
      <c r="B310" s="958">
        <v>45971</v>
      </c>
      <c r="C310" s="432" t="s">
        <v>379</v>
      </c>
      <c r="D310" s="491"/>
      <c r="E310" s="485"/>
      <c r="F310" s="621" t="s">
        <v>483</v>
      </c>
      <c r="G310" s="584">
        <v>2000</v>
      </c>
      <c r="H310" s="585" t="s">
        <v>484</v>
      </c>
      <c r="I310" s="586">
        <v>349.65</v>
      </c>
      <c r="J310" s="587">
        <f t="shared" ref="J310" si="31">G310*I310</f>
        <v>699300</v>
      </c>
      <c r="K310" s="219" t="s">
        <v>592</v>
      </c>
      <c r="L310" s="485">
        <v>45971</v>
      </c>
      <c r="M310" s="829"/>
      <c r="N310" s="36"/>
      <c r="O310" s="227">
        <f>SUM(J310)</f>
        <v>699300</v>
      </c>
      <c r="P310" s="999" t="s">
        <v>593</v>
      </c>
      <c r="Q310" s="39"/>
    </row>
    <row r="311" spans="1:17" ht="18.75">
      <c r="A311" s="829"/>
      <c r="B311" s="866"/>
      <c r="C311" s="957"/>
      <c r="D311" s="868"/>
      <c r="E311" s="866"/>
      <c r="F311" s="621"/>
      <c r="G311" s="584"/>
      <c r="H311" s="585"/>
      <c r="I311" s="874"/>
      <c r="J311" s="875"/>
      <c r="K311" s="849"/>
      <c r="L311" s="829"/>
      <c r="M311" s="829"/>
      <c r="N311" s="36"/>
      <c r="O311" s="227"/>
      <c r="P311" s="871"/>
      <c r="Q311" s="39"/>
    </row>
    <row r="312" spans="1:17" ht="18.75">
      <c r="A312" s="59"/>
      <c r="B312" s="958">
        <v>45971</v>
      </c>
      <c r="C312" s="432" t="s">
        <v>379</v>
      </c>
      <c r="D312" s="491"/>
      <c r="E312" s="485"/>
      <c r="F312" s="621" t="s">
        <v>483</v>
      </c>
      <c r="G312" s="584">
        <v>2200</v>
      </c>
      <c r="H312" s="585" t="s">
        <v>484</v>
      </c>
      <c r="I312" s="586">
        <v>349.65</v>
      </c>
      <c r="J312" s="587">
        <f t="shared" ref="J312" si="32">G312*I312</f>
        <v>769230</v>
      </c>
      <c r="K312" s="219" t="s">
        <v>592</v>
      </c>
      <c r="L312" s="485">
        <v>45971</v>
      </c>
      <c r="M312" s="59"/>
      <c r="N312" s="36"/>
      <c r="O312" s="227">
        <f>SUM(J312)</f>
        <v>769230</v>
      </c>
      <c r="P312" s="999" t="s">
        <v>593</v>
      </c>
      <c r="Q312" s="39"/>
    </row>
    <row r="313" spans="1:17" ht="15.75">
      <c r="A313" s="59"/>
      <c r="B313" s="169"/>
      <c r="C313" s="59"/>
      <c r="D313" s="133"/>
      <c r="E313" s="169"/>
      <c r="F313" s="168"/>
      <c r="G313" s="220"/>
      <c r="H313" s="168"/>
      <c r="I313" s="225"/>
      <c r="J313" s="226"/>
      <c r="K313" s="133"/>
      <c r="L313" s="59"/>
      <c r="M313" s="59"/>
      <c r="N313" s="36"/>
      <c r="O313" s="84"/>
      <c r="P313" s="136"/>
      <c r="Q313" s="39"/>
    </row>
    <row r="314" spans="1:17" ht="18.75">
      <c r="A314" s="59"/>
      <c r="B314" s="215"/>
      <c r="C314" s="216"/>
      <c r="D314" s="427"/>
      <c r="E314" s="215"/>
      <c r="F314" s="612"/>
      <c r="G314" s="446"/>
      <c r="H314" s="439"/>
      <c r="I314" s="448"/>
      <c r="J314" s="449"/>
      <c r="K314" s="427"/>
      <c r="L314" s="215"/>
      <c r="M314" s="59"/>
      <c r="N314" s="36"/>
      <c r="O314" s="227"/>
      <c r="P314" s="873">
        <f>SUM(O277:O311)</f>
        <v>29096200</v>
      </c>
      <c r="Q314" s="39"/>
    </row>
    <row r="315" spans="1:17" ht="16.5" customHeight="1">
      <c r="A315" s="1129" t="s">
        <v>473</v>
      </c>
      <c r="B315" s="1129"/>
      <c r="C315" s="1129"/>
      <c r="D315" s="1129"/>
      <c r="E315" s="1129"/>
      <c r="F315" s="1129"/>
      <c r="G315" s="1129"/>
      <c r="H315" s="1129"/>
      <c r="I315" s="1129"/>
      <c r="J315" s="1129"/>
      <c r="K315" s="1129"/>
      <c r="L315" s="1129"/>
      <c r="M315" s="1129"/>
      <c r="N315" s="208"/>
      <c r="O315" s="196"/>
      <c r="P315" s="144"/>
      <c r="Q315" s="39"/>
    </row>
    <row r="316" spans="1:17" ht="15.75">
      <c r="A316" s="59"/>
      <c r="B316" s="169"/>
      <c r="C316" s="170"/>
      <c r="D316" s="133"/>
      <c r="E316" s="169"/>
      <c r="F316" s="170"/>
      <c r="G316" s="193"/>
      <c r="H316" s="167"/>
      <c r="I316" s="202"/>
      <c r="J316" s="209"/>
      <c r="K316" s="133"/>
      <c r="L316" s="59"/>
      <c r="M316" s="187"/>
      <c r="N316" s="195"/>
      <c r="O316" s="196"/>
      <c r="P316" s="143"/>
      <c r="Q316" s="39"/>
    </row>
    <row r="317" spans="1:17" ht="15.75">
      <c r="A317" s="829"/>
      <c r="B317" s="900"/>
      <c r="C317" s="881"/>
      <c r="D317" s="849"/>
      <c r="E317" s="900"/>
      <c r="F317" s="881"/>
      <c r="G317" s="919"/>
      <c r="H317" s="920"/>
      <c r="I317" s="921"/>
      <c r="J317" s="902"/>
      <c r="K317" s="849"/>
      <c r="L317" s="829"/>
      <c r="M317" s="922"/>
      <c r="N317" s="195"/>
      <c r="O317" s="196"/>
      <c r="P317" s="143"/>
      <c r="Q317" s="39"/>
    </row>
    <row r="318" spans="1:17" ht="18.75">
      <c r="A318" s="829"/>
      <c r="B318" s="830"/>
      <c r="C318" s="839"/>
      <c r="D318" s="831"/>
      <c r="E318" s="831"/>
      <c r="F318" s="903"/>
      <c r="G318" s="904"/>
      <c r="H318" s="905"/>
      <c r="I318" s="906"/>
      <c r="J318" s="888"/>
      <c r="K318" s="889"/>
      <c r="L318" s="830"/>
      <c r="M318" s="907"/>
      <c r="N318" s="195"/>
      <c r="O318" s="196"/>
      <c r="P318" s="137"/>
      <c r="Q318" s="39"/>
    </row>
    <row r="319" spans="1:17" ht="18.75">
      <c r="A319" s="829"/>
      <c r="B319" s="831"/>
      <c r="C319" s="831"/>
      <c r="D319" s="831"/>
      <c r="E319" s="831"/>
      <c r="F319" s="903"/>
      <c r="G319" s="904"/>
      <c r="H319" s="905"/>
      <c r="I319" s="906"/>
      <c r="J319" s="888"/>
      <c r="K319" s="889"/>
      <c r="L319" s="889"/>
      <c r="M319" s="907"/>
      <c r="N319" s="195"/>
      <c r="O319" s="196"/>
      <c r="P319" s="137"/>
      <c r="Q319" s="39"/>
    </row>
    <row r="320" spans="1:17" ht="18.75">
      <c r="A320" s="829"/>
      <c r="B320" s="831"/>
      <c r="C320" s="831"/>
      <c r="D320" s="831"/>
      <c r="E320" s="831"/>
      <c r="F320" s="903"/>
      <c r="G320" s="904"/>
      <c r="H320" s="905"/>
      <c r="I320" s="906"/>
      <c r="J320" s="888"/>
      <c r="K320" s="889"/>
      <c r="L320" s="889"/>
      <c r="M320" s="907"/>
      <c r="N320" s="195"/>
      <c r="O320" s="196"/>
      <c r="P320" s="137"/>
      <c r="Q320" s="39"/>
    </row>
    <row r="321" spans="1:17" ht="18.75">
      <c r="A321" s="829"/>
      <c r="B321" s="908"/>
      <c r="C321" s="908"/>
      <c r="D321" s="908"/>
      <c r="E321" s="908"/>
      <c r="F321" s="903"/>
      <c r="G321" s="904"/>
      <c r="H321" s="905"/>
      <c r="I321" s="906"/>
      <c r="J321" s="888"/>
      <c r="K321" s="909"/>
      <c r="L321" s="909"/>
      <c r="M321" s="907"/>
      <c r="N321" s="195"/>
      <c r="O321" s="196"/>
      <c r="P321" s="137"/>
      <c r="Q321" s="39"/>
    </row>
    <row r="322" spans="1:17" ht="18.75">
      <c r="A322" s="829"/>
      <c r="B322" s="908"/>
      <c r="C322" s="908"/>
      <c r="D322" s="908"/>
      <c r="E322" s="908"/>
      <c r="F322" s="903"/>
      <c r="G322" s="904"/>
      <c r="H322" s="905"/>
      <c r="I322" s="906"/>
      <c r="J322" s="888"/>
      <c r="K322" s="909"/>
      <c r="L322" s="909"/>
      <c r="M322" s="907"/>
      <c r="N322" s="195"/>
      <c r="O322" s="196"/>
      <c r="P322" s="910"/>
      <c r="Q322" s="39"/>
    </row>
    <row r="323" spans="1:17" ht="15.75">
      <c r="A323" s="829"/>
      <c r="B323" s="900"/>
      <c r="C323" s="881"/>
      <c r="D323" s="849"/>
      <c r="E323" s="900"/>
      <c r="F323" s="881"/>
      <c r="G323" s="919"/>
      <c r="H323" s="920"/>
      <c r="I323" s="921"/>
      <c r="J323" s="902"/>
      <c r="K323" s="849"/>
      <c r="L323" s="829"/>
      <c r="M323" s="922"/>
      <c r="N323" s="195"/>
      <c r="O323" s="196"/>
      <c r="P323" s="143"/>
      <c r="Q323" s="39"/>
    </row>
    <row r="324" spans="1:17" ht="15.75">
      <c r="A324" s="829"/>
      <c r="B324" s="900"/>
      <c r="C324" s="881"/>
      <c r="D324" s="849"/>
      <c r="E324" s="900"/>
      <c r="F324" s="881"/>
      <c r="G324" s="919"/>
      <c r="H324" s="920"/>
      <c r="I324" s="921"/>
      <c r="J324" s="902"/>
      <c r="K324" s="849"/>
      <c r="L324" s="829"/>
      <c r="M324" s="922"/>
      <c r="N324" s="195"/>
      <c r="O324" s="196"/>
      <c r="P324" s="143"/>
      <c r="Q324" s="39"/>
    </row>
    <row r="325" spans="1:17" ht="15.75">
      <c r="A325" s="829"/>
      <c r="B325" s="900"/>
      <c r="C325" s="881"/>
      <c r="D325" s="849"/>
      <c r="E325" s="900"/>
      <c r="F325" s="881"/>
      <c r="G325" s="919"/>
      <c r="H325" s="920"/>
      <c r="I325" s="921"/>
      <c r="J325" s="902"/>
      <c r="K325" s="849"/>
      <c r="L325" s="829"/>
      <c r="M325" s="922"/>
      <c r="N325" s="195"/>
      <c r="O325" s="196"/>
      <c r="P325" s="143"/>
      <c r="Q325" s="39"/>
    </row>
    <row r="326" spans="1:17" ht="15.75">
      <c r="A326" s="829"/>
      <c r="B326" s="900"/>
      <c r="C326" s="881"/>
      <c r="D326" s="849"/>
      <c r="E326" s="900"/>
      <c r="F326" s="881"/>
      <c r="G326" s="919"/>
      <c r="H326" s="920"/>
      <c r="I326" s="921"/>
      <c r="J326" s="902"/>
      <c r="K326" s="849"/>
      <c r="L326" s="829"/>
      <c r="M326" s="922"/>
      <c r="N326" s="195"/>
      <c r="O326" s="196"/>
      <c r="P326" s="143"/>
      <c r="Q326" s="39"/>
    </row>
    <row r="327" spans="1:17" ht="18.75">
      <c r="A327" s="829"/>
      <c r="B327" s="830">
        <v>46090</v>
      </c>
      <c r="C327" s="839" t="s">
        <v>709</v>
      </c>
      <c r="D327" s="831"/>
      <c r="E327" s="831"/>
      <c r="F327" s="903" t="s">
        <v>712</v>
      </c>
      <c r="G327" s="904">
        <v>6</v>
      </c>
      <c r="H327" s="905" t="s">
        <v>19</v>
      </c>
      <c r="I327" s="906">
        <v>94350</v>
      </c>
      <c r="J327" s="888">
        <f t="shared" ref="J327:J333" si="33">I327*G327</f>
        <v>566100</v>
      </c>
      <c r="K327" s="219" t="s">
        <v>710</v>
      </c>
      <c r="L327" s="485">
        <v>46091</v>
      </c>
      <c r="M327" s="829"/>
      <c r="N327" s="195"/>
      <c r="O327" s="196"/>
      <c r="P327" s="137"/>
      <c r="Q327" s="39"/>
    </row>
    <row r="328" spans="1:17" ht="18.75">
      <c r="A328" s="829"/>
      <c r="B328" s="831"/>
      <c r="C328" s="831"/>
      <c r="D328" s="831"/>
      <c r="E328" s="831"/>
      <c r="F328" s="903" t="s">
        <v>713</v>
      </c>
      <c r="G328" s="904">
        <v>6</v>
      </c>
      <c r="H328" s="905" t="s">
        <v>19</v>
      </c>
      <c r="I328" s="906">
        <v>88800</v>
      </c>
      <c r="J328" s="888">
        <f t="shared" si="33"/>
        <v>532800</v>
      </c>
      <c r="K328" s="889"/>
      <c r="L328" s="889"/>
      <c r="M328" s="907"/>
      <c r="N328" s="195"/>
      <c r="O328" s="196"/>
      <c r="P328" s="137"/>
      <c r="Q328" s="39"/>
    </row>
    <row r="329" spans="1:17" ht="18.75">
      <c r="A329" s="829"/>
      <c r="B329" s="831"/>
      <c r="C329" s="831"/>
      <c r="D329" s="831"/>
      <c r="E329" s="831"/>
      <c r="F329" s="903" t="s">
        <v>714</v>
      </c>
      <c r="G329" s="904">
        <v>2</v>
      </c>
      <c r="H329" s="905" t="s">
        <v>19</v>
      </c>
      <c r="I329" s="906">
        <v>83250</v>
      </c>
      <c r="J329" s="888">
        <f t="shared" si="33"/>
        <v>166500</v>
      </c>
      <c r="K329" s="889"/>
      <c r="L329" s="889"/>
      <c r="M329" s="907"/>
      <c r="N329" s="195"/>
      <c r="O329" s="196"/>
      <c r="P329" s="137"/>
      <c r="Q329" s="39"/>
    </row>
    <row r="330" spans="1:17" ht="18.75">
      <c r="A330" s="829"/>
      <c r="B330" s="908"/>
      <c r="C330" s="908"/>
      <c r="D330" s="908"/>
      <c r="E330" s="908"/>
      <c r="F330" s="903" t="s">
        <v>715</v>
      </c>
      <c r="G330" s="904">
        <v>6</v>
      </c>
      <c r="H330" s="905" t="s">
        <v>19</v>
      </c>
      <c r="I330" s="906">
        <v>144300</v>
      </c>
      <c r="J330" s="888">
        <f t="shared" si="33"/>
        <v>865800</v>
      </c>
      <c r="K330" s="909"/>
      <c r="L330" s="909"/>
      <c r="M330" s="907"/>
      <c r="N330" s="195"/>
      <c r="O330" s="196"/>
      <c r="P330" s="137"/>
      <c r="Q330" s="39"/>
    </row>
    <row r="331" spans="1:17" ht="18.75">
      <c r="A331" s="829"/>
      <c r="B331" s="908"/>
      <c r="C331" s="908"/>
      <c r="D331" s="908"/>
      <c r="E331" s="908"/>
      <c r="F331" s="903" t="s">
        <v>509</v>
      </c>
      <c r="G331" s="904">
        <v>24</v>
      </c>
      <c r="H331" s="905" t="s">
        <v>19</v>
      </c>
      <c r="I331" s="906">
        <v>61050</v>
      </c>
      <c r="J331" s="888">
        <f t="shared" si="33"/>
        <v>1465200</v>
      </c>
      <c r="K331" s="909"/>
      <c r="L331" s="909"/>
      <c r="M331" s="907"/>
      <c r="N331" s="195"/>
      <c r="O331" s="196"/>
      <c r="P331" s="137"/>
      <c r="Q331" s="39"/>
    </row>
    <row r="332" spans="1:17" ht="18.75">
      <c r="A332" s="829"/>
      <c r="B332" s="908"/>
      <c r="C332" s="908"/>
      <c r="D332" s="908"/>
      <c r="E332" s="908"/>
      <c r="F332" s="903" t="s">
        <v>508</v>
      </c>
      <c r="G332" s="904">
        <v>6</v>
      </c>
      <c r="H332" s="905" t="s">
        <v>19</v>
      </c>
      <c r="I332" s="906">
        <v>61050</v>
      </c>
      <c r="J332" s="888">
        <f t="shared" si="33"/>
        <v>366300</v>
      </c>
      <c r="K332" s="909"/>
      <c r="L332" s="909"/>
      <c r="M332" s="907"/>
      <c r="N332" s="195"/>
      <c r="O332" s="196"/>
      <c r="P332" s="137"/>
      <c r="Q332" s="39"/>
    </row>
    <row r="333" spans="1:17" ht="18.75">
      <c r="A333" s="829"/>
      <c r="B333" s="908"/>
      <c r="C333" s="908"/>
      <c r="D333" s="908"/>
      <c r="E333" s="908"/>
      <c r="F333" s="903" t="s">
        <v>716</v>
      </c>
      <c r="G333" s="904">
        <v>10</v>
      </c>
      <c r="H333" s="905" t="s">
        <v>19</v>
      </c>
      <c r="I333" s="906">
        <v>83250</v>
      </c>
      <c r="J333" s="888">
        <f t="shared" si="33"/>
        <v>832500</v>
      </c>
      <c r="K333" s="909"/>
      <c r="L333" s="909"/>
      <c r="M333" s="907"/>
      <c r="N333" s="195"/>
      <c r="O333" s="196">
        <f>SUM(J327:J333)</f>
        <v>4795200</v>
      </c>
      <c r="P333" s="910" t="s">
        <v>711</v>
      </c>
      <c r="Q333" s="39"/>
    </row>
    <row r="334" spans="1:17" ht="18.75">
      <c r="A334" s="829"/>
      <c r="B334" s="911"/>
      <c r="C334" s="911"/>
      <c r="D334" s="911"/>
      <c r="E334" s="912"/>
      <c r="F334" s="913"/>
      <c r="G334" s="914"/>
      <c r="H334" s="915"/>
      <c r="I334" s="916"/>
      <c r="J334" s="917"/>
      <c r="K334" s="911"/>
      <c r="L334" s="911"/>
      <c r="M334" s="907"/>
      <c r="N334" s="195"/>
      <c r="O334" s="196"/>
      <c r="P334" s="137"/>
      <c r="Q334" s="39"/>
    </row>
    <row r="335" spans="1:17" ht="18.75">
      <c r="A335" s="829"/>
      <c r="B335" s="911"/>
      <c r="C335" s="911"/>
      <c r="D335" s="911"/>
      <c r="E335" s="912"/>
      <c r="F335" s="913"/>
      <c r="G335" s="914"/>
      <c r="H335" s="915"/>
      <c r="I335" s="916"/>
      <c r="J335" s="917"/>
      <c r="K335" s="911"/>
      <c r="L335" s="911"/>
      <c r="M335" s="907"/>
      <c r="N335" s="195"/>
      <c r="O335" s="196"/>
      <c r="P335" s="137"/>
      <c r="Q335" s="39"/>
    </row>
    <row r="336" spans="1:17" ht="18.75">
      <c r="A336" s="829"/>
      <c r="B336" s="830">
        <v>45614</v>
      </c>
      <c r="C336" s="839" t="s">
        <v>512</v>
      </c>
      <c r="D336" s="831"/>
      <c r="E336" s="831"/>
      <c r="F336" s="903" t="s">
        <v>511</v>
      </c>
      <c r="G336" s="904">
        <v>1</v>
      </c>
      <c r="H336" s="905" t="s">
        <v>19</v>
      </c>
      <c r="I336" s="906">
        <v>74000</v>
      </c>
      <c r="J336" s="888">
        <f>I336*G336</f>
        <v>74000</v>
      </c>
      <c r="K336" s="492" t="s">
        <v>513</v>
      </c>
      <c r="L336" s="832">
        <v>45614</v>
      </c>
      <c r="M336" s="907"/>
      <c r="N336" s="195"/>
      <c r="O336" s="196"/>
      <c r="P336" s="137"/>
      <c r="Q336" s="39"/>
    </row>
    <row r="337" spans="1:17" ht="18.75">
      <c r="A337" s="829"/>
      <c r="B337" s="831"/>
      <c r="C337" s="831"/>
      <c r="D337" s="831"/>
      <c r="E337" s="831"/>
      <c r="F337" s="903" t="s">
        <v>509</v>
      </c>
      <c r="G337" s="904">
        <v>3</v>
      </c>
      <c r="H337" s="905" t="s">
        <v>19</v>
      </c>
      <c r="I337" s="906">
        <v>69500</v>
      </c>
      <c r="J337" s="888">
        <f>I337*G337</f>
        <v>208500</v>
      </c>
      <c r="K337" s="889"/>
      <c r="L337" s="889"/>
      <c r="M337" s="907"/>
      <c r="N337" s="195"/>
      <c r="O337" s="196"/>
      <c r="P337" s="137"/>
      <c r="Q337" s="39"/>
    </row>
    <row r="338" spans="1:17" ht="18.75">
      <c r="A338" s="829"/>
      <c r="B338" s="831"/>
      <c r="C338" s="831"/>
      <c r="D338" s="831"/>
      <c r="E338" s="831"/>
      <c r="F338" s="903" t="s">
        <v>510</v>
      </c>
      <c r="G338" s="904">
        <v>3</v>
      </c>
      <c r="H338" s="905" t="s">
        <v>19</v>
      </c>
      <c r="I338" s="906">
        <v>85000</v>
      </c>
      <c r="J338" s="888">
        <f>I338*G338</f>
        <v>255000</v>
      </c>
      <c r="K338" s="889"/>
      <c r="L338" s="889"/>
      <c r="M338" s="907"/>
      <c r="N338" s="195"/>
      <c r="O338" s="196"/>
      <c r="P338" s="137"/>
      <c r="Q338" s="39"/>
    </row>
    <row r="339" spans="1:17" ht="18.75">
      <c r="A339" s="829"/>
      <c r="B339" s="908"/>
      <c r="C339" s="908"/>
      <c r="D339" s="908"/>
      <c r="E339" s="908"/>
      <c r="F339" s="903" t="s">
        <v>514</v>
      </c>
      <c r="G339" s="904">
        <v>3</v>
      </c>
      <c r="H339" s="905" t="s">
        <v>19</v>
      </c>
      <c r="I339" s="906">
        <v>100000</v>
      </c>
      <c r="J339" s="888">
        <f>I339*G339</f>
        <v>300000</v>
      </c>
      <c r="K339" s="909"/>
      <c r="L339" s="909"/>
      <c r="M339" s="907"/>
      <c r="N339" s="195"/>
      <c r="O339" s="196"/>
      <c r="P339" s="137"/>
      <c r="Q339" s="39"/>
    </row>
    <row r="340" spans="1:17" ht="18.75">
      <c r="A340" s="829"/>
      <c r="B340" s="908"/>
      <c r="C340" s="908"/>
      <c r="D340" s="908"/>
      <c r="E340" s="908"/>
      <c r="F340" s="903" t="s">
        <v>515</v>
      </c>
      <c r="G340" s="904">
        <v>3</v>
      </c>
      <c r="H340" s="905" t="s">
        <v>19</v>
      </c>
      <c r="I340" s="906">
        <v>70000</v>
      </c>
      <c r="J340" s="888">
        <f>I340*G340</f>
        <v>210000</v>
      </c>
      <c r="K340" s="909"/>
      <c r="L340" s="909"/>
      <c r="M340" s="907"/>
      <c r="N340" s="195"/>
      <c r="O340" s="196">
        <f>SUM(J336:J340)</f>
        <v>1047500</v>
      </c>
      <c r="P340" s="918" t="s">
        <v>516</v>
      </c>
      <c r="Q340" s="39"/>
    </row>
    <row r="341" spans="1:17" ht="15.75">
      <c r="A341" s="829"/>
      <c r="B341" s="900"/>
      <c r="C341" s="881"/>
      <c r="D341" s="849"/>
      <c r="E341" s="900"/>
      <c r="F341" s="675"/>
      <c r="G341" s="901"/>
      <c r="H341" s="677"/>
      <c r="I341" s="678"/>
      <c r="J341" s="902"/>
      <c r="K341" s="849"/>
      <c r="L341" s="829"/>
      <c r="M341" s="858"/>
      <c r="N341" s="195"/>
      <c r="O341" s="196"/>
      <c r="P341" s="143"/>
      <c r="Q341" s="39"/>
    </row>
    <row r="342" spans="1:17" ht="15.75">
      <c r="A342" s="829"/>
      <c r="B342" s="900"/>
      <c r="C342" s="881"/>
      <c r="D342" s="849"/>
      <c r="E342" s="900"/>
      <c r="F342" s="675"/>
      <c r="G342" s="901"/>
      <c r="H342" s="677"/>
      <c r="I342" s="678"/>
      <c r="J342" s="902"/>
      <c r="K342" s="849"/>
      <c r="L342" s="829"/>
      <c r="M342" s="858"/>
      <c r="N342" s="195"/>
      <c r="O342" s="196"/>
      <c r="P342" s="143"/>
      <c r="Q342" s="39"/>
    </row>
    <row r="343" spans="1:17" ht="15.75">
      <c r="A343" s="829"/>
      <c r="B343" s="900"/>
      <c r="C343" s="881"/>
      <c r="D343" s="849"/>
      <c r="E343" s="900"/>
      <c r="F343" s="675"/>
      <c r="G343" s="901"/>
      <c r="H343" s="677"/>
      <c r="I343" s="678"/>
      <c r="J343" s="902"/>
      <c r="K343" s="849"/>
      <c r="L343" s="829"/>
      <c r="M343" s="858"/>
      <c r="N343" s="195"/>
      <c r="O343" s="196"/>
      <c r="P343" s="143"/>
      <c r="Q343" s="39"/>
    </row>
    <row r="344" spans="1:17" ht="15.75">
      <c r="A344" s="829"/>
      <c r="B344" s="900"/>
      <c r="C344" s="881"/>
      <c r="D344" s="849"/>
      <c r="E344" s="900"/>
      <c r="F344" s="675"/>
      <c r="G344" s="901"/>
      <c r="H344" s="677"/>
      <c r="I344" s="678"/>
      <c r="J344" s="902"/>
      <c r="K344" s="849"/>
      <c r="L344" s="829"/>
      <c r="M344" s="858"/>
      <c r="N344" s="195"/>
      <c r="O344" s="196"/>
      <c r="P344" s="143"/>
      <c r="Q344" s="39"/>
    </row>
    <row r="345" spans="1:17" ht="15.75">
      <c r="A345" s="829"/>
      <c r="B345" s="900"/>
      <c r="C345" s="881"/>
      <c r="D345" s="849"/>
      <c r="E345" s="900"/>
      <c r="F345" s="675"/>
      <c r="G345" s="901"/>
      <c r="H345" s="677"/>
      <c r="I345" s="678"/>
      <c r="J345" s="902"/>
      <c r="K345" s="849"/>
      <c r="L345" s="829"/>
      <c r="M345" s="858"/>
      <c r="N345" s="195"/>
      <c r="O345" s="196"/>
      <c r="P345" s="143"/>
      <c r="Q345" s="39"/>
    </row>
    <row r="346" spans="1:17" ht="15.75">
      <c r="A346" s="829"/>
      <c r="B346" s="900"/>
      <c r="C346" s="881"/>
      <c r="D346" s="849"/>
      <c r="E346" s="900"/>
      <c r="F346" s="675"/>
      <c r="G346" s="901"/>
      <c r="H346" s="677"/>
      <c r="I346" s="678"/>
      <c r="J346" s="902"/>
      <c r="K346" s="849"/>
      <c r="L346" s="829"/>
      <c r="M346" s="858"/>
      <c r="N346" s="195"/>
      <c r="O346" s="196"/>
      <c r="P346" s="143"/>
      <c r="Q346" s="39"/>
    </row>
    <row r="347" spans="1:17" ht="15.75">
      <c r="A347" s="59"/>
      <c r="B347" s="169"/>
      <c r="C347" s="170"/>
      <c r="D347" s="133"/>
      <c r="E347" s="169"/>
      <c r="F347" s="675"/>
      <c r="G347" s="676"/>
      <c r="H347" s="677"/>
      <c r="I347" s="678"/>
      <c r="J347" s="209"/>
      <c r="K347" s="133"/>
      <c r="L347" s="59"/>
      <c r="M347" s="187"/>
      <c r="N347" s="195"/>
      <c r="O347" s="196"/>
      <c r="P347" s="143"/>
      <c r="Q347" s="39"/>
    </row>
    <row r="348" spans="1:17" ht="18.75">
      <c r="A348" s="59"/>
      <c r="B348" s="215"/>
      <c r="C348" s="216"/>
      <c r="D348" s="133"/>
      <c r="E348" s="222"/>
      <c r="F348" s="464"/>
      <c r="G348" s="431"/>
      <c r="H348" s="447"/>
      <c r="I348" s="451"/>
      <c r="J348" s="224"/>
      <c r="K348" s="219"/>
      <c r="L348" s="429"/>
      <c r="M348" s="228"/>
      <c r="N348" s="195"/>
      <c r="O348" s="196"/>
      <c r="P348" s="143"/>
      <c r="Q348" s="39"/>
    </row>
    <row r="349" spans="1:17" ht="18.75">
      <c r="A349" s="59"/>
      <c r="B349" s="221"/>
      <c r="C349" s="133"/>
      <c r="D349" s="133"/>
      <c r="E349" s="222"/>
      <c r="F349" s="464"/>
      <c r="G349" s="561"/>
      <c r="H349" s="562"/>
      <c r="I349" s="671"/>
      <c r="J349" s="224"/>
      <c r="K349" s="133"/>
      <c r="L349" s="221"/>
      <c r="M349" s="228"/>
      <c r="N349" s="195"/>
      <c r="O349" s="196"/>
      <c r="P349" s="143"/>
      <c r="Q349" s="39"/>
    </row>
    <row r="350" spans="1:17" ht="18.75">
      <c r="A350" s="59"/>
      <c r="B350" s="221"/>
      <c r="C350" s="133"/>
      <c r="D350" s="133"/>
      <c r="E350" s="222"/>
      <c r="F350" s="464"/>
      <c r="G350" s="561"/>
      <c r="H350" s="562"/>
      <c r="I350" s="672"/>
      <c r="J350" s="224"/>
      <c r="K350" s="133"/>
      <c r="L350" s="221"/>
      <c r="M350" s="228"/>
      <c r="N350" s="195"/>
      <c r="O350" s="196"/>
      <c r="P350" s="143"/>
      <c r="Q350" s="39"/>
    </row>
    <row r="351" spans="1:17" ht="18.75">
      <c r="A351" s="59"/>
      <c r="B351" s="221"/>
      <c r="C351" s="133"/>
      <c r="D351" s="133"/>
      <c r="E351" s="222"/>
      <c r="F351" s="674"/>
      <c r="G351" s="431"/>
      <c r="H351" s="670"/>
      <c r="I351" s="451"/>
      <c r="J351" s="224"/>
      <c r="K351" s="133"/>
      <c r="L351" s="221"/>
      <c r="M351" s="228"/>
      <c r="N351" s="195"/>
      <c r="O351" s="196"/>
      <c r="P351" s="143"/>
      <c r="Q351" s="39"/>
    </row>
    <row r="352" spans="1:17" ht="18.75">
      <c r="A352" s="59"/>
      <c r="B352" s="221"/>
      <c r="C352" s="133"/>
      <c r="D352" s="133"/>
      <c r="E352" s="222"/>
      <c r="F352" s="465"/>
      <c r="G352" s="431"/>
      <c r="H352" s="670"/>
      <c r="I352" s="578"/>
      <c r="J352" s="224"/>
      <c r="K352" s="133"/>
      <c r="L352" s="221"/>
      <c r="M352" s="228"/>
      <c r="N352" s="195"/>
      <c r="O352" s="196"/>
      <c r="P352" s="143"/>
      <c r="Q352" s="39"/>
    </row>
    <row r="353" spans="1:17" ht="18.75">
      <c r="A353" s="1129" t="s">
        <v>474</v>
      </c>
      <c r="B353" s="1129"/>
      <c r="C353" s="1129"/>
      <c r="D353" s="1129"/>
      <c r="E353" s="1129"/>
      <c r="F353" s="1129"/>
      <c r="G353" s="1129"/>
      <c r="H353" s="1129"/>
      <c r="I353" s="1129"/>
      <c r="J353" s="1129"/>
      <c r="K353" s="1129"/>
      <c r="L353" s="1129"/>
      <c r="M353" s="1129"/>
      <c r="N353" s="195"/>
      <c r="O353" s="196"/>
      <c r="P353" s="143"/>
      <c r="Q353" s="39"/>
    </row>
    <row r="354" spans="1:17" ht="18.75">
      <c r="A354" s="59"/>
      <c r="B354" s="221"/>
      <c r="C354" s="133"/>
      <c r="D354" s="133"/>
      <c r="E354" s="222"/>
      <c r="F354" s="465"/>
      <c r="G354" s="431"/>
      <c r="H354" s="670"/>
      <c r="I354" s="451"/>
      <c r="J354" s="224"/>
      <c r="K354" s="133"/>
      <c r="L354" s="221"/>
      <c r="M354" s="228"/>
      <c r="N354" s="195"/>
      <c r="O354" s="196"/>
      <c r="P354" s="143"/>
      <c r="Q354" s="39"/>
    </row>
    <row r="355" spans="1:17" ht="18.75">
      <c r="A355" s="59"/>
      <c r="B355" s="221"/>
      <c r="C355" s="133"/>
      <c r="D355" s="133"/>
      <c r="E355" s="222"/>
      <c r="F355" s="465"/>
      <c r="G355" s="431"/>
      <c r="H355" s="670"/>
      <c r="I355" s="451"/>
      <c r="J355" s="224"/>
      <c r="K355" s="133"/>
      <c r="L355" s="221"/>
      <c r="M355" s="228"/>
      <c r="N355" s="195"/>
      <c r="O355" s="196"/>
      <c r="P355" s="143"/>
      <c r="Q355" s="39"/>
    </row>
    <row r="356" spans="1:17" ht="18.75">
      <c r="A356" s="59"/>
      <c r="B356" s="830"/>
      <c r="C356" s="839"/>
      <c r="D356" s="831"/>
      <c r="E356" s="831"/>
      <c r="F356" s="903"/>
      <c r="G356" s="904"/>
      <c r="H356" s="905"/>
      <c r="I356" s="906"/>
      <c r="J356" s="888"/>
      <c r="K356" s="889"/>
      <c r="L356" s="830"/>
      <c r="M356" s="228"/>
      <c r="N356" s="195"/>
      <c r="O356" s="196"/>
      <c r="P356" s="143"/>
      <c r="Q356" s="39"/>
    </row>
    <row r="357" spans="1:17" ht="18.75">
      <c r="A357" s="59"/>
      <c r="B357" s="831"/>
      <c r="C357" s="831"/>
      <c r="D357" s="831"/>
      <c r="E357" s="831"/>
      <c r="F357" s="903"/>
      <c r="G357" s="904"/>
      <c r="H357" s="905"/>
      <c r="I357" s="906"/>
      <c r="J357" s="888"/>
      <c r="K357" s="889"/>
      <c r="L357" s="889"/>
      <c r="M357" s="228"/>
      <c r="N357" s="195"/>
      <c r="O357" s="196"/>
      <c r="P357" s="923"/>
      <c r="Q357" s="39"/>
    </row>
    <row r="358" spans="1:17" ht="18.75">
      <c r="A358" s="59"/>
      <c r="B358" s="831"/>
      <c r="C358" s="831"/>
      <c r="D358" s="831"/>
      <c r="E358" s="831"/>
      <c r="F358" s="903"/>
      <c r="G358" s="904"/>
      <c r="H358" s="905"/>
      <c r="I358" s="906"/>
      <c r="J358" s="888"/>
      <c r="K358" s="889"/>
      <c r="L358" s="889"/>
      <c r="M358" s="228"/>
      <c r="N358" s="195"/>
      <c r="O358" s="196"/>
      <c r="P358" s="143"/>
      <c r="Q358" s="39"/>
    </row>
    <row r="359" spans="1:17" ht="18.75">
      <c r="A359" s="59"/>
      <c r="B359" s="221"/>
      <c r="C359" s="133"/>
      <c r="D359" s="133"/>
      <c r="E359" s="222"/>
      <c r="F359" s="465"/>
      <c r="G359" s="431"/>
      <c r="H359" s="670"/>
      <c r="I359" s="451"/>
      <c r="J359" s="224"/>
      <c r="K359" s="133"/>
      <c r="L359" s="221"/>
      <c r="M359" s="228"/>
      <c r="N359" s="195"/>
      <c r="O359" s="196"/>
      <c r="P359" s="143"/>
      <c r="Q359" s="39"/>
    </row>
    <row r="360" spans="1:17" ht="18.75">
      <c r="A360" s="59"/>
      <c r="B360" s="830">
        <v>45796</v>
      </c>
      <c r="C360" s="839"/>
      <c r="D360" s="831"/>
      <c r="E360" s="831"/>
      <c r="F360" s="903" t="s">
        <v>517</v>
      </c>
      <c r="G360" s="904">
        <v>2</v>
      </c>
      <c r="H360" s="905" t="s">
        <v>19</v>
      </c>
      <c r="I360" s="906">
        <v>88800</v>
      </c>
      <c r="J360" s="888">
        <f>I360*G360</f>
        <v>177600</v>
      </c>
      <c r="K360" s="219" t="s">
        <v>600</v>
      </c>
      <c r="L360" s="485">
        <v>45796</v>
      </c>
      <c r="M360" s="228"/>
      <c r="N360" s="195"/>
      <c r="O360" s="196"/>
      <c r="P360" s="143"/>
      <c r="Q360" s="39"/>
    </row>
    <row r="361" spans="1:17" ht="18.75">
      <c r="A361" s="59"/>
      <c r="B361" s="831"/>
      <c r="C361" s="831"/>
      <c r="D361" s="831"/>
      <c r="E361" s="831"/>
      <c r="F361" s="903" t="s">
        <v>599</v>
      </c>
      <c r="G361" s="904">
        <v>2</v>
      </c>
      <c r="H361" s="905" t="s">
        <v>19</v>
      </c>
      <c r="I361" s="906">
        <v>38850</v>
      </c>
      <c r="J361" s="888">
        <f>I361*G361</f>
        <v>77700</v>
      </c>
      <c r="K361" s="889"/>
      <c r="L361" s="889"/>
      <c r="M361" s="228"/>
      <c r="N361" s="195"/>
      <c r="O361" s="196">
        <f>SUM(J360:J361)</f>
        <v>255300</v>
      </c>
      <c r="P361" s="923" t="s">
        <v>485</v>
      </c>
      <c r="Q361" s="39"/>
    </row>
    <row r="362" spans="1:17" ht="18.75">
      <c r="A362" s="59"/>
      <c r="B362" s="831"/>
      <c r="C362" s="831"/>
      <c r="D362" s="831"/>
      <c r="E362" s="831"/>
      <c r="F362" s="903"/>
      <c r="G362" s="904"/>
      <c r="H362" s="905"/>
      <c r="I362" s="906"/>
      <c r="J362" s="888"/>
      <c r="K362" s="889"/>
      <c r="L362" s="889"/>
      <c r="M362" s="228"/>
      <c r="N362" s="195"/>
      <c r="O362" s="196"/>
      <c r="P362" s="923"/>
      <c r="Q362" s="39"/>
    </row>
    <row r="363" spans="1:17" ht="18.75">
      <c r="A363" s="829"/>
      <c r="B363" s="831"/>
      <c r="C363" s="831"/>
      <c r="D363" s="831"/>
      <c r="E363" s="831"/>
      <c r="F363" s="903"/>
      <c r="G363" s="904"/>
      <c r="H363" s="905"/>
      <c r="I363" s="906"/>
      <c r="J363" s="888"/>
      <c r="K363" s="889"/>
      <c r="L363" s="889"/>
      <c r="M363" s="1002"/>
      <c r="N363" s="195"/>
      <c r="O363" s="196"/>
      <c r="P363" s="923"/>
      <c r="Q363" s="39"/>
    </row>
    <row r="364" spans="1:17" ht="18.75">
      <c r="A364" s="829"/>
      <c r="B364" s="830">
        <v>45838</v>
      </c>
      <c r="C364" s="839"/>
      <c r="D364" s="831"/>
      <c r="E364" s="831"/>
      <c r="F364" s="903" t="s">
        <v>602</v>
      </c>
      <c r="G364" s="904">
        <v>4</v>
      </c>
      <c r="H364" s="905" t="s">
        <v>19</v>
      </c>
      <c r="I364" s="906">
        <v>69496</v>
      </c>
      <c r="J364" s="888">
        <f>I364*G364</f>
        <v>277984</v>
      </c>
      <c r="K364" s="219" t="s">
        <v>601</v>
      </c>
      <c r="L364" s="485">
        <v>45838</v>
      </c>
      <c r="M364" s="228"/>
      <c r="N364" s="195"/>
      <c r="O364" s="1003"/>
      <c r="P364" s="143"/>
      <c r="Q364" s="39"/>
    </row>
    <row r="365" spans="1:17" ht="18.75">
      <c r="A365" s="829"/>
      <c r="B365" s="830"/>
      <c r="C365" s="839"/>
      <c r="D365" s="831"/>
      <c r="E365" s="831"/>
      <c r="F365" s="903" t="s">
        <v>603</v>
      </c>
      <c r="G365" s="904">
        <v>4</v>
      </c>
      <c r="H365" s="905" t="s">
        <v>19</v>
      </c>
      <c r="I365" s="906">
        <v>51060</v>
      </c>
      <c r="J365" s="888">
        <f>I365*G365</f>
        <v>204240</v>
      </c>
      <c r="K365" s="845"/>
      <c r="L365" s="876"/>
      <c r="M365" s="1002"/>
      <c r="N365" s="195"/>
      <c r="O365" s="1003"/>
      <c r="P365" s="143"/>
      <c r="Q365" s="39"/>
    </row>
    <row r="366" spans="1:17" ht="18.75">
      <c r="A366" s="829"/>
      <c r="B366" s="831"/>
      <c r="C366" s="831"/>
      <c r="D366" s="831"/>
      <c r="E366" s="831"/>
      <c r="F366" s="903" t="s">
        <v>604</v>
      </c>
      <c r="G366" s="904">
        <v>4</v>
      </c>
      <c r="H366" s="905" t="s">
        <v>19</v>
      </c>
      <c r="I366" s="906">
        <v>124431</v>
      </c>
      <c r="J366" s="888">
        <f>I366*G366</f>
        <v>497724</v>
      </c>
      <c r="K366" s="889"/>
      <c r="L366" s="889"/>
      <c r="M366" s="228"/>
      <c r="N366" s="195"/>
      <c r="O366" s="196">
        <f>SUM(J364:J366)</f>
        <v>979948</v>
      </c>
      <c r="P366" s="923" t="s">
        <v>485</v>
      </c>
      <c r="Q366" s="39"/>
    </row>
    <row r="367" spans="1:17" ht="18.75">
      <c r="A367" s="829"/>
      <c r="B367" s="831"/>
      <c r="C367" s="831"/>
      <c r="D367" s="831"/>
      <c r="E367" s="831"/>
      <c r="F367" s="903"/>
      <c r="G367" s="904"/>
      <c r="H367" s="905"/>
      <c r="I367" s="906"/>
      <c r="J367" s="888"/>
      <c r="K367" s="889"/>
      <c r="L367" s="889"/>
      <c r="M367" s="1002"/>
      <c r="N367" s="195"/>
      <c r="O367" s="196"/>
      <c r="P367" s="923"/>
      <c r="Q367" s="39"/>
    </row>
    <row r="368" spans="1:17" ht="18.75">
      <c r="A368" s="59"/>
      <c r="B368" s="908"/>
      <c r="C368" s="908"/>
      <c r="D368" s="908"/>
      <c r="E368" s="908"/>
      <c r="F368" s="903"/>
      <c r="G368" s="904"/>
      <c r="H368" s="905"/>
      <c r="I368" s="906"/>
      <c r="J368" s="888"/>
      <c r="K368" s="909"/>
      <c r="L368" s="909"/>
      <c r="M368" s="228"/>
      <c r="N368" s="195"/>
      <c r="O368" s="196"/>
      <c r="P368" s="143"/>
      <c r="Q368" s="39"/>
    </row>
    <row r="369" spans="1:17" ht="18.75">
      <c r="A369" s="59"/>
      <c r="B369" s="221"/>
      <c r="C369" s="133"/>
      <c r="D369" s="133"/>
      <c r="E369" s="222"/>
      <c r="F369" s="464"/>
      <c r="G369" s="561"/>
      <c r="H369" s="562"/>
      <c r="I369" s="672"/>
      <c r="J369" s="224"/>
      <c r="K369" s="133"/>
      <c r="L369" s="221"/>
      <c r="M369" s="228"/>
      <c r="N369" s="195"/>
      <c r="O369" s="196"/>
      <c r="P369" s="143"/>
      <c r="Q369" s="39"/>
    </row>
    <row r="370" spans="1:17" ht="18.75">
      <c r="A370" s="59"/>
      <c r="B370" s="221"/>
      <c r="C370" s="133"/>
      <c r="D370" s="133"/>
      <c r="E370" s="222"/>
      <c r="F370" s="464"/>
      <c r="G370" s="561"/>
      <c r="H370" s="562"/>
      <c r="I370" s="673"/>
      <c r="J370" s="224"/>
      <c r="K370" s="133"/>
      <c r="L370" s="221"/>
      <c r="M370" s="228"/>
      <c r="N370" s="195"/>
      <c r="O370" s="196"/>
      <c r="P370" s="143"/>
      <c r="Q370" s="39"/>
    </row>
    <row r="371" spans="1:17" ht="18.75">
      <c r="A371" s="59"/>
      <c r="B371" s="221"/>
      <c r="C371" s="133"/>
      <c r="D371" s="133"/>
      <c r="E371" s="222"/>
      <c r="F371" s="464"/>
      <c r="G371" s="431"/>
      <c r="H371" s="447"/>
      <c r="I371" s="451"/>
      <c r="J371" s="224"/>
      <c r="K371" s="133"/>
      <c r="L371" s="221"/>
      <c r="M371" s="228"/>
      <c r="N371" s="195"/>
      <c r="O371" s="196"/>
      <c r="P371" s="143"/>
      <c r="Q371" s="39"/>
    </row>
    <row r="372" spans="1:17" ht="15.75">
      <c r="A372" s="59"/>
      <c r="B372" s="169"/>
      <c r="C372" s="170"/>
      <c r="D372" s="133"/>
      <c r="E372" s="169"/>
      <c r="F372" s="675"/>
      <c r="G372" s="676"/>
      <c r="H372" s="677"/>
      <c r="I372" s="678"/>
      <c r="J372" s="209"/>
      <c r="K372" s="133"/>
      <c r="L372" s="59"/>
      <c r="M372" s="187"/>
      <c r="N372" s="195"/>
      <c r="O372" s="196"/>
      <c r="P372" s="143"/>
      <c r="Q372" s="39"/>
    </row>
    <row r="373" spans="1:17" ht="18.75">
      <c r="A373" s="1129" t="s">
        <v>31</v>
      </c>
      <c r="B373" s="1129"/>
      <c r="C373" s="1129"/>
      <c r="D373" s="1129"/>
      <c r="E373" s="1129"/>
      <c r="F373" s="1129"/>
      <c r="G373" s="1129"/>
      <c r="H373" s="1129"/>
      <c r="I373" s="1129"/>
      <c r="J373" s="1129"/>
      <c r="K373" s="1129"/>
      <c r="L373" s="1129"/>
      <c r="M373" s="1129"/>
      <c r="N373" s="195"/>
      <c r="O373" s="196"/>
      <c r="P373" s="138"/>
      <c r="Q373" s="39"/>
    </row>
    <row r="374" spans="1:17" ht="18.75">
      <c r="A374" s="59"/>
      <c r="B374" s="215"/>
      <c r="C374" s="427"/>
      <c r="D374" s="427"/>
      <c r="E374" s="215"/>
      <c r="F374" s="216"/>
      <c r="G374" s="444"/>
      <c r="H374" s="427"/>
      <c r="I374" s="442"/>
      <c r="J374" s="445"/>
      <c r="K374" s="427"/>
      <c r="L374" s="215"/>
      <c r="M374" s="187"/>
      <c r="N374" s="195"/>
      <c r="O374" s="196"/>
      <c r="P374" s="214"/>
      <c r="Q374" s="39"/>
    </row>
    <row r="375" spans="1:17" ht="18.75">
      <c r="A375" s="59"/>
      <c r="B375" s="686"/>
      <c r="C375" s="687"/>
      <c r="D375" s="190"/>
      <c r="E375" s="191"/>
      <c r="F375" s="727"/>
      <c r="G375" s="684"/>
      <c r="H375" s="681"/>
      <c r="I375" s="682"/>
      <c r="J375" s="683"/>
      <c r="K375" s="219"/>
      <c r="L375" s="429"/>
      <c r="M375" s="187"/>
      <c r="N375" s="195"/>
      <c r="O375" s="196"/>
      <c r="P375" s="214"/>
      <c r="Q375" s="39"/>
    </row>
    <row r="376" spans="1:17" ht="18.75">
      <c r="A376" s="59"/>
      <c r="B376" s="429"/>
      <c r="C376" s="427"/>
      <c r="D376" s="427"/>
      <c r="E376" s="215"/>
      <c r="F376" s="216"/>
      <c r="G376" s="444"/>
      <c r="H376" s="427"/>
      <c r="I376" s="442"/>
      <c r="J376" s="445"/>
      <c r="K376" s="427"/>
      <c r="L376" s="215"/>
      <c r="M376" s="187"/>
      <c r="N376" s="195"/>
      <c r="O376" s="196"/>
      <c r="P376" s="214"/>
      <c r="Q376" s="39"/>
    </row>
    <row r="377" spans="1:17" ht="18.75">
      <c r="A377" s="59"/>
      <c r="B377" s="429">
        <v>45376</v>
      </c>
      <c r="C377" s="427" t="s">
        <v>386</v>
      </c>
      <c r="D377" s="427"/>
      <c r="E377" s="215"/>
      <c r="F377" s="216" t="s">
        <v>387</v>
      </c>
      <c r="G377" s="444">
        <v>1</v>
      </c>
      <c r="H377" s="427" t="s">
        <v>388</v>
      </c>
      <c r="I377" s="442">
        <v>890000</v>
      </c>
      <c r="J377" s="445">
        <f>G377*I377</f>
        <v>890000</v>
      </c>
      <c r="K377" s="219" t="s">
        <v>391</v>
      </c>
      <c r="L377" s="429">
        <v>45376</v>
      </c>
      <c r="M377" s="187"/>
      <c r="N377" s="195"/>
      <c r="O377" s="196">
        <f>SUM(J377:J378)</f>
        <v>1850000</v>
      </c>
      <c r="P377" s="729" t="s">
        <v>390</v>
      </c>
      <c r="Q377" s="39"/>
    </row>
    <row r="378" spans="1:17" ht="18.75">
      <c r="A378" s="59"/>
      <c r="B378" s="215"/>
      <c r="C378" s="427"/>
      <c r="D378" s="427"/>
      <c r="E378" s="215"/>
      <c r="F378" s="216" t="s">
        <v>389</v>
      </c>
      <c r="G378" s="444">
        <v>2</v>
      </c>
      <c r="H378" s="427" t="s">
        <v>388</v>
      </c>
      <c r="I378" s="442">
        <v>480000</v>
      </c>
      <c r="J378" s="445">
        <f>G378*I378</f>
        <v>960000</v>
      </c>
      <c r="K378" s="427"/>
      <c r="L378" s="215"/>
      <c r="M378" s="187"/>
      <c r="N378" s="195"/>
      <c r="O378" s="196"/>
      <c r="P378" s="214"/>
      <c r="Q378" s="39"/>
    </row>
    <row r="379" spans="1:17" ht="18.75">
      <c r="A379" s="59"/>
      <c r="B379" s="215"/>
      <c r="C379" s="427"/>
      <c r="D379" s="427"/>
      <c r="E379" s="215"/>
      <c r="F379" s="216"/>
      <c r="G379" s="444"/>
      <c r="H379" s="427"/>
      <c r="I379" s="442"/>
      <c r="J379" s="445"/>
      <c r="K379" s="427"/>
      <c r="L379" s="215"/>
      <c r="M379" s="187"/>
      <c r="N379" s="195"/>
      <c r="O379" s="196"/>
      <c r="P379" s="214"/>
      <c r="Q379" s="39"/>
    </row>
    <row r="380" spans="1:17" ht="18.75">
      <c r="A380" s="829"/>
      <c r="B380" s="832"/>
      <c r="C380" s="833"/>
      <c r="D380" s="833"/>
      <c r="E380" s="832"/>
      <c r="F380" s="839"/>
      <c r="G380" s="859"/>
      <c r="H380" s="833"/>
      <c r="I380" s="860"/>
      <c r="J380" s="861"/>
      <c r="K380" s="833"/>
      <c r="L380" s="832"/>
      <c r="M380" s="858"/>
      <c r="N380" s="195"/>
      <c r="O380" s="196"/>
      <c r="P380" s="214"/>
      <c r="Q380" s="39"/>
    </row>
    <row r="381" spans="1:17" ht="18.75">
      <c r="A381" s="829"/>
      <c r="B381" s="832"/>
      <c r="C381" s="833"/>
      <c r="D381" s="833"/>
      <c r="E381" s="832"/>
      <c r="F381" s="839"/>
      <c r="G381" s="859"/>
      <c r="H381" s="833"/>
      <c r="I381" s="860"/>
      <c r="J381" s="861"/>
      <c r="K381" s="833"/>
      <c r="L381" s="832"/>
      <c r="M381" s="858"/>
      <c r="N381" s="195"/>
      <c r="O381" s="196"/>
      <c r="P381" s="214"/>
      <c r="Q381" s="39"/>
    </row>
    <row r="382" spans="1:17" ht="18.75">
      <c r="A382" s="829"/>
      <c r="B382" s="832"/>
      <c r="C382" s="833"/>
      <c r="D382" s="833"/>
      <c r="E382" s="832"/>
      <c r="F382" s="839"/>
      <c r="G382" s="859"/>
      <c r="H382" s="833"/>
      <c r="I382" s="860"/>
      <c r="J382" s="861"/>
      <c r="K382" s="833"/>
      <c r="L382" s="832"/>
      <c r="M382" s="858"/>
      <c r="N382" s="195"/>
      <c r="O382" s="196"/>
      <c r="P382" s="214"/>
      <c r="Q382" s="39"/>
    </row>
    <row r="383" spans="1:17" ht="18.75">
      <c r="A383" s="1129" t="s">
        <v>524</v>
      </c>
      <c r="B383" s="1129"/>
      <c r="C383" s="1129"/>
      <c r="D383" s="1129"/>
      <c r="E383" s="1129"/>
      <c r="F383" s="1129"/>
      <c r="G383" s="1129"/>
      <c r="H383" s="1129"/>
      <c r="I383" s="1129"/>
      <c r="J383" s="1129"/>
      <c r="K383" s="1129"/>
      <c r="L383" s="1129"/>
      <c r="M383" s="1129"/>
      <c r="N383" s="195"/>
      <c r="O383" s="196"/>
      <c r="P383" s="214"/>
      <c r="Q383" s="39"/>
    </row>
    <row r="384" spans="1:17" ht="18.75">
      <c r="A384" s="829"/>
      <c r="B384" s="832"/>
      <c r="C384" s="833"/>
      <c r="D384" s="833"/>
      <c r="E384" s="832"/>
      <c r="F384" s="839"/>
      <c r="G384" s="859"/>
      <c r="H384" s="833"/>
      <c r="I384" s="860"/>
      <c r="J384" s="861"/>
      <c r="K384" s="833"/>
      <c r="L384" s="832"/>
      <c r="M384" s="858"/>
      <c r="N384" s="195"/>
      <c r="O384" s="196"/>
      <c r="P384" s="214"/>
      <c r="Q384" s="39"/>
    </row>
    <row r="385" spans="1:17" ht="18.75">
      <c r="A385" s="829"/>
      <c r="B385" s="832"/>
      <c r="C385" s="833"/>
      <c r="D385" s="833"/>
      <c r="E385" s="832"/>
      <c r="F385" s="839"/>
      <c r="G385" s="859"/>
      <c r="H385" s="833"/>
      <c r="I385" s="860"/>
      <c r="J385" s="861"/>
      <c r="K385" s="833"/>
      <c r="L385" s="832"/>
      <c r="M385" s="858"/>
      <c r="N385" s="195"/>
      <c r="O385" s="196"/>
      <c r="P385" s="214"/>
      <c r="Q385" s="39"/>
    </row>
    <row r="386" spans="1:17" ht="18.75">
      <c r="A386" s="829"/>
      <c r="B386" s="832"/>
      <c r="C386" s="833"/>
      <c r="D386" s="833"/>
      <c r="E386" s="832"/>
      <c r="F386" s="839"/>
      <c r="G386" s="859"/>
      <c r="H386" s="833"/>
      <c r="I386" s="860"/>
      <c r="J386" s="861"/>
      <c r="K386" s="833"/>
      <c r="L386" s="832"/>
      <c r="M386" s="858"/>
      <c r="N386" s="195"/>
      <c r="O386" s="196"/>
      <c r="P386" s="214"/>
      <c r="Q386" s="39"/>
    </row>
    <row r="387" spans="1:17" ht="18.75">
      <c r="A387" s="829"/>
      <c r="B387" s="832"/>
      <c r="C387" s="833"/>
      <c r="D387" s="833"/>
      <c r="E387" s="832"/>
      <c r="F387" s="839"/>
      <c r="G387" s="859"/>
      <c r="H387" s="833"/>
      <c r="I387" s="860"/>
      <c r="J387" s="861"/>
      <c r="K387" s="833"/>
      <c r="L387" s="832"/>
      <c r="M387" s="858"/>
      <c r="N387" s="195"/>
      <c r="O387" s="196"/>
      <c r="P387" s="214"/>
      <c r="Q387" s="39"/>
    </row>
    <row r="388" spans="1:17" ht="18.75">
      <c r="A388" s="829"/>
      <c r="B388" s="832"/>
      <c r="C388" s="833"/>
      <c r="D388" s="833"/>
      <c r="E388" s="832"/>
      <c r="F388" s="839"/>
      <c r="G388" s="859"/>
      <c r="H388" s="833"/>
      <c r="I388" s="860"/>
      <c r="J388" s="861"/>
      <c r="K388" s="833"/>
      <c r="L388" s="832"/>
      <c r="M388" s="858"/>
      <c r="N388" s="195"/>
      <c r="O388" s="196"/>
      <c r="P388" s="214"/>
      <c r="Q388" s="39"/>
    </row>
    <row r="389" spans="1:17" ht="18.75">
      <c r="A389" s="829"/>
      <c r="B389" s="832"/>
      <c r="C389" s="833"/>
      <c r="D389" s="833"/>
      <c r="E389" s="832"/>
      <c r="F389" s="839"/>
      <c r="G389" s="859"/>
      <c r="H389" s="833"/>
      <c r="I389" s="860"/>
      <c r="J389" s="861"/>
      <c r="K389" s="833"/>
      <c r="L389" s="832"/>
      <c r="M389" s="858"/>
      <c r="N389" s="195"/>
      <c r="O389" s="196"/>
      <c r="P389" s="214"/>
      <c r="Q389" s="39"/>
    </row>
    <row r="390" spans="1:17" ht="18.75">
      <c r="A390" s="829"/>
      <c r="B390" s="832"/>
      <c r="C390" s="833"/>
      <c r="D390" s="833"/>
      <c r="E390" s="832"/>
      <c r="F390" s="839"/>
      <c r="G390" s="859"/>
      <c r="H390" s="833"/>
      <c r="I390" s="860"/>
      <c r="J390" s="861"/>
      <c r="K390" s="833"/>
      <c r="L390" s="832"/>
      <c r="M390" s="858"/>
      <c r="N390" s="195"/>
      <c r="O390" s="196"/>
      <c r="P390" s="214"/>
      <c r="Q390" s="39"/>
    </row>
    <row r="391" spans="1:17" ht="18.75">
      <c r="A391" s="829"/>
      <c r="B391" s="832"/>
      <c r="C391" s="833"/>
      <c r="D391" s="833"/>
      <c r="E391" s="832"/>
      <c r="F391" s="839"/>
      <c r="G391" s="859"/>
      <c r="H391" s="833"/>
      <c r="I391" s="860"/>
      <c r="J391" s="861"/>
      <c r="K391" s="833"/>
      <c r="L391" s="832"/>
      <c r="M391" s="858"/>
      <c r="N391" s="195"/>
      <c r="O391" s="196"/>
      <c r="P391" s="214"/>
      <c r="Q391" s="39"/>
    </row>
    <row r="392" spans="1:17" ht="18.75">
      <c r="A392" s="1129" t="s">
        <v>542</v>
      </c>
      <c r="B392" s="1129"/>
      <c r="C392" s="1129"/>
      <c r="D392" s="1129"/>
      <c r="E392" s="1129"/>
      <c r="F392" s="1129"/>
      <c r="G392" s="1129"/>
      <c r="H392" s="1129"/>
      <c r="I392" s="1129"/>
      <c r="J392" s="1129"/>
      <c r="K392" s="1129"/>
      <c r="L392" s="1129"/>
      <c r="M392" s="1129"/>
      <c r="N392" s="195"/>
      <c r="O392" s="196"/>
      <c r="P392" s="214"/>
      <c r="Q392" s="39"/>
    </row>
    <row r="393" spans="1:17" ht="18.75">
      <c r="A393" s="829"/>
      <c r="B393" s="832"/>
      <c r="C393" s="833"/>
      <c r="D393" s="833"/>
      <c r="E393" s="832"/>
      <c r="F393" s="839"/>
      <c r="G393" s="859"/>
      <c r="H393" s="833"/>
      <c r="I393" s="860"/>
      <c r="J393" s="861"/>
      <c r="K393" s="833"/>
      <c r="L393" s="832"/>
      <c r="M393" s="858"/>
      <c r="N393" s="195"/>
      <c r="O393" s="196"/>
      <c r="P393" s="214"/>
      <c r="Q393" s="39"/>
    </row>
    <row r="394" spans="1:17" ht="18.75">
      <c r="A394" s="829"/>
      <c r="B394" s="637">
        <v>45702</v>
      </c>
      <c r="C394" s="216" t="s">
        <v>528</v>
      </c>
      <c r="D394" s="217"/>
      <c r="E394" s="217"/>
      <c r="F394" s="216" t="s">
        <v>529</v>
      </c>
      <c r="G394" s="218">
        <v>7</v>
      </c>
      <c r="H394" s="219" t="s">
        <v>481</v>
      </c>
      <c r="I394" s="223">
        <v>33000</v>
      </c>
      <c r="J394" s="224">
        <f t="shared" ref="J394:J403" si="34">G394*I394</f>
        <v>231000</v>
      </c>
      <c r="K394" s="778" t="s">
        <v>543</v>
      </c>
      <c r="L394" s="637">
        <v>45702</v>
      </c>
      <c r="M394" s="858"/>
      <c r="N394" s="195"/>
      <c r="O394" s="196"/>
      <c r="P394" s="214"/>
      <c r="Q394" s="39"/>
    </row>
    <row r="395" spans="1:17" ht="18.75">
      <c r="A395" s="829"/>
      <c r="B395" s="832"/>
      <c r="C395" s="833"/>
      <c r="D395" s="833"/>
      <c r="E395" s="832"/>
      <c r="F395" s="216" t="s">
        <v>530</v>
      </c>
      <c r="G395" s="218">
        <v>8</v>
      </c>
      <c r="H395" s="219" t="s">
        <v>533</v>
      </c>
      <c r="I395" s="223">
        <v>43000</v>
      </c>
      <c r="J395" s="224">
        <f t="shared" si="34"/>
        <v>344000</v>
      </c>
      <c r="K395" s="833"/>
      <c r="L395" s="832"/>
      <c r="M395" s="858"/>
      <c r="N395" s="195"/>
      <c r="O395" s="196"/>
      <c r="P395" s="214"/>
      <c r="Q395" s="39"/>
    </row>
    <row r="396" spans="1:17" ht="18.75">
      <c r="A396" s="829"/>
      <c r="B396" s="832"/>
      <c r="C396" s="833"/>
      <c r="D396" s="833"/>
      <c r="E396" s="832"/>
      <c r="F396" s="216" t="s">
        <v>531</v>
      </c>
      <c r="G396" s="218">
        <v>3</v>
      </c>
      <c r="H396" s="219" t="s">
        <v>18</v>
      </c>
      <c r="I396" s="223">
        <v>20000</v>
      </c>
      <c r="J396" s="224">
        <f t="shared" si="34"/>
        <v>60000</v>
      </c>
      <c r="K396" s="833"/>
      <c r="L396" s="832"/>
      <c r="M396" s="858"/>
      <c r="N396" s="195"/>
      <c r="O396" s="196"/>
      <c r="P396" s="214"/>
      <c r="Q396" s="39"/>
    </row>
    <row r="397" spans="1:17" ht="18.75">
      <c r="A397" s="829"/>
      <c r="B397" s="832"/>
      <c r="C397" s="833"/>
      <c r="D397" s="833"/>
      <c r="E397" s="832"/>
      <c r="F397" s="216" t="s">
        <v>532</v>
      </c>
      <c r="G397" s="218">
        <v>80</v>
      </c>
      <c r="H397" s="219" t="s">
        <v>18</v>
      </c>
      <c r="I397" s="223">
        <v>11000</v>
      </c>
      <c r="J397" s="224">
        <f t="shared" si="34"/>
        <v>880000</v>
      </c>
      <c r="K397" s="833"/>
      <c r="L397" s="832"/>
      <c r="M397" s="858"/>
      <c r="N397" s="195"/>
      <c r="O397" s="196"/>
      <c r="P397" s="214"/>
      <c r="Q397" s="39"/>
    </row>
    <row r="398" spans="1:17" ht="18.75">
      <c r="A398" s="829"/>
      <c r="B398" s="832"/>
      <c r="C398" s="833"/>
      <c r="D398" s="833"/>
      <c r="E398" s="832"/>
      <c r="F398" s="216" t="s">
        <v>536</v>
      </c>
      <c r="G398" s="218">
        <v>8</v>
      </c>
      <c r="H398" s="219" t="s">
        <v>533</v>
      </c>
      <c r="I398" s="223">
        <v>38000</v>
      </c>
      <c r="J398" s="224">
        <f t="shared" si="34"/>
        <v>304000</v>
      </c>
      <c r="K398" s="833"/>
      <c r="L398" s="832"/>
      <c r="M398" s="858"/>
      <c r="N398" s="195"/>
      <c r="O398" s="196"/>
      <c r="P398" s="214"/>
      <c r="Q398" s="39"/>
    </row>
    <row r="399" spans="1:17" ht="18.75">
      <c r="A399" s="829"/>
      <c r="B399" s="832"/>
      <c r="C399" s="833"/>
      <c r="D399" s="833"/>
      <c r="E399" s="832"/>
      <c r="F399" s="216" t="s">
        <v>534</v>
      </c>
      <c r="G399" s="218">
        <v>8</v>
      </c>
      <c r="H399" s="219" t="s">
        <v>533</v>
      </c>
      <c r="I399" s="223">
        <v>35000</v>
      </c>
      <c r="J399" s="224">
        <f t="shared" si="34"/>
        <v>280000</v>
      </c>
      <c r="K399" s="833"/>
      <c r="L399" s="832"/>
      <c r="M399" s="858"/>
      <c r="N399" s="195"/>
      <c r="O399" s="196"/>
      <c r="P399" s="214"/>
      <c r="Q399" s="39"/>
    </row>
    <row r="400" spans="1:17" ht="18.75">
      <c r="A400" s="829"/>
      <c r="B400" s="832"/>
      <c r="C400" s="833"/>
      <c r="D400" s="833"/>
      <c r="E400" s="832"/>
      <c r="F400" s="216" t="s">
        <v>535</v>
      </c>
      <c r="G400" s="218">
        <v>8</v>
      </c>
      <c r="H400" s="219" t="s">
        <v>533</v>
      </c>
      <c r="I400" s="223">
        <v>38000</v>
      </c>
      <c r="J400" s="224">
        <f t="shared" si="34"/>
        <v>304000</v>
      </c>
      <c r="K400" s="833"/>
      <c r="L400" s="832"/>
      <c r="M400" s="858"/>
      <c r="N400" s="195"/>
      <c r="O400" s="196">
        <f>O403+O408+O411+O413</f>
        <v>6015090</v>
      </c>
      <c r="P400" s="865"/>
      <c r="Q400" s="39"/>
    </row>
    <row r="401" spans="1:17" ht="18.75">
      <c r="A401" s="829"/>
      <c r="B401" s="832"/>
      <c r="C401" s="833"/>
      <c r="D401" s="833"/>
      <c r="E401" s="832"/>
      <c r="F401" s="216" t="s">
        <v>537</v>
      </c>
      <c r="G401" s="218">
        <v>100</v>
      </c>
      <c r="H401" s="219" t="s">
        <v>538</v>
      </c>
      <c r="I401" s="223">
        <v>3500</v>
      </c>
      <c r="J401" s="224">
        <f t="shared" si="34"/>
        <v>350000</v>
      </c>
      <c r="K401" s="833"/>
      <c r="L401" s="832"/>
      <c r="M401" s="858"/>
      <c r="N401" s="195"/>
      <c r="O401" s="196"/>
      <c r="P401" s="865"/>
      <c r="Q401" s="39"/>
    </row>
    <row r="402" spans="1:17" ht="18.75">
      <c r="A402" s="829"/>
      <c r="B402" s="832"/>
      <c r="C402" s="833"/>
      <c r="D402" s="833"/>
      <c r="E402" s="832"/>
      <c r="F402" s="216" t="s">
        <v>539</v>
      </c>
      <c r="G402" s="218">
        <v>8</v>
      </c>
      <c r="H402" s="219" t="s">
        <v>533</v>
      </c>
      <c r="I402" s="223">
        <v>47500</v>
      </c>
      <c r="J402" s="224">
        <f t="shared" si="34"/>
        <v>380000</v>
      </c>
      <c r="K402" s="833"/>
      <c r="L402" s="832"/>
      <c r="M402" s="858"/>
      <c r="N402" s="195"/>
      <c r="O402" s="196"/>
      <c r="P402" s="865"/>
      <c r="Q402" s="39"/>
    </row>
    <row r="403" spans="1:17" ht="18.75">
      <c r="A403" s="829"/>
      <c r="B403" s="832"/>
      <c r="C403" s="833"/>
      <c r="D403" s="833"/>
      <c r="E403" s="832"/>
      <c r="F403" s="216" t="s">
        <v>540</v>
      </c>
      <c r="G403" s="218">
        <v>100</v>
      </c>
      <c r="H403" s="219" t="s">
        <v>538</v>
      </c>
      <c r="I403" s="223">
        <v>3500</v>
      </c>
      <c r="J403" s="224">
        <f t="shared" si="34"/>
        <v>350000</v>
      </c>
      <c r="K403" s="833"/>
      <c r="L403" s="832"/>
      <c r="M403" s="858"/>
      <c r="N403" s="195"/>
      <c r="O403" s="196">
        <f>SUM(J394:J403)</f>
        <v>3483000</v>
      </c>
      <c r="P403" s="865" t="s">
        <v>541</v>
      </c>
      <c r="Q403" s="39"/>
    </row>
    <row r="404" spans="1:17" ht="18.75">
      <c r="A404" s="829"/>
      <c r="B404" s="832"/>
      <c r="C404" s="833"/>
      <c r="D404" s="833"/>
      <c r="E404" s="832"/>
      <c r="F404" s="216"/>
      <c r="G404" s="218"/>
      <c r="H404" s="219"/>
      <c r="I404" s="223"/>
      <c r="J404" s="224"/>
      <c r="K404" s="833"/>
      <c r="L404" s="832"/>
      <c r="M404" s="858"/>
      <c r="N404" s="195"/>
      <c r="O404" s="196"/>
      <c r="P404" s="865"/>
      <c r="Q404" s="39"/>
    </row>
    <row r="405" spans="1:17" ht="18.75">
      <c r="A405" s="829"/>
      <c r="B405" s="832"/>
      <c r="C405" s="833"/>
      <c r="D405" s="833"/>
      <c r="E405" s="832"/>
      <c r="F405" s="839"/>
      <c r="G405" s="854"/>
      <c r="H405" s="845"/>
      <c r="I405" s="855"/>
      <c r="J405" s="856"/>
      <c r="K405" s="833"/>
      <c r="L405" s="832"/>
      <c r="M405" s="858"/>
      <c r="N405" s="195"/>
      <c r="O405" s="196"/>
      <c r="P405" s="865"/>
      <c r="Q405" s="39"/>
    </row>
    <row r="406" spans="1:17" ht="18.75">
      <c r="A406" s="829"/>
      <c r="B406" s="832"/>
      <c r="C406" s="833"/>
      <c r="D406" s="833"/>
      <c r="E406" s="832"/>
      <c r="F406" s="839"/>
      <c r="G406" s="854"/>
      <c r="H406" s="845"/>
      <c r="I406" s="855"/>
      <c r="J406" s="856"/>
      <c r="K406" s="833"/>
      <c r="L406" s="832"/>
      <c r="M406" s="858"/>
      <c r="N406" s="195"/>
      <c r="O406" s="196"/>
      <c r="P406" s="865"/>
      <c r="Q406" s="39"/>
    </row>
    <row r="407" spans="1:17" ht="18.75">
      <c r="A407" s="829"/>
      <c r="B407" s="637">
        <v>45701</v>
      </c>
      <c r="C407" s="216" t="s">
        <v>545</v>
      </c>
      <c r="D407" s="217"/>
      <c r="E407" s="217"/>
      <c r="F407" s="216" t="s">
        <v>480</v>
      </c>
      <c r="G407" s="218">
        <v>30</v>
      </c>
      <c r="H407" s="219" t="s">
        <v>481</v>
      </c>
      <c r="I407" s="223">
        <v>18000</v>
      </c>
      <c r="J407" s="224">
        <f t="shared" ref="J407:J408" si="35">G407*I407</f>
        <v>540000</v>
      </c>
      <c r="K407" s="778" t="s">
        <v>544</v>
      </c>
      <c r="L407" s="637">
        <v>45701</v>
      </c>
      <c r="M407" s="858"/>
      <c r="N407" s="195"/>
      <c r="O407" s="196"/>
      <c r="P407" s="865"/>
      <c r="Q407" s="39"/>
    </row>
    <row r="408" spans="1:17" ht="18.75">
      <c r="A408" s="829"/>
      <c r="B408" s="832"/>
      <c r="C408" s="833"/>
      <c r="D408" s="833"/>
      <c r="E408" s="832"/>
      <c r="F408" s="216" t="s">
        <v>546</v>
      </c>
      <c r="G408" s="218">
        <v>30</v>
      </c>
      <c r="H408" s="219" t="s">
        <v>547</v>
      </c>
      <c r="I408" s="223">
        <v>25000</v>
      </c>
      <c r="J408" s="224">
        <f t="shared" si="35"/>
        <v>750000</v>
      </c>
      <c r="K408" s="833"/>
      <c r="L408" s="832"/>
      <c r="M408" s="858"/>
      <c r="N408" s="195"/>
      <c r="O408" s="196">
        <f>SUM(J407:J408)</f>
        <v>1290000</v>
      </c>
      <c r="P408" s="865" t="s">
        <v>541</v>
      </c>
      <c r="Q408" s="39"/>
    </row>
    <row r="409" spans="1:17" ht="18.75">
      <c r="A409" s="829"/>
      <c r="B409" s="832"/>
      <c r="C409" s="833"/>
      <c r="D409" s="833"/>
      <c r="E409" s="832"/>
      <c r="F409" s="216"/>
      <c r="G409" s="218"/>
      <c r="H409" s="219"/>
      <c r="I409" s="223"/>
      <c r="J409" s="224"/>
      <c r="K409" s="833"/>
      <c r="L409" s="832"/>
      <c r="M409" s="858"/>
      <c r="N409" s="195"/>
      <c r="O409" s="196"/>
      <c r="P409" s="865"/>
      <c r="Q409" s="39"/>
    </row>
    <row r="410" spans="1:17" ht="18.75">
      <c r="A410" s="829"/>
      <c r="B410" s="832"/>
      <c r="C410" s="833"/>
      <c r="D410" s="833"/>
      <c r="E410" s="832"/>
      <c r="F410" s="216"/>
      <c r="G410" s="218"/>
      <c r="H410" s="219"/>
      <c r="I410" s="223"/>
      <c r="J410" s="224"/>
      <c r="K410" s="833"/>
      <c r="L410" s="832"/>
      <c r="M410" s="858"/>
      <c r="N410" s="195"/>
      <c r="O410" s="196"/>
      <c r="P410" s="865"/>
      <c r="Q410" s="39"/>
    </row>
    <row r="411" spans="1:17" ht="18.75">
      <c r="A411" s="829"/>
      <c r="B411" s="637">
        <v>45859</v>
      </c>
      <c r="C411" s="216" t="s">
        <v>545</v>
      </c>
      <c r="D411" s="217"/>
      <c r="E411" s="217"/>
      <c r="F411" s="216" t="s">
        <v>578</v>
      </c>
      <c r="G411" s="218">
        <v>31</v>
      </c>
      <c r="H411" s="219" t="s">
        <v>547</v>
      </c>
      <c r="I411" s="223">
        <v>26640</v>
      </c>
      <c r="J411" s="224">
        <f t="shared" ref="J411" si="36">G411*I411</f>
        <v>825840</v>
      </c>
      <c r="K411" s="778" t="s">
        <v>579</v>
      </c>
      <c r="L411" s="637">
        <v>45859</v>
      </c>
      <c r="M411" s="858"/>
      <c r="N411" s="195"/>
      <c r="O411" s="196">
        <f>SUM(J411)</f>
        <v>825840</v>
      </c>
      <c r="P411" s="865" t="s">
        <v>541</v>
      </c>
      <c r="Q411" s="39"/>
    </row>
    <row r="412" spans="1:17" ht="18.75">
      <c r="A412" s="829"/>
      <c r="B412" s="832"/>
      <c r="C412" s="833"/>
      <c r="D412" s="833"/>
      <c r="E412" s="832"/>
      <c r="F412" s="216"/>
      <c r="G412" s="218"/>
      <c r="H412" s="219"/>
      <c r="I412" s="223"/>
      <c r="J412" s="224"/>
      <c r="K412" s="833"/>
      <c r="L412" s="832"/>
      <c r="M412" s="858"/>
      <c r="N412" s="195"/>
      <c r="O412" s="196"/>
      <c r="P412" s="865"/>
      <c r="Q412" s="39"/>
    </row>
    <row r="413" spans="1:17" ht="18.75">
      <c r="A413" s="829"/>
      <c r="B413" s="637">
        <v>45915</v>
      </c>
      <c r="C413" s="216" t="s">
        <v>545</v>
      </c>
      <c r="D413" s="217"/>
      <c r="E413" s="217"/>
      <c r="F413" s="216" t="s">
        <v>596</v>
      </c>
      <c r="G413" s="218">
        <v>15</v>
      </c>
      <c r="H413" s="219" t="s">
        <v>597</v>
      </c>
      <c r="I413" s="223">
        <v>27750</v>
      </c>
      <c r="J413" s="224">
        <f t="shared" ref="J413" si="37">G413*I413</f>
        <v>416250</v>
      </c>
      <c r="K413" s="778" t="s">
        <v>598</v>
      </c>
      <c r="L413" s="637">
        <v>45915</v>
      </c>
      <c r="M413" s="858"/>
      <c r="N413" s="195"/>
      <c r="O413" s="196">
        <f>SUM(J413)</f>
        <v>416250</v>
      </c>
      <c r="P413" s="865" t="s">
        <v>541</v>
      </c>
      <c r="Q413" s="39"/>
    </row>
    <row r="414" spans="1:17" ht="18.75">
      <c r="A414" s="829"/>
      <c r="B414" s="832"/>
      <c r="C414" s="833"/>
      <c r="D414" s="833"/>
      <c r="E414" s="832"/>
      <c r="F414" s="839"/>
      <c r="G414" s="854"/>
      <c r="H414" s="845"/>
      <c r="I414" s="855"/>
      <c r="J414" s="856"/>
      <c r="K414" s="833"/>
      <c r="L414" s="832"/>
      <c r="M414" s="858"/>
      <c r="N414" s="195"/>
      <c r="O414" s="196"/>
      <c r="P414" s="865"/>
      <c r="Q414" s="39"/>
    </row>
    <row r="415" spans="1:17" ht="18.75">
      <c r="A415" s="829"/>
      <c r="B415" s="832"/>
      <c r="C415" s="833"/>
      <c r="D415" s="833"/>
      <c r="E415" s="832"/>
      <c r="F415" s="839"/>
      <c r="G415" s="859"/>
      <c r="H415" s="833"/>
      <c r="I415" s="860"/>
      <c r="J415" s="861"/>
      <c r="K415" s="833"/>
      <c r="L415" s="832"/>
      <c r="M415" s="858"/>
      <c r="N415" s="195"/>
      <c r="O415" s="196"/>
      <c r="P415" s="214"/>
      <c r="Q415" s="39"/>
    </row>
    <row r="416" spans="1:17" ht="18.75">
      <c r="A416" s="829"/>
      <c r="B416" s="637"/>
      <c r="C416" s="216"/>
      <c r="D416" s="217"/>
      <c r="E416" s="217"/>
      <c r="F416" s="216"/>
      <c r="G416" s="218"/>
      <c r="H416" s="219"/>
      <c r="I416" s="223"/>
      <c r="J416" s="224"/>
      <c r="K416" s="778"/>
      <c r="L416" s="637"/>
      <c r="M416" s="858"/>
      <c r="N416" s="195"/>
      <c r="O416" s="196"/>
      <c r="P416" s="214"/>
      <c r="Q416" s="39"/>
    </row>
    <row r="417" spans="1:17" ht="18.75">
      <c r="A417" s="829"/>
      <c r="B417" s="832"/>
      <c r="C417" s="833"/>
      <c r="D417" s="833"/>
      <c r="E417" s="832"/>
      <c r="F417" s="216"/>
      <c r="G417" s="218"/>
      <c r="H417" s="219"/>
      <c r="I417" s="223"/>
      <c r="J417" s="224"/>
      <c r="K417" s="833"/>
      <c r="L417" s="832"/>
      <c r="M417" s="858"/>
      <c r="N417" s="195"/>
      <c r="O417" s="196"/>
      <c r="P417" s="865"/>
      <c r="Q417" s="39"/>
    </row>
    <row r="418" spans="1:17" ht="18.75">
      <c r="A418" s="829"/>
      <c r="B418" s="832"/>
      <c r="C418" s="833"/>
      <c r="D418" s="833"/>
      <c r="E418" s="832"/>
      <c r="F418" s="839"/>
      <c r="G418" s="859"/>
      <c r="H418" s="833"/>
      <c r="I418" s="860"/>
      <c r="J418" s="861"/>
      <c r="K418" s="833"/>
      <c r="L418" s="832"/>
      <c r="M418" s="858"/>
      <c r="N418" s="195"/>
      <c r="O418" s="196"/>
      <c r="P418" s="214"/>
      <c r="Q418" s="39"/>
    </row>
    <row r="419" spans="1:17" ht="18.75">
      <c r="A419" s="829"/>
      <c r="B419" s="832"/>
      <c r="C419" s="833"/>
      <c r="D419" s="833"/>
      <c r="E419" s="832"/>
      <c r="F419" s="839"/>
      <c r="G419" s="859"/>
      <c r="H419" s="833"/>
      <c r="I419" s="860"/>
      <c r="J419" s="861"/>
      <c r="K419" s="833"/>
      <c r="L419" s="832"/>
      <c r="M419" s="858"/>
      <c r="N419" s="195"/>
      <c r="O419" s="196"/>
      <c r="P419" s="214"/>
      <c r="Q419" s="39"/>
    </row>
    <row r="420" spans="1:17" ht="18.75">
      <c r="A420" s="829"/>
      <c r="B420" s="637"/>
      <c r="C420" s="216"/>
      <c r="D420" s="217"/>
      <c r="E420" s="217"/>
      <c r="F420" s="216"/>
      <c r="G420" s="218"/>
      <c r="H420" s="219"/>
      <c r="I420" s="223"/>
      <c r="J420" s="224"/>
      <c r="K420" s="778"/>
      <c r="L420" s="637"/>
      <c r="M420" s="858"/>
      <c r="N420" s="195"/>
      <c r="O420" s="196"/>
      <c r="P420" s="214"/>
      <c r="Q420" s="39"/>
    </row>
    <row r="421" spans="1:17" ht="18.75">
      <c r="A421" s="829"/>
      <c r="B421" s="832"/>
      <c r="C421" s="833"/>
      <c r="D421" s="833"/>
      <c r="E421" s="832"/>
      <c r="F421" s="216"/>
      <c r="G421" s="218"/>
      <c r="H421" s="219"/>
      <c r="I421" s="223"/>
      <c r="J421" s="224"/>
      <c r="K421" s="833"/>
      <c r="L421" s="832"/>
      <c r="M421" s="858"/>
      <c r="N421" s="195"/>
      <c r="O421" s="196"/>
      <c r="P421" s="865"/>
      <c r="Q421" s="39"/>
    </row>
    <row r="422" spans="1:17" ht="18.75">
      <c r="A422" s="829"/>
      <c r="B422" s="832"/>
      <c r="C422" s="833"/>
      <c r="D422" s="833"/>
      <c r="E422" s="832"/>
      <c r="F422" s="839"/>
      <c r="G422" s="859"/>
      <c r="H422" s="833"/>
      <c r="I422" s="860"/>
      <c r="J422" s="861"/>
      <c r="K422" s="833"/>
      <c r="L422" s="832"/>
      <c r="M422" s="858"/>
      <c r="N422" s="195"/>
      <c r="O422" s="196"/>
      <c r="P422" s="214"/>
      <c r="Q422" s="39"/>
    </row>
    <row r="423" spans="1:17" ht="18.75">
      <c r="A423" s="829"/>
      <c r="B423" s="832"/>
      <c r="C423" s="833"/>
      <c r="D423" s="833"/>
      <c r="E423" s="832"/>
      <c r="F423" s="839"/>
      <c r="G423" s="859"/>
      <c r="H423" s="833"/>
      <c r="I423" s="860"/>
      <c r="J423" s="861"/>
      <c r="K423" s="833"/>
      <c r="L423" s="832"/>
      <c r="M423" s="858"/>
      <c r="N423" s="195"/>
      <c r="O423" s="196"/>
      <c r="P423" s="864" t="e">
        <f>#REF!+O404+O413+O417+O421</f>
        <v>#REF!</v>
      </c>
      <c r="Q423" s="39"/>
    </row>
    <row r="424" spans="1:17" ht="18.75">
      <c r="A424" s="829"/>
      <c r="B424" s="832"/>
      <c r="C424" s="833"/>
      <c r="D424" s="833"/>
      <c r="E424" s="832"/>
      <c r="F424" s="839"/>
      <c r="G424" s="859"/>
      <c r="H424" s="833"/>
      <c r="I424" s="860"/>
      <c r="J424" s="861"/>
      <c r="K424" s="833"/>
      <c r="L424" s="832"/>
      <c r="M424" s="858"/>
      <c r="N424" s="195"/>
      <c r="O424" s="196"/>
      <c r="P424" s="214"/>
      <c r="Q424" s="39"/>
    </row>
    <row r="425" spans="1:17" ht="18.75">
      <c r="A425" s="829"/>
      <c r="B425" s="832"/>
      <c r="C425" s="833"/>
      <c r="D425" s="833"/>
      <c r="E425" s="832"/>
      <c r="F425" s="839"/>
      <c r="G425" s="859"/>
      <c r="H425" s="833"/>
      <c r="I425" s="860"/>
      <c r="J425" s="861"/>
      <c r="K425" s="833"/>
      <c r="L425" s="832"/>
      <c r="M425" s="858"/>
      <c r="N425" s="195"/>
      <c r="O425" s="196"/>
      <c r="P425" s="214"/>
      <c r="Q425" s="39"/>
    </row>
    <row r="426" spans="1:17" ht="18.75">
      <c r="A426" s="829"/>
      <c r="B426" s="832"/>
      <c r="C426" s="833"/>
      <c r="D426" s="833"/>
      <c r="E426" s="832"/>
      <c r="F426" s="839"/>
      <c r="G426" s="859"/>
      <c r="H426" s="833"/>
      <c r="I426" s="860"/>
      <c r="J426" s="861"/>
      <c r="K426" s="833"/>
      <c r="L426" s="832"/>
      <c r="M426" s="858"/>
      <c r="N426" s="195"/>
      <c r="O426" s="196"/>
      <c r="P426" s="214"/>
      <c r="Q426" s="39"/>
    </row>
    <row r="427" spans="1:17" ht="18.75">
      <c r="A427" s="1129" t="s">
        <v>475</v>
      </c>
      <c r="B427" s="1129"/>
      <c r="C427" s="1129"/>
      <c r="D427" s="1129"/>
      <c r="E427" s="1129"/>
      <c r="F427" s="1129"/>
      <c r="G427" s="1129"/>
      <c r="H427" s="1129"/>
      <c r="I427" s="1129"/>
      <c r="J427" s="1129"/>
      <c r="K427" s="1129"/>
      <c r="L427" s="1129"/>
      <c r="M427" s="1129"/>
      <c r="N427" s="195"/>
      <c r="O427" s="196"/>
      <c r="P427" s="214"/>
      <c r="Q427" s="39"/>
    </row>
    <row r="428" spans="1:17" ht="18.75">
      <c r="A428" s="829"/>
      <c r="B428" s="832"/>
      <c r="C428" s="833"/>
      <c r="D428" s="833"/>
      <c r="E428" s="832"/>
      <c r="F428" s="839"/>
      <c r="G428" s="859"/>
      <c r="H428" s="833"/>
      <c r="I428" s="860"/>
      <c r="J428" s="861"/>
      <c r="K428" s="833"/>
      <c r="L428" s="832"/>
      <c r="M428" s="858"/>
      <c r="N428" s="195"/>
      <c r="O428" s="196"/>
      <c r="P428" s="214"/>
      <c r="Q428" s="39"/>
    </row>
    <row r="429" spans="1:17" ht="18.75">
      <c r="A429" s="829"/>
      <c r="B429" s="758"/>
      <c r="C429" s="733"/>
      <c r="D429" s="733"/>
      <c r="E429" s="758"/>
      <c r="F429" s="761"/>
      <c r="G429" s="925"/>
      <c r="H429" s="733"/>
      <c r="I429" s="926"/>
      <c r="J429" s="927"/>
      <c r="K429" s="833"/>
      <c r="L429" s="832"/>
      <c r="M429" s="858"/>
      <c r="N429" s="195"/>
      <c r="O429" s="196"/>
      <c r="P429" s="214"/>
      <c r="Q429" s="39"/>
    </row>
    <row r="430" spans="1:17" ht="18.75">
      <c r="A430" s="829"/>
      <c r="B430" s="637"/>
      <c r="C430" s="216"/>
      <c r="D430" s="217"/>
      <c r="E430" s="217"/>
      <c r="F430" s="216"/>
      <c r="G430" s="218"/>
      <c r="H430" s="219"/>
      <c r="I430" s="223"/>
      <c r="J430" s="224"/>
      <c r="K430" s="778"/>
      <c r="L430" s="637"/>
      <c r="M430" s="858"/>
      <c r="N430" s="195"/>
      <c r="O430" s="196"/>
      <c r="P430" s="214"/>
      <c r="Q430" s="39"/>
    </row>
    <row r="431" spans="1:17" ht="18.75">
      <c r="A431" s="829"/>
      <c r="B431" s="832"/>
      <c r="C431" s="833"/>
      <c r="D431" s="833"/>
      <c r="E431" s="832"/>
      <c r="F431" s="216"/>
      <c r="G431" s="218"/>
      <c r="H431" s="219"/>
      <c r="I431" s="223"/>
      <c r="J431" s="224"/>
      <c r="K431" s="833"/>
      <c r="L431" s="832"/>
      <c r="M431" s="858"/>
      <c r="N431" s="195"/>
      <c r="O431" s="196"/>
      <c r="P431" s="214"/>
      <c r="Q431" s="39"/>
    </row>
    <row r="432" spans="1:17" ht="18.75">
      <c r="A432" s="829"/>
      <c r="B432" s="832"/>
      <c r="C432" s="833"/>
      <c r="D432" s="833"/>
      <c r="E432" s="832"/>
      <c r="F432" s="216"/>
      <c r="G432" s="218"/>
      <c r="H432" s="219"/>
      <c r="I432" s="223"/>
      <c r="J432" s="224"/>
      <c r="K432" s="833"/>
      <c r="L432" s="832"/>
      <c r="M432" s="858"/>
      <c r="N432" s="195"/>
      <c r="O432" s="196"/>
      <c r="P432" s="214"/>
      <c r="Q432" s="39"/>
    </row>
    <row r="433" spans="1:17" ht="18.75">
      <c r="A433" s="829"/>
      <c r="B433" s="931"/>
      <c r="C433" s="833"/>
      <c r="D433" s="833"/>
      <c r="E433" s="832"/>
      <c r="F433" s="932"/>
      <c r="G433" s="938"/>
      <c r="H433" s="845"/>
      <c r="I433" s="939"/>
      <c r="J433" s="856"/>
      <c r="K433" s="863"/>
      <c r="L433" s="832"/>
      <c r="M433" s="858"/>
      <c r="N433" s="195"/>
      <c r="O433" s="196"/>
      <c r="P433" s="214"/>
      <c r="Q433" s="39"/>
    </row>
    <row r="434" spans="1:17" ht="18.75">
      <c r="A434" s="829"/>
      <c r="B434" s="931"/>
      <c r="C434" s="833"/>
      <c r="D434" s="833"/>
      <c r="E434" s="832"/>
      <c r="F434" s="932"/>
      <c r="G434" s="940"/>
      <c r="H434" s="845"/>
      <c r="I434" s="939"/>
      <c r="J434" s="856"/>
      <c r="K434" s="863"/>
      <c r="L434" s="832"/>
      <c r="M434" s="858"/>
      <c r="N434" s="195"/>
      <c r="O434" s="196"/>
      <c r="P434" s="214"/>
      <c r="Q434" s="39"/>
    </row>
    <row r="435" spans="1:17" ht="18.75">
      <c r="A435" s="829"/>
      <c r="B435" s="931"/>
      <c r="C435" s="833"/>
      <c r="D435" s="833"/>
      <c r="E435" s="832"/>
      <c r="F435" s="932"/>
      <c r="G435" s="940"/>
      <c r="H435" s="845"/>
      <c r="I435" s="939"/>
      <c r="J435" s="856"/>
      <c r="K435" s="863"/>
      <c r="L435" s="832"/>
      <c r="M435" s="858"/>
      <c r="N435" s="195"/>
      <c r="O435" s="196"/>
      <c r="P435" s="214"/>
      <c r="Q435" s="39"/>
    </row>
    <row r="436" spans="1:17" ht="18.75">
      <c r="A436" s="829"/>
      <c r="B436" s="931"/>
      <c r="C436" s="833"/>
      <c r="D436" s="833"/>
      <c r="E436" s="832"/>
      <c r="F436" s="932"/>
      <c r="G436" s="940"/>
      <c r="H436" s="845"/>
      <c r="I436" s="939"/>
      <c r="J436" s="856"/>
      <c r="K436" s="863"/>
      <c r="L436" s="832"/>
      <c r="M436" s="858"/>
      <c r="N436" s="195"/>
      <c r="O436" s="196"/>
      <c r="P436" s="214"/>
      <c r="Q436" s="39"/>
    </row>
    <row r="437" spans="1:17" ht="18.75">
      <c r="A437" s="829"/>
      <c r="B437" s="931"/>
      <c r="C437" s="833"/>
      <c r="D437" s="833"/>
      <c r="E437" s="832"/>
      <c r="F437" s="932"/>
      <c r="G437" s="940"/>
      <c r="H437" s="845"/>
      <c r="I437" s="939"/>
      <c r="J437" s="856"/>
      <c r="K437" s="863"/>
      <c r="L437" s="832"/>
      <c r="M437" s="858"/>
      <c r="N437" s="195"/>
      <c r="O437" s="196"/>
      <c r="P437" s="214"/>
      <c r="Q437" s="39"/>
    </row>
    <row r="438" spans="1:17" ht="18.75">
      <c r="A438" s="829"/>
      <c r="B438" s="931"/>
      <c r="C438" s="833"/>
      <c r="D438" s="833"/>
      <c r="E438" s="832"/>
      <c r="F438" s="932"/>
      <c r="G438" s="940"/>
      <c r="H438" s="845"/>
      <c r="I438" s="939"/>
      <c r="J438" s="856"/>
      <c r="K438" s="863"/>
      <c r="L438" s="832"/>
      <c r="M438" s="858"/>
      <c r="N438" s="195"/>
      <c r="O438" s="196"/>
      <c r="P438" s="214"/>
      <c r="Q438" s="39"/>
    </row>
    <row r="439" spans="1:17" ht="18.75">
      <c r="A439" s="829"/>
      <c r="B439" s="931"/>
      <c r="C439" s="833"/>
      <c r="D439" s="833"/>
      <c r="E439" s="832"/>
      <c r="F439" s="932"/>
      <c r="G439" s="940"/>
      <c r="H439" s="845"/>
      <c r="I439" s="939"/>
      <c r="J439" s="856"/>
      <c r="K439" s="863"/>
      <c r="L439" s="832"/>
      <c r="M439" s="858"/>
      <c r="N439" s="195"/>
      <c r="O439" s="196"/>
      <c r="P439" s="214"/>
      <c r="Q439" s="39"/>
    </row>
    <row r="440" spans="1:17" ht="18.75">
      <c r="A440" s="829"/>
      <c r="B440" s="931"/>
      <c r="C440" s="833"/>
      <c r="D440" s="833"/>
      <c r="E440" s="832"/>
      <c r="F440" s="932"/>
      <c r="G440" s="941"/>
      <c r="H440" s="845"/>
      <c r="I440" s="942"/>
      <c r="J440" s="856"/>
      <c r="K440" s="863"/>
      <c r="L440" s="832"/>
      <c r="M440" s="858"/>
      <c r="N440" s="195"/>
      <c r="O440" s="196"/>
      <c r="P440" s="214"/>
      <c r="Q440" s="39"/>
    </row>
    <row r="441" spans="1:17" ht="18.75">
      <c r="A441" s="829"/>
      <c r="B441" s="931"/>
      <c r="C441" s="833"/>
      <c r="D441" s="833"/>
      <c r="E441" s="832"/>
      <c r="F441" s="932"/>
      <c r="G441" s="941"/>
      <c r="H441" s="845"/>
      <c r="I441" s="942"/>
      <c r="J441" s="856"/>
      <c r="K441" s="863"/>
      <c r="L441" s="832"/>
      <c r="M441" s="858"/>
      <c r="N441" s="195"/>
      <c r="O441" s="196"/>
      <c r="P441" s="214"/>
      <c r="Q441" s="39"/>
    </row>
    <row r="442" spans="1:17" ht="18.75">
      <c r="A442" s="829"/>
      <c r="B442" s="931"/>
      <c r="C442" s="833"/>
      <c r="D442" s="833"/>
      <c r="E442" s="832"/>
      <c r="F442" s="932"/>
      <c r="G442" s="936"/>
      <c r="H442" s="845"/>
      <c r="I442" s="942"/>
      <c r="J442" s="856"/>
      <c r="K442" s="863"/>
      <c r="L442" s="832"/>
      <c r="M442" s="858"/>
      <c r="N442" s="195"/>
      <c r="O442" s="196"/>
      <c r="P442" s="214"/>
      <c r="Q442" s="39"/>
    </row>
    <row r="443" spans="1:17" ht="18.75">
      <c r="A443" s="829"/>
      <c r="B443" s="931"/>
      <c r="C443" s="833"/>
      <c r="D443" s="833"/>
      <c r="E443" s="832"/>
      <c r="F443" s="932"/>
      <c r="G443" s="941"/>
      <c r="H443" s="845"/>
      <c r="I443" s="942"/>
      <c r="J443" s="856"/>
      <c r="K443" s="863"/>
      <c r="L443" s="832"/>
      <c r="M443" s="858"/>
      <c r="N443" s="195"/>
      <c r="O443" s="196"/>
      <c r="P443" s="214"/>
      <c r="Q443" s="39"/>
    </row>
    <row r="444" spans="1:17" ht="18.75">
      <c r="A444" s="829"/>
      <c r="B444" s="931"/>
      <c r="C444" s="833"/>
      <c r="D444" s="833"/>
      <c r="E444" s="832"/>
      <c r="F444" s="932"/>
      <c r="G444" s="941"/>
      <c r="H444" s="845"/>
      <c r="I444" s="942"/>
      <c r="J444" s="856"/>
      <c r="K444" s="863"/>
      <c r="L444" s="832"/>
      <c r="M444" s="858"/>
      <c r="N444" s="195"/>
      <c r="O444" s="196"/>
      <c r="P444" s="214"/>
      <c r="Q444" s="39"/>
    </row>
    <row r="445" spans="1:17" ht="18.75">
      <c r="A445" s="829"/>
      <c r="B445" s="931">
        <v>45618</v>
      </c>
      <c r="C445" s="833"/>
      <c r="D445" s="833"/>
      <c r="E445" s="832"/>
      <c r="F445" s="932" t="s">
        <v>478</v>
      </c>
      <c r="G445" s="936">
        <v>30</v>
      </c>
      <c r="H445" s="845" t="s">
        <v>17</v>
      </c>
      <c r="I445" s="942">
        <v>19500</v>
      </c>
      <c r="J445" s="856">
        <f t="shared" ref="J445:J494" si="38">G445*I445</f>
        <v>585000</v>
      </c>
      <c r="K445" s="863"/>
      <c r="L445" s="832"/>
      <c r="M445" s="858"/>
      <c r="N445" s="195"/>
      <c r="O445" s="196"/>
      <c r="P445" s="214"/>
      <c r="Q445" s="39"/>
    </row>
    <row r="446" spans="1:17" ht="18.75">
      <c r="A446" s="829"/>
      <c r="B446" s="931">
        <v>45621</v>
      </c>
      <c r="C446" s="833"/>
      <c r="D446" s="833"/>
      <c r="E446" s="832"/>
      <c r="F446" s="932" t="s">
        <v>478</v>
      </c>
      <c r="G446" s="936">
        <v>45</v>
      </c>
      <c r="H446" s="845" t="s">
        <v>17</v>
      </c>
      <c r="I446" s="942">
        <v>19500</v>
      </c>
      <c r="J446" s="856">
        <f t="shared" si="38"/>
        <v>877500</v>
      </c>
      <c r="K446" s="863"/>
      <c r="L446" s="832"/>
      <c r="M446" s="858"/>
      <c r="N446" s="195"/>
      <c r="O446" s="196"/>
      <c r="P446" s="214"/>
      <c r="Q446" s="39"/>
    </row>
    <row r="447" spans="1:17" ht="18.75">
      <c r="A447" s="829"/>
      <c r="B447" s="931">
        <v>45622</v>
      </c>
      <c r="C447" s="833"/>
      <c r="D447" s="833"/>
      <c r="E447" s="832"/>
      <c r="F447" s="932" t="s">
        <v>478</v>
      </c>
      <c r="G447" s="936">
        <v>45</v>
      </c>
      <c r="H447" s="845" t="s">
        <v>17</v>
      </c>
      <c r="I447" s="942">
        <v>19500</v>
      </c>
      <c r="J447" s="856">
        <f t="shared" si="38"/>
        <v>877500</v>
      </c>
      <c r="K447" s="863"/>
      <c r="L447" s="832"/>
      <c r="M447" s="858"/>
      <c r="N447" s="195"/>
      <c r="O447" s="196"/>
      <c r="P447" s="214"/>
      <c r="Q447" s="39"/>
    </row>
    <row r="448" spans="1:17" ht="18.75">
      <c r="A448" s="829"/>
      <c r="B448" s="931">
        <v>45358</v>
      </c>
      <c r="C448" s="833"/>
      <c r="D448" s="833"/>
      <c r="E448" s="832"/>
      <c r="F448" s="932" t="s">
        <v>478</v>
      </c>
      <c r="G448" s="936">
        <v>40</v>
      </c>
      <c r="H448" s="845" t="s">
        <v>17</v>
      </c>
      <c r="I448" s="937">
        <v>20000</v>
      </c>
      <c r="J448" s="856">
        <f t="shared" si="38"/>
        <v>800000</v>
      </c>
      <c r="K448" s="863"/>
      <c r="L448" s="832"/>
      <c r="M448" s="858"/>
      <c r="N448" s="195"/>
      <c r="O448" s="196"/>
      <c r="P448" s="214"/>
      <c r="Q448" s="39"/>
    </row>
    <row r="449" spans="1:17" ht="18.75">
      <c r="A449" s="829"/>
      <c r="B449" s="931">
        <v>45359</v>
      </c>
      <c r="C449" s="833"/>
      <c r="D449" s="833"/>
      <c r="E449" s="832"/>
      <c r="F449" s="932" t="s">
        <v>478</v>
      </c>
      <c r="G449" s="936">
        <v>30</v>
      </c>
      <c r="H449" s="845" t="s">
        <v>17</v>
      </c>
      <c r="I449" s="937">
        <v>20000</v>
      </c>
      <c r="J449" s="856">
        <f t="shared" si="38"/>
        <v>600000</v>
      </c>
      <c r="K449" s="863"/>
      <c r="L449" s="832"/>
      <c r="M449" s="858"/>
      <c r="N449" s="195"/>
      <c r="O449" s="196"/>
      <c r="P449" s="214"/>
      <c r="Q449" s="39"/>
    </row>
    <row r="450" spans="1:17" ht="18.75">
      <c r="A450" s="829"/>
      <c r="B450" s="931">
        <v>45412</v>
      </c>
      <c r="C450" s="833"/>
      <c r="D450" s="833"/>
      <c r="E450" s="832"/>
      <c r="F450" s="932" t="s">
        <v>478</v>
      </c>
      <c r="G450" s="940">
        <v>60</v>
      </c>
      <c r="H450" s="845" t="s">
        <v>17</v>
      </c>
      <c r="I450" s="939">
        <v>20000</v>
      </c>
      <c r="J450" s="856">
        <f t="shared" si="38"/>
        <v>1200000</v>
      </c>
      <c r="K450" s="863"/>
      <c r="L450" s="832"/>
      <c r="M450" s="858"/>
      <c r="N450" s="195"/>
      <c r="O450" s="196"/>
      <c r="P450" s="214"/>
      <c r="Q450" s="39"/>
    </row>
    <row r="451" spans="1:17" ht="18.75">
      <c r="A451" s="829"/>
      <c r="B451" s="931">
        <v>45425</v>
      </c>
      <c r="C451" s="833"/>
      <c r="D451" s="833"/>
      <c r="E451" s="832"/>
      <c r="F451" s="932" t="s">
        <v>478</v>
      </c>
      <c r="G451" s="936">
        <v>20</v>
      </c>
      <c r="H451" s="845" t="s">
        <v>17</v>
      </c>
      <c r="I451" s="937">
        <v>20000</v>
      </c>
      <c r="J451" s="856">
        <f t="shared" si="38"/>
        <v>400000</v>
      </c>
      <c r="K451" s="863"/>
      <c r="L451" s="832"/>
      <c r="M451" s="858"/>
      <c r="N451" s="195"/>
      <c r="O451" s="196"/>
      <c r="P451" s="214"/>
      <c r="Q451" s="39"/>
    </row>
    <row r="452" spans="1:17" ht="18.75">
      <c r="A452" s="829"/>
      <c r="B452" s="931">
        <v>45415</v>
      </c>
      <c r="C452" s="833"/>
      <c r="D452" s="833"/>
      <c r="E452" s="832"/>
      <c r="F452" s="932" t="s">
        <v>478</v>
      </c>
      <c r="G452" s="936">
        <v>30</v>
      </c>
      <c r="H452" s="845" t="s">
        <v>17</v>
      </c>
      <c r="I452" s="937">
        <v>19000</v>
      </c>
      <c r="J452" s="856">
        <f t="shared" si="38"/>
        <v>570000</v>
      </c>
      <c r="K452" s="863"/>
      <c r="L452" s="832"/>
      <c r="M452" s="858"/>
      <c r="N452" s="195"/>
      <c r="O452" s="196"/>
      <c r="P452" s="214"/>
      <c r="Q452" s="39"/>
    </row>
    <row r="453" spans="1:17" ht="18.75">
      <c r="A453" s="829"/>
      <c r="B453" s="931">
        <v>45441</v>
      </c>
      <c r="C453" s="833"/>
      <c r="D453" s="833"/>
      <c r="E453" s="832"/>
      <c r="F453" s="932" t="s">
        <v>478</v>
      </c>
      <c r="G453" s="936">
        <v>30</v>
      </c>
      <c r="H453" s="845" t="s">
        <v>17</v>
      </c>
      <c r="I453" s="943">
        <v>20000</v>
      </c>
      <c r="J453" s="856">
        <f t="shared" si="38"/>
        <v>600000</v>
      </c>
      <c r="K453" s="863"/>
      <c r="L453" s="832"/>
      <c r="M453" s="858"/>
      <c r="N453" s="195"/>
      <c r="O453" s="196"/>
      <c r="P453" s="214"/>
      <c r="Q453" s="39"/>
    </row>
    <row r="454" spans="1:17" ht="18.75">
      <c r="A454" s="829"/>
      <c r="B454" s="931">
        <v>45450</v>
      </c>
      <c r="C454" s="833"/>
      <c r="D454" s="833"/>
      <c r="E454" s="832"/>
      <c r="F454" s="932" t="s">
        <v>478</v>
      </c>
      <c r="G454" s="936">
        <v>100</v>
      </c>
      <c r="H454" s="845" t="s">
        <v>17</v>
      </c>
      <c r="I454" s="943">
        <v>20000</v>
      </c>
      <c r="J454" s="856">
        <f t="shared" si="38"/>
        <v>2000000</v>
      </c>
      <c r="K454" s="863"/>
      <c r="L454" s="832"/>
      <c r="M454" s="858"/>
      <c r="N454" s="195"/>
      <c r="O454" s="196"/>
      <c r="P454" s="214"/>
      <c r="Q454" s="39"/>
    </row>
    <row r="455" spans="1:17" ht="18.75">
      <c r="A455" s="829"/>
      <c r="B455" s="931">
        <v>45453</v>
      </c>
      <c r="C455" s="833"/>
      <c r="D455" s="833"/>
      <c r="E455" s="832"/>
      <c r="F455" s="932" t="s">
        <v>478</v>
      </c>
      <c r="G455" s="936">
        <v>100</v>
      </c>
      <c r="H455" s="845" t="s">
        <v>17</v>
      </c>
      <c r="I455" s="943">
        <v>20000</v>
      </c>
      <c r="J455" s="856">
        <f t="shared" si="38"/>
        <v>2000000</v>
      </c>
      <c r="K455" s="863"/>
      <c r="L455" s="832"/>
      <c r="M455" s="858"/>
      <c r="N455" s="195"/>
      <c r="O455" s="196"/>
      <c r="P455" s="214"/>
      <c r="Q455" s="39"/>
    </row>
    <row r="456" spans="1:17" ht="18.75">
      <c r="A456" s="829"/>
      <c r="B456" s="931">
        <v>45462</v>
      </c>
      <c r="C456" s="833"/>
      <c r="D456" s="833"/>
      <c r="E456" s="832"/>
      <c r="F456" s="932" t="s">
        <v>478</v>
      </c>
      <c r="G456" s="940">
        <v>130</v>
      </c>
      <c r="H456" s="845" t="s">
        <v>17</v>
      </c>
      <c r="I456" s="939">
        <v>20000</v>
      </c>
      <c r="J456" s="856">
        <f t="shared" si="38"/>
        <v>2600000</v>
      </c>
      <c r="K456" s="863"/>
      <c r="L456" s="832"/>
      <c r="M456" s="858"/>
      <c r="N456" s="195"/>
      <c r="O456" s="196"/>
      <c r="P456" s="214"/>
      <c r="Q456" s="39"/>
    </row>
    <row r="457" spans="1:17" ht="18.75">
      <c r="A457" s="829"/>
      <c r="B457" s="931">
        <v>45463</v>
      </c>
      <c r="C457" s="833"/>
      <c r="D457" s="833"/>
      <c r="E457" s="832"/>
      <c r="F457" s="932" t="s">
        <v>478</v>
      </c>
      <c r="G457" s="941">
        <v>120</v>
      </c>
      <c r="H457" s="845" t="s">
        <v>17</v>
      </c>
      <c r="I457" s="944">
        <v>20000</v>
      </c>
      <c r="J457" s="856">
        <f t="shared" si="38"/>
        <v>2400000</v>
      </c>
      <c r="K457" s="863"/>
      <c r="L457" s="832"/>
      <c r="M457" s="858"/>
      <c r="N457" s="195"/>
      <c r="O457" s="196"/>
      <c r="P457" s="214"/>
      <c r="Q457" s="39"/>
    </row>
    <row r="458" spans="1:17" ht="18.75">
      <c r="A458" s="829"/>
      <c r="B458" s="931">
        <v>45558</v>
      </c>
      <c r="C458" s="833"/>
      <c r="D458" s="833"/>
      <c r="E458" s="832"/>
      <c r="F458" s="932" t="s">
        <v>478</v>
      </c>
      <c r="G458" s="936">
        <v>30</v>
      </c>
      <c r="H458" s="845" t="s">
        <v>17</v>
      </c>
      <c r="I458" s="937">
        <v>20000</v>
      </c>
      <c r="J458" s="856">
        <f t="shared" si="38"/>
        <v>600000</v>
      </c>
      <c r="K458" s="863"/>
      <c r="L458" s="832"/>
      <c r="M458" s="858"/>
      <c r="N458" s="195"/>
      <c r="O458" s="196"/>
      <c r="P458" s="214"/>
      <c r="Q458" s="39"/>
    </row>
    <row r="459" spans="1:17" ht="18.75">
      <c r="A459" s="829"/>
      <c r="B459" s="931">
        <v>45527</v>
      </c>
      <c r="C459" s="833"/>
      <c r="D459" s="833"/>
      <c r="E459" s="832"/>
      <c r="F459" s="932" t="s">
        <v>478</v>
      </c>
      <c r="G459" s="936">
        <v>25</v>
      </c>
      <c r="H459" s="845" t="s">
        <v>17</v>
      </c>
      <c r="I459" s="943">
        <v>20000</v>
      </c>
      <c r="J459" s="856">
        <f t="shared" si="38"/>
        <v>500000</v>
      </c>
      <c r="K459" s="863"/>
      <c r="L459" s="832"/>
      <c r="M459" s="858"/>
      <c r="N459" s="195"/>
      <c r="O459" s="196"/>
      <c r="P459" s="214"/>
      <c r="Q459" s="39"/>
    </row>
    <row r="460" spans="1:17" ht="18.75">
      <c r="A460" s="829"/>
      <c r="B460" s="931">
        <v>45546</v>
      </c>
      <c r="C460" s="833"/>
      <c r="D460" s="833"/>
      <c r="E460" s="832"/>
      <c r="F460" s="932" t="s">
        <v>478</v>
      </c>
      <c r="G460" s="936">
        <v>50</v>
      </c>
      <c r="H460" s="845" t="s">
        <v>17</v>
      </c>
      <c r="I460" s="943">
        <v>20000</v>
      </c>
      <c r="J460" s="856">
        <f t="shared" si="38"/>
        <v>1000000</v>
      </c>
      <c r="K460" s="863"/>
      <c r="L460" s="832"/>
      <c r="M460" s="858"/>
      <c r="N460" s="195"/>
      <c r="O460" s="196"/>
      <c r="P460" s="214"/>
      <c r="Q460" s="39"/>
    </row>
    <row r="461" spans="1:17" ht="18.75">
      <c r="A461" s="829"/>
      <c r="B461" s="931">
        <v>45547</v>
      </c>
      <c r="C461" s="833"/>
      <c r="D461" s="833"/>
      <c r="E461" s="832"/>
      <c r="F461" s="932" t="s">
        <v>478</v>
      </c>
      <c r="G461" s="936">
        <v>40</v>
      </c>
      <c r="H461" s="845" t="s">
        <v>17</v>
      </c>
      <c r="I461" s="943">
        <v>20000</v>
      </c>
      <c r="J461" s="856">
        <f t="shared" si="38"/>
        <v>800000</v>
      </c>
      <c r="K461" s="863"/>
      <c r="L461" s="832"/>
      <c r="M461" s="858"/>
      <c r="N461" s="195"/>
      <c r="O461" s="196"/>
      <c r="P461" s="214"/>
      <c r="Q461" s="39"/>
    </row>
    <row r="462" spans="1:17" ht="18.75">
      <c r="A462" s="829"/>
      <c r="B462" s="931">
        <v>45552</v>
      </c>
      <c r="C462" s="833"/>
      <c r="D462" s="833"/>
      <c r="E462" s="832"/>
      <c r="F462" s="932" t="s">
        <v>478</v>
      </c>
      <c r="G462" s="936">
        <v>20</v>
      </c>
      <c r="H462" s="845" t="s">
        <v>17</v>
      </c>
      <c r="I462" s="943">
        <v>20000</v>
      </c>
      <c r="J462" s="856">
        <f t="shared" si="38"/>
        <v>400000</v>
      </c>
      <c r="K462" s="863"/>
      <c r="L462" s="832"/>
      <c r="M462" s="858"/>
      <c r="N462" s="195"/>
      <c r="O462" s="196"/>
      <c r="P462" s="214"/>
      <c r="Q462" s="39"/>
    </row>
    <row r="463" spans="1:17" ht="18.75">
      <c r="A463" s="829"/>
      <c r="B463" s="931">
        <v>45554</v>
      </c>
      <c r="C463" s="833"/>
      <c r="D463" s="833"/>
      <c r="E463" s="832"/>
      <c r="F463" s="932" t="s">
        <v>478</v>
      </c>
      <c r="G463" s="936">
        <f>30+25</f>
        <v>55</v>
      </c>
      <c r="H463" s="845" t="s">
        <v>17</v>
      </c>
      <c r="I463" s="943">
        <v>20000</v>
      </c>
      <c r="J463" s="856">
        <f t="shared" si="38"/>
        <v>1100000</v>
      </c>
      <c r="K463" s="863"/>
      <c r="L463" s="832"/>
      <c r="M463" s="858"/>
      <c r="N463" s="195"/>
      <c r="O463" s="196"/>
      <c r="P463" s="214"/>
      <c r="Q463" s="39"/>
    </row>
    <row r="464" spans="1:17" ht="18.75">
      <c r="A464" s="829"/>
      <c r="B464" s="931">
        <v>45565</v>
      </c>
      <c r="C464" s="833"/>
      <c r="D464" s="833"/>
      <c r="E464" s="832"/>
      <c r="F464" s="932" t="s">
        <v>478</v>
      </c>
      <c r="G464" s="936">
        <f>30+40</f>
        <v>70</v>
      </c>
      <c r="H464" s="845" t="s">
        <v>17</v>
      </c>
      <c r="I464" s="943">
        <v>20000</v>
      </c>
      <c r="J464" s="856">
        <f t="shared" si="38"/>
        <v>1400000</v>
      </c>
      <c r="K464" s="863"/>
      <c r="L464" s="832"/>
      <c r="M464" s="858"/>
      <c r="N464" s="195"/>
      <c r="O464" s="196"/>
      <c r="P464" s="214"/>
      <c r="Q464" s="39"/>
    </row>
    <row r="465" spans="1:17" ht="18.75">
      <c r="A465" s="829"/>
      <c r="B465" s="931">
        <v>45566</v>
      </c>
      <c r="C465" s="833"/>
      <c r="D465" s="833"/>
      <c r="E465" s="832"/>
      <c r="F465" s="932" t="s">
        <v>478</v>
      </c>
      <c r="G465" s="936">
        <f>50+20</f>
        <v>70</v>
      </c>
      <c r="H465" s="845" t="s">
        <v>17</v>
      </c>
      <c r="I465" s="943">
        <v>20000</v>
      </c>
      <c r="J465" s="856">
        <f t="shared" si="38"/>
        <v>1400000</v>
      </c>
      <c r="K465" s="863"/>
      <c r="L465" s="832"/>
      <c r="M465" s="858"/>
      <c r="N465" s="195"/>
      <c r="O465" s="196"/>
      <c r="P465" s="214"/>
      <c r="Q465" s="39"/>
    </row>
    <row r="466" spans="1:17" ht="18.75">
      <c r="A466" s="829"/>
      <c r="B466" s="931">
        <v>45593</v>
      </c>
      <c r="C466" s="833"/>
      <c r="D466" s="833"/>
      <c r="E466" s="832"/>
      <c r="F466" s="932" t="s">
        <v>478</v>
      </c>
      <c r="G466" s="936">
        <v>70</v>
      </c>
      <c r="H466" s="845" t="s">
        <v>17</v>
      </c>
      <c r="I466" s="937">
        <v>20000</v>
      </c>
      <c r="J466" s="856">
        <f t="shared" si="38"/>
        <v>1400000</v>
      </c>
      <c r="K466" s="863"/>
      <c r="L466" s="832"/>
      <c r="M466" s="858"/>
      <c r="N466" s="195"/>
      <c r="O466" s="196"/>
      <c r="P466" s="214"/>
      <c r="Q466" s="39"/>
    </row>
    <row r="467" spans="1:17" ht="18.75">
      <c r="A467" s="829"/>
      <c r="B467" s="931">
        <v>45594</v>
      </c>
      <c r="C467" s="833"/>
      <c r="D467" s="833"/>
      <c r="E467" s="832"/>
      <c r="F467" s="932" t="s">
        <v>478</v>
      </c>
      <c r="G467" s="936">
        <v>65</v>
      </c>
      <c r="H467" s="845" t="s">
        <v>17</v>
      </c>
      <c r="I467" s="937">
        <v>20000</v>
      </c>
      <c r="J467" s="856">
        <f t="shared" si="38"/>
        <v>1300000</v>
      </c>
      <c r="K467" s="863"/>
      <c r="L467" s="832"/>
      <c r="M467" s="858"/>
      <c r="N467" s="195"/>
      <c r="O467" s="196"/>
      <c r="P467" s="214"/>
      <c r="Q467" s="39"/>
    </row>
    <row r="468" spans="1:17" ht="18.75">
      <c r="A468" s="829"/>
      <c r="B468" s="931">
        <v>45594</v>
      </c>
      <c r="C468" s="833"/>
      <c r="D468" s="833"/>
      <c r="E468" s="832"/>
      <c r="F468" s="932" t="s">
        <v>478</v>
      </c>
      <c r="G468" s="936">
        <v>135</v>
      </c>
      <c r="H468" s="845" t="s">
        <v>17</v>
      </c>
      <c r="I468" s="937">
        <v>20000</v>
      </c>
      <c r="J468" s="856">
        <f t="shared" si="38"/>
        <v>2700000</v>
      </c>
      <c r="K468" s="863"/>
      <c r="L468" s="832"/>
      <c r="M468" s="858"/>
      <c r="N468" s="195"/>
      <c r="O468" s="196"/>
      <c r="P468" s="214"/>
      <c r="Q468" s="39"/>
    </row>
    <row r="469" spans="1:17" ht="18.75">
      <c r="A469" s="829"/>
      <c r="B469" s="931">
        <v>45624</v>
      </c>
      <c r="C469" s="833"/>
      <c r="D469" s="833"/>
      <c r="E469" s="832"/>
      <c r="F469" s="932" t="s">
        <v>478</v>
      </c>
      <c r="G469" s="936">
        <v>20</v>
      </c>
      <c r="H469" s="845" t="s">
        <v>17</v>
      </c>
      <c r="I469" s="937">
        <v>20000</v>
      </c>
      <c r="J469" s="856">
        <f t="shared" si="38"/>
        <v>400000</v>
      </c>
      <c r="K469" s="863"/>
      <c r="L469" s="832"/>
      <c r="M469" s="858"/>
      <c r="N469" s="195"/>
      <c r="O469" s="196"/>
      <c r="P469" s="214"/>
      <c r="Q469" s="39"/>
    </row>
    <row r="470" spans="1:17" ht="18.75">
      <c r="A470" s="829"/>
      <c r="B470" s="931">
        <v>45625</v>
      </c>
      <c r="C470" s="833"/>
      <c r="D470" s="833"/>
      <c r="E470" s="832"/>
      <c r="F470" s="932" t="s">
        <v>478</v>
      </c>
      <c r="G470" s="936">
        <v>30</v>
      </c>
      <c r="H470" s="845" t="s">
        <v>17</v>
      </c>
      <c r="I470" s="937">
        <v>20000</v>
      </c>
      <c r="J470" s="856">
        <f t="shared" si="38"/>
        <v>600000</v>
      </c>
      <c r="K470" s="863"/>
      <c r="L470" s="832"/>
      <c r="M470" s="858"/>
      <c r="N470" s="195"/>
      <c r="O470" s="196"/>
      <c r="P470" s="214"/>
      <c r="Q470" s="39"/>
    </row>
    <row r="471" spans="1:17" ht="18.75">
      <c r="A471" s="829"/>
      <c r="B471" s="931">
        <v>45630</v>
      </c>
      <c r="C471" s="833"/>
      <c r="D471" s="833"/>
      <c r="E471" s="832"/>
      <c r="F471" s="932" t="s">
        <v>478</v>
      </c>
      <c r="G471" s="936">
        <v>70</v>
      </c>
      <c r="H471" s="845" t="s">
        <v>17</v>
      </c>
      <c r="I471" s="937">
        <v>20000</v>
      </c>
      <c r="J471" s="856">
        <f t="shared" si="38"/>
        <v>1400000</v>
      </c>
      <c r="K471" s="863"/>
      <c r="L471" s="832"/>
      <c r="M471" s="858"/>
      <c r="N471" s="195"/>
      <c r="O471" s="196"/>
      <c r="P471" s="214"/>
      <c r="Q471" s="39"/>
    </row>
    <row r="472" spans="1:17" ht="18.75">
      <c r="A472" s="829"/>
      <c r="B472" s="931">
        <v>45631</v>
      </c>
      <c r="C472" s="833"/>
      <c r="D472" s="833"/>
      <c r="E472" s="832"/>
      <c r="F472" s="932" t="s">
        <v>478</v>
      </c>
      <c r="G472" s="936">
        <v>30</v>
      </c>
      <c r="H472" s="845" t="s">
        <v>17</v>
      </c>
      <c r="I472" s="937">
        <v>20000</v>
      </c>
      <c r="J472" s="856">
        <f t="shared" si="38"/>
        <v>600000</v>
      </c>
      <c r="K472" s="863"/>
      <c r="L472" s="832"/>
      <c r="M472" s="858"/>
      <c r="N472" s="195"/>
      <c r="O472" s="196"/>
      <c r="P472" s="214"/>
      <c r="Q472" s="39"/>
    </row>
    <row r="473" spans="1:17" ht="18.75">
      <c r="A473" s="829"/>
      <c r="B473" s="933">
        <v>45329</v>
      </c>
      <c r="C473" s="833"/>
      <c r="D473" s="833"/>
      <c r="E473" s="832"/>
      <c r="F473" s="932" t="s">
        <v>478</v>
      </c>
      <c r="G473" s="934">
        <v>20</v>
      </c>
      <c r="H473" s="845" t="s">
        <v>17</v>
      </c>
      <c r="I473" s="935">
        <v>20000</v>
      </c>
      <c r="J473" s="856">
        <f t="shared" si="38"/>
        <v>400000</v>
      </c>
      <c r="K473" s="863"/>
      <c r="L473" s="832"/>
      <c r="M473" s="858"/>
      <c r="N473" s="195"/>
      <c r="O473" s="196"/>
      <c r="P473" s="214"/>
      <c r="Q473" s="39"/>
    </row>
    <row r="474" spans="1:17" ht="18.75">
      <c r="A474" s="829"/>
      <c r="B474" s="933">
        <v>45343</v>
      </c>
      <c r="C474" s="833"/>
      <c r="D474" s="833"/>
      <c r="E474" s="832"/>
      <c r="F474" s="932" t="s">
        <v>478</v>
      </c>
      <c r="G474" s="934">
        <f>25+40</f>
        <v>65</v>
      </c>
      <c r="H474" s="845" t="s">
        <v>17</v>
      </c>
      <c r="I474" s="935">
        <v>20000</v>
      </c>
      <c r="J474" s="856">
        <f t="shared" si="38"/>
        <v>1300000</v>
      </c>
      <c r="K474" s="863"/>
      <c r="L474" s="832"/>
      <c r="M474" s="858"/>
      <c r="N474" s="195"/>
      <c r="O474" s="196"/>
      <c r="P474" s="214"/>
      <c r="Q474" s="39"/>
    </row>
    <row r="475" spans="1:17" ht="18.75">
      <c r="A475" s="829"/>
      <c r="B475" s="933">
        <v>45357</v>
      </c>
      <c r="C475" s="833"/>
      <c r="D475" s="833"/>
      <c r="E475" s="832"/>
      <c r="F475" s="932" t="s">
        <v>478</v>
      </c>
      <c r="G475" s="934">
        <v>20</v>
      </c>
      <c r="H475" s="845" t="s">
        <v>17</v>
      </c>
      <c r="I475" s="935">
        <v>20000</v>
      </c>
      <c r="J475" s="856">
        <f t="shared" si="38"/>
        <v>400000</v>
      </c>
      <c r="K475" s="863"/>
      <c r="L475" s="832"/>
      <c r="M475" s="858"/>
      <c r="N475" s="195"/>
      <c r="O475" s="196"/>
      <c r="P475" s="214"/>
      <c r="Q475" s="39"/>
    </row>
    <row r="476" spans="1:17" ht="18.75">
      <c r="A476" s="829"/>
      <c r="B476" s="933">
        <v>45407</v>
      </c>
      <c r="C476" s="833"/>
      <c r="D476" s="833"/>
      <c r="E476" s="832"/>
      <c r="F476" s="932" t="s">
        <v>478</v>
      </c>
      <c r="G476" s="934">
        <v>20</v>
      </c>
      <c r="H476" s="845" t="s">
        <v>17</v>
      </c>
      <c r="I476" s="935">
        <v>20000</v>
      </c>
      <c r="J476" s="856">
        <f t="shared" si="38"/>
        <v>400000</v>
      </c>
      <c r="K476" s="863"/>
      <c r="L476" s="832"/>
      <c r="M476" s="858"/>
      <c r="N476" s="195"/>
      <c r="O476" s="196"/>
      <c r="P476" s="214"/>
      <c r="Q476" s="39"/>
    </row>
    <row r="477" spans="1:17" ht="18.75">
      <c r="A477" s="829"/>
      <c r="B477" s="933">
        <v>45411</v>
      </c>
      <c r="C477" s="833"/>
      <c r="D477" s="833"/>
      <c r="E477" s="832"/>
      <c r="F477" s="932" t="s">
        <v>478</v>
      </c>
      <c r="G477" s="945">
        <v>30</v>
      </c>
      <c r="H477" s="845" t="s">
        <v>17</v>
      </c>
      <c r="I477" s="935">
        <v>20000</v>
      </c>
      <c r="J477" s="856">
        <f t="shared" si="38"/>
        <v>600000</v>
      </c>
      <c r="K477" s="863"/>
      <c r="L477" s="832"/>
      <c r="M477" s="858"/>
      <c r="N477" s="195"/>
      <c r="O477" s="196"/>
      <c r="P477" s="214"/>
      <c r="Q477" s="39"/>
    </row>
    <row r="478" spans="1:17" ht="18.75">
      <c r="A478" s="829"/>
      <c r="B478" s="933">
        <v>45420</v>
      </c>
      <c r="C478" s="833"/>
      <c r="D478" s="833"/>
      <c r="E478" s="832"/>
      <c r="F478" s="932" t="s">
        <v>478</v>
      </c>
      <c r="G478" s="945">
        <f>25+35</f>
        <v>60</v>
      </c>
      <c r="H478" s="845" t="s">
        <v>17</v>
      </c>
      <c r="I478" s="935">
        <v>20000</v>
      </c>
      <c r="J478" s="856">
        <f t="shared" si="38"/>
        <v>1200000</v>
      </c>
      <c r="K478" s="863"/>
      <c r="L478" s="832"/>
      <c r="M478" s="858"/>
      <c r="N478" s="195"/>
      <c r="O478" s="196"/>
      <c r="P478" s="214"/>
      <c r="Q478" s="39"/>
    </row>
    <row r="479" spans="1:17" ht="18.75">
      <c r="A479" s="829"/>
      <c r="B479" s="933">
        <v>45439</v>
      </c>
      <c r="C479" s="833"/>
      <c r="D479" s="833"/>
      <c r="E479" s="832"/>
      <c r="F479" s="932" t="s">
        <v>478</v>
      </c>
      <c r="G479" s="945">
        <f>30+50</f>
        <v>80</v>
      </c>
      <c r="H479" s="845" t="s">
        <v>17</v>
      </c>
      <c r="I479" s="935">
        <v>20000</v>
      </c>
      <c r="J479" s="856">
        <f t="shared" si="38"/>
        <v>1600000</v>
      </c>
      <c r="K479" s="863"/>
      <c r="L479" s="832"/>
      <c r="M479" s="858"/>
      <c r="N479" s="195"/>
      <c r="O479" s="196"/>
      <c r="P479" s="214"/>
      <c r="Q479" s="39"/>
    </row>
    <row r="480" spans="1:17" ht="18.75">
      <c r="A480" s="829"/>
      <c r="B480" s="933">
        <v>45440</v>
      </c>
      <c r="C480" s="833"/>
      <c r="D480" s="833"/>
      <c r="E480" s="832"/>
      <c r="F480" s="932" t="s">
        <v>478</v>
      </c>
      <c r="G480" s="945">
        <f>35+50</f>
        <v>85</v>
      </c>
      <c r="H480" s="845" t="s">
        <v>17</v>
      </c>
      <c r="I480" s="935">
        <v>20000</v>
      </c>
      <c r="J480" s="856">
        <f t="shared" si="38"/>
        <v>1700000</v>
      </c>
      <c r="K480" s="863"/>
      <c r="L480" s="832"/>
      <c r="M480" s="858"/>
      <c r="N480" s="195"/>
      <c r="O480" s="196"/>
      <c r="P480" s="214"/>
      <c r="Q480" s="39"/>
    </row>
    <row r="481" spans="1:17" ht="18.75">
      <c r="A481" s="829"/>
      <c r="B481" s="933">
        <v>45441</v>
      </c>
      <c r="C481" s="833"/>
      <c r="D481" s="833"/>
      <c r="E481" s="832"/>
      <c r="F481" s="932" t="s">
        <v>478</v>
      </c>
      <c r="G481" s="945">
        <v>50</v>
      </c>
      <c r="H481" s="845" t="s">
        <v>17</v>
      </c>
      <c r="I481" s="935">
        <v>20000</v>
      </c>
      <c r="J481" s="856">
        <f t="shared" si="38"/>
        <v>1000000</v>
      </c>
      <c r="K481" s="863"/>
      <c r="L481" s="832"/>
      <c r="M481" s="858"/>
      <c r="N481" s="195"/>
      <c r="O481" s="196"/>
      <c r="P481" s="214"/>
      <c r="Q481" s="39"/>
    </row>
    <row r="482" spans="1:17" ht="18.75">
      <c r="A482" s="829"/>
      <c r="B482" s="933">
        <v>45446</v>
      </c>
      <c r="C482" s="833"/>
      <c r="D482" s="833"/>
      <c r="E482" s="832"/>
      <c r="F482" s="932" t="s">
        <v>478</v>
      </c>
      <c r="G482" s="945">
        <v>15</v>
      </c>
      <c r="H482" s="845" t="s">
        <v>17</v>
      </c>
      <c r="I482" s="935">
        <v>20000</v>
      </c>
      <c r="J482" s="856">
        <f t="shared" si="38"/>
        <v>300000</v>
      </c>
      <c r="K482" s="863"/>
      <c r="L482" s="832"/>
      <c r="M482" s="858"/>
      <c r="N482" s="195"/>
      <c r="O482" s="196"/>
      <c r="P482" s="214"/>
      <c r="Q482" s="39"/>
    </row>
    <row r="483" spans="1:17" ht="18.75">
      <c r="A483" s="829"/>
      <c r="B483" s="933">
        <v>45447</v>
      </c>
      <c r="C483" s="833"/>
      <c r="D483" s="833"/>
      <c r="E483" s="832"/>
      <c r="F483" s="932" t="s">
        <v>478</v>
      </c>
      <c r="G483" s="945">
        <v>287</v>
      </c>
      <c r="H483" s="845" t="s">
        <v>17</v>
      </c>
      <c r="I483" s="935">
        <v>20000</v>
      </c>
      <c r="J483" s="856">
        <f t="shared" si="38"/>
        <v>5740000</v>
      </c>
      <c r="K483" s="863"/>
      <c r="L483" s="832"/>
      <c r="M483" s="858"/>
      <c r="N483" s="195"/>
      <c r="O483" s="196"/>
      <c r="P483" s="214"/>
      <c r="Q483" s="39"/>
    </row>
    <row r="484" spans="1:17" ht="18.75">
      <c r="A484" s="829"/>
      <c r="B484" s="933">
        <v>45450</v>
      </c>
      <c r="C484" s="833"/>
      <c r="D484" s="833"/>
      <c r="E484" s="832"/>
      <c r="F484" s="932" t="s">
        <v>478</v>
      </c>
      <c r="G484" s="945">
        <v>35</v>
      </c>
      <c r="H484" s="845" t="s">
        <v>17</v>
      </c>
      <c r="I484" s="935">
        <v>20000</v>
      </c>
      <c r="J484" s="856">
        <f t="shared" si="38"/>
        <v>700000</v>
      </c>
      <c r="K484" s="863"/>
      <c r="L484" s="832"/>
      <c r="M484" s="858"/>
      <c r="N484" s="195"/>
      <c r="O484" s="196"/>
      <c r="P484" s="214"/>
      <c r="Q484" s="39"/>
    </row>
    <row r="485" spans="1:17" ht="18.75">
      <c r="A485" s="829"/>
      <c r="B485" s="933">
        <v>45457</v>
      </c>
      <c r="C485" s="833"/>
      <c r="D485" s="833"/>
      <c r="E485" s="832"/>
      <c r="F485" s="932" t="s">
        <v>478</v>
      </c>
      <c r="G485" s="934">
        <v>30</v>
      </c>
      <c r="H485" s="845" t="s">
        <v>17</v>
      </c>
      <c r="I485" s="935">
        <v>20000</v>
      </c>
      <c r="J485" s="856">
        <f t="shared" si="38"/>
        <v>600000</v>
      </c>
      <c r="K485" s="863"/>
      <c r="L485" s="832"/>
      <c r="M485" s="858"/>
      <c r="N485" s="195"/>
      <c r="O485" s="196"/>
      <c r="P485" s="214"/>
      <c r="Q485" s="39"/>
    </row>
    <row r="486" spans="1:17" ht="18.75">
      <c r="A486" s="829"/>
      <c r="B486" s="933">
        <v>45464</v>
      </c>
      <c r="C486" s="833"/>
      <c r="D486" s="833"/>
      <c r="E486" s="832"/>
      <c r="F486" s="932" t="s">
        <v>478</v>
      </c>
      <c r="G486" s="934">
        <v>20</v>
      </c>
      <c r="H486" s="845" t="s">
        <v>17</v>
      </c>
      <c r="I486" s="935">
        <v>20000</v>
      </c>
      <c r="J486" s="856">
        <f t="shared" si="38"/>
        <v>400000</v>
      </c>
      <c r="K486" s="863"/>
      <c r="L486" s="832"/>
      <c r="M486" s="858"/>
      <c r="N486" s="195"/>
      <c r="O486" s="196"/>
      <c r="P486" s="214"/>
      <c r="Q486" s="39"/>
    </row>
    <row r="487" spans="1:17" ht="18.75">
      <c r="A487" s="829"/>
      <c r="B487" s="933">
        <v>45483</v>
      </c>
      <c r="C487" s="833"/>
      <c r="D487" s="833"/>
      <c r="E487" s="832"/>
      <c r="F487" s="932" t="s">
        <v>478</v>
      </c>
      <c r="G487" s="945">
        <v>140</v>
      </c>
      <c r="H487" s="845" t="s">
        <v>17</v>
      </c>
      <c r="I487" s="935">
        <v>20000</v>
      </c>
      <c r="J487" s="856">
        <f t="shared" si="38"/>
        <v>2800000</v>
      </c>
      <c r="K487" s="863"/>
      <c r="L487" s="832"/>
      <c r="M487" s="858"/>
      <c r="N487" s="195"/>
      <c r="O487" s="196"/>
      <c r="P487" s="214"/>
      <c r="Q487" s="39"/>
    </row>
    <row r="488" spans="1:17" ht="18.75">
      <c r="A488" s="829"/>
      <c r="B488" s="933">
        <v>45484</v>
      </c>
      <c r="C488" s="833"/>
      <c r="D488" s="833"/>
      <c r="E488" s="832"/>
      <c r="F488" s="932" t="s">
        <v>478</v>
      </c>
      <c r="G488" s="945">
        <v>149</v>
      </c>
      <c r="H488" s="845" t="s">
        <v>17</v>
      </c>
      <c r="I488" s="935">
        <v>20000</v>
      </c>
      <c r="J488" s="856">
        <f t="shared" si="38"/>
        <v>2980000</v>
      </c>
      <c r="K488" s="863"/>
      <c r="L488" s="832"/>
      <c r="M488" s="858"/>
      <c r="N488" s="195"/>
      <c r="O488" s="196"/>
      <c r="P488" s="214"/>
      <c r="Q488" s="39"/>
    </row>
    <row r="489" spans="1:17" ht="18.75">
      <c r="A489" s="829"/>
      <c r="B489" s="933">
        <v>45489</v>
      </c>
      <c r="C489" s="833"/>
      <c r="D489" s="833"/>
      <c r="E489" s="832"/>
      <c r="F489" s="932" t="s">
        <v>478</v>
      </c>
      <c r="G489" s="945">
        <v>65</v>
      </c>
      <c r="H489" s="845" t="s">
        <v>17</v>
      </c>
      <c r="I489" s="935">
        <v>20000</v>
      </c>
      <c r="J489" s="856">
        <f t="shared" si="38"/>
        <v>1300000</v>
      </c>
      <c r="K489" s="863"/>
      <c r="L489" s="832"/>
      <c r="M489" s="858"/>
      <c r="N489" s="195"/>
      <c r="O489" s="196"/>
      <c r="P489" s="214"/>
      <c r="Q489" s="39"/>
    </row>
    <row r="490" spans="1:17" ht="18.75">
      <c r="A490" s="829"/>
      <c r="B490" s="933">
        <v>45499</v>
      </c>
      <c r="C490" s="833"/>
      <c r="D490" s="833"/>
      <c r="E490" s="832"/>
      <c r="F490" s="932" t="s">
        <v>478</v>
      </c>
      <c r="G490" s="945">
        <v>15</v>
      </c>
      <c r="H490" s="845" t="s">
        <v>17</v>
      </c>
      <c r="I490" s="935">
        <v>20000</v>
      </c>
      <c r="J490" s="856">
        <f t="shared" si="38"/>
        <v>300000</v>
      </c>
      <c r="K490" s="863"/>
      <c r="L490" s="832"/>
      <c r="M490" s="858"/>
      <c r="N490" s="195"/>
      <c r="O490" s="196"/>
      <c r="P490" s="214"/>
      <c r="Q490" s="39"/>
    </row>
    <row r="491" spans="1:17" ht="18.75">
      <c r="A491" s="829"/>
      <c r="B491" s="933">
        <v>45505</v>
      </c>
      <c r="C491" s="833"/>
      <c r="D491" s="833"/>
      <c r="E491" s="832"/>
      <c r="F491" s="932" t="s">
        <v>478</v>
      </c>
      <c r="G491" s="945">
        <v>20</v>
      </c>
      <c r="H491" s="845" t="s">
        <v>17</v>
      </c>
      <c r="I491" s="935">
        <v>20000</v>
      </c>
      <c r="J491" s="856">
        <f t="shared" si="38"/>
        <v>400000</v>
      </c>
      <c r="K491" s="863"/>
      <c r="L491" s="832"/>
      <c r="M491" s="858"/>
      <c r="N491" s="195"/>
      <c r="O491" s="196"/>
      <c r="P491" s="214"/>
      <c r="Q491" s="39"/>
    </row>
    <row r="492" spans="1:17" ht="18.75">
      <c r="A492" s="829"/>
      <c r="B492" s="933">
        <v>45526</v>
      </c>
      <c r="C492" s="833"/>
      <c r="D492" s="833"/>
      <c r="E492" s="832"/>
      <c r="F492" s="932" t="s">
        <v>478</v>
      </c>
      <c r="G492" s="945">
        <v>25</v>
      </c>
      <c r="H492" s="845" t="s">
        <v>17</v>
      </c>
      <c r="I492" s="935">
        <v>20000</v>
      </c>
      <c r="J492" s="856">
        <f t="shared" si="38"/>
        <v>500000</v>
      </c>
      <c r="K492" s="863"/>
      <c r="L492" s="832"/>
      <c r="M492" s="858"/>
      <c r="N492" s="195"/>
      <c r="O492" s="196"/>
      <c r="P492" s="214"/>
      <c r="Q492" s="39"/>
    </row>
    <row r="493" spans="1:17" ht="18.75">
      <c r="A493" s="829"/>
      <c r="B493" s="933">
        <v>45519</v>
      </c>
      <c r="C493" s="833"/>
      <c r="D493" s="833"/>
      <c r="E493" s="832"/>
      <c r="F493" s="932" t="s">
        <v>478</v>
      </c>
      <c r="G493" s="945">
        <v>25</v>
      </c>
      <c r="H493" s="845" t="s">
        <v>17</v>
      </c>
      <c r="I493" s="935">
        <v>20000</v>
      </c>
      <c r="J493" s="856">
        <f t="shared" si="38"/>
        <v>500000</v>
      </c>
      <c r="K493" s="863"/>
      <c r="L493" s="832"/>
      <c r="M493" s="858"/>
      <c r="N493" s="195"/>
      <c r="O493" s="196"/>
      <c r="P493" s="214"/>
      <c r="Q493" s="39"/>
    </row>
    <row r="494" spans="1:17" ht="18.75">
      <c r="A494" s="829"/>
      <c r="B494" s="933">
        <v>45525</v>
      </c>
      <c r="C494" s="833"/>
      <c r="D494" s="833"/>
      <c r="E494" s="832"/>
      <c r="F494" s="932" t="s">
        <v>478</v>
      </c>
      <c r="G494" s="945">
        <v>30</v>
      </c>
      <c r="H494" s="845" t="s">
        <v>17</v>
      </c>
      <c r="I494" s="935">
        <v>20000</v>
      </c>
      <c r="J494" s="856">
        <f t="shared" si="38"/>
        <v>600000</v>
      </c>
      <c r="K494" s="863"/>
      <c r="L494" s="832"/>
      <c r="M494" s="858"/>
      <c r="N494" s="195"/>
      <c r="O494" s="196"/>
      <c r="P494" s="214"/>
      <c r="Q494" s="39"/>
    </row>
    <row r="495" spans="1:17" ht="18.75">
      <c r="A495" s="829"/>
      <c r="B495" s="933">
        <v>45532</v>
      </c>
      <c r="C495" s="833"/>
      <c r="D495" s="833"/>
      <c r="E495" s="832"/>
      <c r="F495" s="932" t="s">
        <v>478</v>
      </c>
      <c r="G495" s="945">
        <v>25</v>
      </c>
      <c r="H495" s="845" t="s">
        <v>17</v>
      </c>
      <c r="I495" s="935">
        <v>20000</v>
      </c>
      <c r="J495" s="856">
        <f t="shared" ref="J495:J519" si="39">G495*I495</f>
        <v>500000</v>
      </c>
      <c r="K495" s="863"/>
      <c r="L495" s="832"/>
      <c r="M495" s="858"/>
      <c r="N495" s="195"/>
      <c r="O495" s="196"/>
      <c r="P495" s="214"/>
      <c r="Q495" s="39"/>
    </row>
    <row r="496" spans="1:17" ht="18.75">
      <c r="A496" s="829"/>
      <c r="B496" s="933">
        <v>45537</v>
      </c>
      <c r="C496" s="833"/>
      <c r="D496" s="833"/>
      <c r="E496" s="832"/>
      <c r="F496" s="932" t="s">
        <v>478</v>
      </c>
      <c r="G496" s="945">
        <v>425</v>
      </c>
      <c r="H496" s="845" t="s">
        <v>17</v>
      </c>
      <c r="I496" s="935">
        <v>20000</v>
      </c>
      <c r="J496" s="856">
        <f t="shared" si="39"/>
        <v>8500000</v>
      </c>
      <c r="K496" s="863"/>
      <c r="L496" s="832"/>
      <c r="M496" s="858"/>
      <c r="N496" s="195"/>
      <c r="O496" s="196"/>
      <c r="P496" s="214"/>
      <c r="Q496" s="39"/>
    </row>
    <row r="497" spans="1:17" ht="18.75">
      <c r="A497" s="829"/>
      <c r="B497" s="933">
        <v>45540</v>
      </c>
      <c r="C497" s="833"/>
      <c r="D497" s="833"/>
      <c r="E497" s="832"/>
      <c r="F497" s="932" t="s">
        <v>478</v>
      </c>
      <c r="G497" s="945">
        <v>30</v>
      </c>
      <c r="H497" s="845" t="s">
        <v>17</v>
      </c>
      <c r="I497" s="935">
        <v>20000</v>
      </c>
      <c r="J497" s="856">
        <f t="shared" si="39"/>
        <v>600000</v>
      </c>
      <c r="K497" s="863"/>
      <c r="L497" s="832"/>
      <c r="M497" s="858"/>
      <c r="N497" s="195"/>
      <c r="O497" s="196"/>
      <c r="P497" s="214"/>
      <c r="Q497" s="39"/>
    </row>
    <row r="498" spans="1:17" ht="18.75">
      <c r="A498" s="829"/>
      <c r="B498" s="933">
        <v>45548</v>
      </c>
      <c r="C498" s="833"/>
      <c r="D498" s="833"/>
      <c r="E498" s="832"/>
      <c r="F498" s="932" t="s">
        <v>478</v>
      </c>
      <c r="G498" s="945">
        <v>35</v>
      </c>
      <c r="H498" s="845" t="s">
        <v>17</v>
      </c>
      <c r="I498" s="935">
        <v>20000</v>
      </c>
      <c r="J498" s="856">
        <f t="shared" si="39"/>
        <v>700000</v>
      </c>
      <c r="K498" s="863"/>
      <c r="L498" s="832"/>
      <c r="M498" s="858"/>
      <c r="N498" s="195"/>
      <c r="O498" s="196"/>
      <c r="P498" s="214"/>
      <c r="Q498" s="39"/>
    </row>
    <row r="499" spans="1:17" ht="18.75">
      <c r="A499" s="829"/>
      <c r="B499" s="933">
        <v>45553</v>
      </c>
      <c r="C499" s="833"/>
      <c r="D499" s="833"/>
      <c r="E499" s="832"/>
      <c r="F499" s="932" t="s">
        <v>478</v>
      </c>
      <c r="G499" s="945">
        <v>40</v>
      </c>
      <c r="H499" s="845" t="s">
        <v>17</v>
      </c>
      <c r="I499" s="935">
        <v>20000</v>
      </c>
      <c r="J499" s="856">
        <f t="shared" si="39"/>
        <v>800000</v>
      </c>
      <c r="K499" s="863"/>
      <c r="L499" s="832"/>
      <c r="M499" s="858"/>
      <c r="N499" s="195"/>
      <c r="O499" s="196"/>
      <c r="P499" s="214"/>
      <c r="Q499" s="39"/>
    </row>
    <row r="500" spans="1:17" ht="18.75">
      <c r="A500" s="829"/>
      <c r="B500" s="933">
        <v>45561</v>
      </c>
      <c r="C500" s="833"/>
      <c r="D500" s="833"/>
      <c r="E500" s="832"/>
      <c r="F500" s="932" t="s">
        <v>478</v>
      </c>
      <c r="G500" s="945">
        <v>50</v>
      </c>
      <c r="H500" s="845" t="s">
        <v>17</v>
      </c>
      <c r="I500" s="935">
        <v>20000</v>
      </c>
      <c r="J500" s="856">
        <f t="shared" si="39"/>
        <v>1000000</v>
      </c>
      <c r="K500" s="863"/>
      <c r="L500" s="832"/>
      <c r="M500" s="858"/>
      <c r="N500" s="195"/>
      <c r="O500" s="196"/>
      <c r="P500" s="214"/>
      <c r="Q500" s="39"/>
    </row>
    <row r="501" spans="1:17" ht="18.75">
      <c r="A501" s="829"/>
      <c r="B501" s="933">
        <v>45562</v>
      </c>
      <c r="C501" s="833"/>
      <c r="D501" s="833"/>
      <c r="E501" s="832"/>
      <c r="F501" s="932" t="s">
        <v>478</v>
      </c>
      <c r="G501" s="945">
        <v>25</v>
      </c>
      <c r="H501" s="845" t="s">
        <v>17</v>
      </c>
      <c r="I501" s="935">
        <v>20000</v>
      </c>
      <c r="J501" s="856">
        <f t="shared" si="39"/>
        <v>500000</v>
      </c>
      <c r="K501" s="863"/>
      <c r="L501" s="832"/>
      <c r="M501" s="858"/>
      <c r="N501" s="195"/>
      <c r="O501" s="196"/>
      <c r="P501" s="214"/>
      <c r="Q501" s="39"/>
    </row>
    <row r="502" spans="1:17" ht="18.75">
      <c r="A502" s="829"/>
      <c r="B502" s="933">
        <v>45566</v>
      </c>
      <c r="C502" s="833"/>
      <c r="D502" s="833"/>
      <c r="E502" s="832"/>
      <c r="F502" s="932" t="s">
        <v>478</v>
      </c>
      <c r="G502" s="945">
        <v>30</v>
      </c>
      <c r="H502" s="845" t="s">
        <v>17</v>
      </c>
      <c r="I502" s="935">
        <v>20000</v>
      </c>
      <c r="J502" s="856">
        <f t="shared" si="39"/>
        <v>600000</v>
      </c>
      <c r="K502" s="863"/>
      <c r="L502" s="832"/>
      <c r="M502" s="858"/>
      <c r="N502" s="195"/>
      <c r="O502" s="196"/>
      <c r="P502" s="214"/>
      <c r="Q502" s="39"/>
    </row>
    <row r="503" spans="1:17" ht="18.75">
      <c r="A503" s="829"/>
      <c r="B503" s="933">
        <v>45575</v>
      </c>
      <c r="C503" s="833"/>
      <c r="D503" s="833"/>
      <c r="E503" s="832"/>
      <c r="F503" s="932" t="s">
        <v>478</v>
      </c>
      <c r="G503" s="945">
        <v>25</v>
      </c>
      <c r="H503" s="845" t="s">
        <v>17</v>
      </c>
      <c r="I503" s="935">
        <v>20000</v>
      </c>
      <c r="J503" s="856">
        <f t="shared" si="39"/>
        <v>500000</v>
      </c>
      <c r="K503" s="863"/>
      <c r="L503" s="832"/>
      <c r="M503" s="858"/>
      <c r="N503" s="195"/>
      <c r="O503" s="196"/>
      <c r="P503" s="214"/>
      <c r="Q503" s="39"/>
    </row>
    <row r="504" spans="1:17" ht="18.75">
      <c r="A504" s="829"/>
      <c r="B504" s="933">
        <v>45586</v>
      </c>
      <c r="C504" s="833"/>
      <c r="D504" s="833"/>
      <c r="E504" s="832"/>
      <c r="F504" s="932" t="s">
        <v>478</v>
      </c>
      <c r="G504" s="945">
        <v>25</v>
      </c>
      <c r="H504" s="845" t="s">
        <v>17</v>
      </c>
      <c r="I504" s="935">
        <v>20000</v>
      </c>
      <c r="J504" s="856">
        <f t="shared" si="39"/>
        <v>500000</v>
      </c>
      <c r="K504" s="863"/>
      <c r="L504" s="832"/>
      <c r="M504" s="858"/>
      <c r="N504" s="195"/>
      <c r="O504" s="196"/>
      <c r="P504" s="214"/>
      <c r="Q504" s="39"/>
    </row>
    <row r="505" spans="1:17" ht="18.75">
      <c r="A505" s="829"/>
      <c r="B505" s="933">
        <v>45590</v>
      </c>
      <c r="C505" s="833"/>
      <c r="D505" s="833"/>
      <c r="E505" s="832"/>
      <c r="F505" s="932" t="s">
        <v>478</v>
      </c>
      <c r="G505" s="945">
        <v>20</v>
      </c>
      <c r="H505" s="845" t="s">
        <v>17</v>
      </c>
      <c r="I505" s="935">
        <v>20000</v>
      </c>
      <c r="J505" s="856">
        <f t="shared" si="39"/>
        <v>400000</v>
      </c>
      <c r="K505" s="863"/>
      <c r="L505" s="832"/>
      <c r="M505" s="858"/>
      <c r="N505" s="195"/>
      <c r="O505" s="196"/>
      <c r="P505" s="214"/>
      <c r="Q505" s="39"/>
    </row>
    <row r="506" spans="1:17" ht="18.75">
      <c r="A506" s="829"/>
      <c r="B506" s="933">
        <v>45593</v>
      </c>
      <c r="C506" s="833"/>
      <c r="D506" s="833"/>
      <c r="E506" s="832"/>
      <c r="F506" s="932" t="s">
        <v>478</v>
      </c>
      <c r="G506" s="945">
        <v>45</v>
      </c>
      <c r="H506" s="845" t="s">
        <v>17</v>
      </c>
      <c r="I506" s="935">
        <v>20000</v>
      </c>
      <c r="J506" s="856">
        <f t="shared" si="39"/>
        <v>900000</v>
      </c>
      <c r="K506" s="863"/>
      <c r="L506" s="832"/>
      <c r="M506" s="858"/>
      <c r="N506" s="195"/>
      <c r="O506" s="196"/>
      <c r="P506" s="214"/>
      <c r="Q506" s="39"/>
    </row>
    <row r="507" spans="1:17" ht="18.75">
      <c r="A507" s="829"/>
      <c r="B507" s="933">
        <v>45594</v>
      </c>
      <c r="C507" s="833"/>
      <c r="D507" s="833"/>
      <c r="E507" s="832"/>
      <c r="F507" s="932" t="s">
        <v>478</v>
      </c>
      <c r="G507" s="945">
        <v>20</v>
      </c>
      <c r="H507" s="845" t="s">
        <v>17</v>
      </c>
      <c r="I507" s="935">
        <v>20000</v>
      </c>
      <c r="J507" s="856">
        <f t="shared" si="39"/>
        <v>400000</v>
      </c>
      <c r="K507" s="863"/>
      <c r="L507" s="832"/>
      <c r="M507" s="858"/>
      <c r="N507" s="195"/>
      <c r="O507" s="196"/>
      <c r="P507" s="214"/>
      <c r="Q507" s="39"/>
    </row>
    <row r="508" spans="1:17" ht="18.75">
      <c r="A508" s="829"/>
      <c r="B508" s="933">
        <v>45595</v>
      </c>
      <c r="C508" s="839"/>
      <c r="D508" s="831"/>
      <c r="E508" s="831"/>
      <c r="F508" s="932" t="s">
        <v>478</v>
      </c>
      <c r="G508" s="945">
        <v>15</v>
      </c>
      <c r="H508" s="845" t="s">
        <v>17</v>
      </c>
      <c r="I508" s="935">
        <v>20000</v>
      </c>
      <c r="J508" s="856">
        <f t="shared" si="39"/>
        <v>300000</v>
      </c>
      <c r="K508" s="778"/>
      <c r="L508" s="637"/>
      <c r="M508" s="858"/>
      <c r="N508" s="195"/>
      <c r="O508" s="196"/>
      <c r="P508" s="862"/>
      <c r="Q508" s="39"/>
    </row>
    <row r="509" spans="1:17" ht="18.75">
      <c r="A509" s="829"/>
      <c r="B509" s="933">
        <v>45603</v>
      </c>
      <c r="C509" s="833"/>
      <c r="D509" s="833"/>
      <c r="E509" s="832"/>
      <c r="F509" s="932" t="s">
        <v>478</v>
      </c>
      <c r="G509" s="945">
        <f>35+25</f>
        <v>60</v>
      </c>
      <c r="H509" s="845" t="s">
        <v>17</v>
      </c>
      <c r="I509" s="935">
        <v>20000</v>
      </c>
      <c r="J509" s="856">
        <f t="shared" si="39"/>
        <v>1200000</v>
      </c>
      <c r="K509" s="833"/>
      <c r="L509" s="832"/>
      <c r="M509" s="858"/>
      <c r="N509" s="195"/>
      <c r="O509" s="196"/>
      <c r="P509" s="214"/>
      <c r="Q509" s="39"/>
    </row>
    <row r="510" spans="1:17" ht="18.75">
      <c r="A510" s="829"/>
      <c r="B510" s="933">
        <v>45604</v>
      </c>
      <c r="C510" s="839"/>
      <c r="D510" s="831"/>
      <c r="E510" s="831"/>
      <c r="F510" s="932" t="s">
        <v>478</v>
      </c>
      <c r="G510" s="945">
        <v>40</v>
      </c>
      <c r="H510" s="845" t="s">
        <v>17</v>
      </c>
      <c r="I510" s="946">
        <v>20000</v>
      </c>
      <c r="J510" s="856">
        <f t="shared" si="39"/>
        <v>800000</v>
      </c>
      <c r="K510" s="778"/>
      <c r="L510" s="637"/>
      <c r="M510" s="858"/>
      <c r="N510" s="195"/>
      <c r="O510" s="196"/>
      <c r="P510" s="214"/>
      <c r="Q510" s="39"/>
    </row>
    <row r="511" spans="1:17" ht="18.75">
      <c r="A511" s="829"/>
      <c r="B511" s="933">
        <v>45614</v>
      </c>
      <c r="C511" s="833"/>
      <c r="D511" s="833"/>
      <c r="E511" s="832"/>
      <c r="F511" s="932" t="s">
        <v>478</v>
      </c>
      <c r="G511" s="945">
        <v>40</v>
      </c>
      <c r="H511" s="845" t="s">
        <v>17</v>
      </c>
      <c r="I511" s="946">
        <v>20000</v>
      </c>
      <c r="J511" s="856">
        <f t="shared" si="39"/>
        <v>800000</v>
      </c>
      <c r="K511" s="833"/>
      <c r="L511" s="832"/>
      <c r="M511" s="858"/>
      <c r="N511" s="195"/>
      <c r="O511" s="196"/>
      <c r="P511" s="862"/>
      <c r="Q511" s="39"/>
    </row>
    <row r="512" spans="1:17" ht="18.75">
      <c r="A512" s="829"/>
      <c r="B512" s="933">
        <v>45622</v>
      </c>
      <c r="C512" s="833"/>
      <c r="D512" s="833"/>
      <c r="E512" s="832"/>
      <c r="F512" s="932" t="s">
        <v>478</v>
      </c>
      <c r="G512" s="945">
        <v>20</v>
      </c>
      <c r="H512" s="845" t="s">
        <v>17</v>
      </c>
      <c r="I512" s="946">
        <v>20000</v>
      </c>
      <c r="J512" s="856">
        <f t="shared" si="39"/>
        <v>400000</v>
      </c>
      <c r="K512" s="863"/>
      <c r="L512" s="832"/>
      <c r="M512" s="858"/>
      <c r="N512" s="195"/>
      <c r="O512" s="196"/>
      <c r="P512" s="862"/>
      <c r="Q512" s="39"/>
    </row>
    <row r="513" spans="1:17" ht="18.75">
      <c r="A513" s="829"/>
      <c r="B513" s="933">
        <v>45624</v>
      </c>
      <c r="C513" s="839"/>
      <c r="D513" s="831"/>
      <c r="E513" s="831"/>
      <c r="F513" s="932" t="s">
        <v>478</v>
      </c>
      <c r="G513" s="945">
        <v>20</v>
      </c>
      <c r="H513" s="845" t="s">
        <v>17</v>
      </c>
      <c r="I513" s="946">
        <v>20000</v>
      </c>
      <c r="J513" s="856">
        <f t="shared" si="39"/>
        <v>400000</v>
      </c>
      <c r="K513" s="778"/>
      <c r="L513" s="637"/>
      <c r="M513" s="858"/>
      <c r="N513" s="195"/>
      <c r="O513" s="196"/>
      <c r="P513" s="862"/>
      <c r="Q513" s="39"/>
    </row>
    <row r="514" spans="1:17" ht="18.75">
      <c r="A514" s="829"/>
      <c r="B514" s="933">
        <v>45625</v>
      </c>
      <c r="C514" s="833"/>
      <c r="D514" s="833"/>
      <c r="E514" s="832"/>
      <c r="F514" s="932" t="s">
        <v>478</v>
      </c>
      <c r="G514" s="945">
        <v>20</v>
      </c>
      <c r="H514" s="845" t="s">
        <v>17</v>
      </c>
      <c r="I514" s="946">
        <v>20000</v>
      </c>
      <c r="J514" s="856">
        <f t="shared" si="39"/>
        <v>400000</v>
      </c>
      <c r="K514" s="833"/>
      <c r="L514" s="832"/>
      <c r="M514" s="858"/>
      <c r="N514" s="195"/>
      <c r="O514" s="196"/>
      <c r="P514" s="214"/>
      <c r="Q514" s="39"/>
    </row>
    <row r="515" spans="1:17" ht="18.75">
      <c r="A515" s="829"/>
      <c r="B515" s="933">
        <v>45638</v>
      </c>
      <c r="C515" s="833"/>
      <c r="D515" s="833"/>
      <c r="E515" s="832"/>
      <c r="F515" s="932" t="s">
        <v>478</v>
      </c>
      <c r="G515" s="945">
        <v>60</v>
      </c>
      <c r="H515" s="845" t="s">
        <v>17</v>
      </c>
      <c r="I515" s="946">
        <v>20000</v>
      </c>
      <c r="J515" s="856">
        <f t="shared" si="39"/>
        <v>1200000</v>
      </c>
      <c r="K515" s="863"/>
      <c r="L515" s="832"/>
      <c r="M515" s="858"/>
      <c r="N515" s="195"/>
      <c r="O515" s="196"/>
      <c r="P515" s="214"/>
      <c r="Q515" s="39"/>
    </row>
    <row r="516" spans="1:17" ht="18.75">
      <c r="A516" s="829"/>
      <c r="B516" s="933">
        <v>45513</v>
      </c>
      <c r="C516" s="839"/>
      <c r="D516" s="831"/>
      <c r="E516" s="831"/>
      <c r="F516" s="932" t="s">
        <v>478</v>
      </c>
      <c r="G516" s="945">
        <v>30</v>
      </c>
      <c r="H516" s="845" t="s">
        <v>17</v>
      </c>
      <c r="I516" s="947">
        <v>20000</v>
      </c>
      <c r="J516" s="856">
        <f t="shared" si="39"/>
        <v>600000</v>
      </c>
      <c r="K516" s="778"/>
      <c r="L516" s="637"/>
      <c r="M516" s="858"/>
      <c r="N516" s="195"/>
      <c r="O516" s="196"/>
      <c r="P516" s="214"/>
      <c r="Q516" s="39"/>
    </row>
    <row r="517" spans="1:17" ht="18.75">
      <c r="A517" s="829"/>
      <c r="B517" s="933">
        <v>45635</v>
      </c>
      <c r="C517" s="833"/>
      <c r="D517" s="833"/>
      <c r="E517" s="832"/>
      <c r="F517" s="932" t="s">
        <v>478</v>
      </c>
      <c r="G517" s="945">
        <v>198</v>
      </c>
      <c r="H517" s="845" t="s">
        <v>17</v>
      </c>
      <c r="I517" s="947">
        <v>20000</v>
      </c>
      <c r="J517" s="856">
        <f t="shared" si="39"/>
        <v>3960000</v>
      </c>
      <c r="K517" s="833"/>
      <c r="L517" s="832"/>
      <c r="M517" s="858"/>
      <c r="N517" s="195"/>
      <c r="O517" s="196"/>
      <c r="P517" s="862"/>
      <c r="Q517" s="39"/>
    </row>
    <row r="518" spans="1:17" ht="18.75">
      <c r="A518" s="829"/>
      <c r="B518" s="933">
        <v>45636</v>
      </c>
      <c r="C518" s="833"/>
      <c r="D518" s="833"/>
      <c r="E518" s="832"/>
      <c r="F518" s="932" t="s">
        <v>478</v>
      </c>
      <c r="G518" s="945">
        <v>198</v>
      </c>
      <c r="H518" s="845" t="s">
        <v>17</v>
      </c>
      <c r="I518" s="947">
        <v>20000</v>
      </c>
      <c r="J518" s="856">
        <f t="shared" si="39"/>
        <v>3960000</v>
      </c>
      <c r="K518" s="833"/>
      <c r="L518" s="832"/>
      <c r="M518" s="858"/>
      <c r="N518" s="195"/>
      <c r="O518" s="196"/>
      <c r="P518" s="214"/>
      <c r="Q518" s="39"/>
    </row>
    <row r="519" spans="1:17" ht="18.75">
      <c r="A519" s="829"/>
      <c r="B519" s="933">
        <v>45637</v>
      </c>
      <c r="C519" s="839"/>
      <c r="D519" s="831"/>
      <c r="E519" s="831"/>
      <c r="F519" s="932" t="s">
        <v>478</v>
      </c>
      <c r="G519" s="945">
        <v>84</v>
      </c>
      <c r="H519" s="845" t="s">
        <v>17</v>
      </c>
      <c r="I519" s="947">
        <v>20000</v>
      </c>
      <c r="J519" s="856">
        <f t="shared" si="39"/>
        <v>1680000</v>
      </c>
      <c r="K519" s="778"/>
      <c r="L519" s="637"/>
      <c r="M519" s="858"/>
      <c r="N519" s="195"/>
      <c r="O519" s="196"/>
      <c r="P519" s="862"/>
      <c r="Q519" s="39"/>
    </row>
    <row r="520" spans="1:17" ht="18.75">
      <c r="A520" s="829"/>
      <c r="B520" s="751"/>
      <c r="C520" s="738"/>
      <c r="D520" s="738"/>
      <c r="E520" s="751"/>
      <c r="F520" s="767"/>
      <c r="G520" s="928"/>
      <c r="H520" s="738"/>
      <c r="I520" s="929"/>
      <c r="J520" s="930"/>
      <c r="K520" s="833"/>
      <c r="L520" s="832"/>
      <c r="M520" s="858"/>
      <c r="N520" s="195"/>
      <c r="O520" s="196"/>
      <c r="P520" s="214"/>
      <c r="Q520" s="39"/>
    </row>
    <row r="521" spans="1:17" ht="18.75">
      <c r="A521" s="829"/>
      <c r="B521" s="832"/>
      <c r="C521" s="833"/>
      <c r="D521" s="833"/>
      <c r="E521" s="832"/>
      <c r="F521" s="839"/>
      <c r="G521" s="859"/>
      <c r="H521" s="833"/>
      <c r="I521" s="860"/>
      <c r="J521" s="861"/>
      <c r="K521" s="833"/>
      <c r="L521" s="832"/>
      <c r="M521" s="858"/>
      <c r="N521" s="195"/>
      <c r="O521" s="196"/>
      <c r="P521" s="864"/>
      <c r="Q521" s="39"/>
    </row>
    <row r="522" spans="1:17" ht="18.75">
      <c r="A522" s="829"/>
      <c r="B522" s="832"/>
      <c r="C522" s="833"/>
      <c r="D522" s="833"/>
      <c r="E522" s="832"/>
      <c r="F522" s="839"/>
      <c r="G522" s="859"/>
      <c r="H522" s="833"/>
      <c r="I522" s="860"/>
      <c r="J522" s="861"/>
      <c r="K522" s="833"/>
      <c r="L522" s="832"/>
      <c r="M522" s="858"/>
      <c r="N522" s="195"/>
      <c r="O522" s="196"/>
      <c r="P522" s="214"/>
      <c r="Q522" s="39"/>
    </row>
    <row r="523" spans="1:17" ht="18.75">
      <c r="A523" s="829"/>
      <c r="B523" s="832"/>
      <c r="C523" s="833"/>
      <c r="D523" s="833"/>
      <c r="E523" s="832"/>
      <c r="F523" s="839"/>
      <c r="G523" s="859"/>
      <c r="H523" s="833"/>
      <c r="I523" s="860"/>
      <c r="J523" s="861"/>
      <c r="K523" s="833"/>
      <c r="L523" s="832"/>
      <c r="M523" s="858"/>
      <c r="N523" s="195"/>
      <c r="O523" s="196"/>
      <c r="P523" s="214"/>
      <c r="Q523" s="39"/>
    </row>
    <row r="524" spans="1:17" ht="18.75">
      <c r="A524" s="829"/>
      <c r="B524" s="832"/>
      <c r="C524" s="833"/>
      <c r="D524" s="833"/>
      <c r="E524" s="832"/>
      <c r="F524" s="839"/>
      <c r="G524" s="859"/>
      <c r="H524" s="833"/>
      <c r="I524" s="860"/>
      <c r="J524" s="861"/>
      <c r="K524" s="833"/>
      <c r="L524" s="832"/>
      <c r="M524" s="858"/>
      <c r="N524" s="195"/>
      <c r="O524" s="196"/>
      <c r="P524" s="214"/>
      <c r="Q524" s="39"/>
    </row>
    <row r="525" spans="1:17" ht="18.75">
      <c r="A525" s="829"/>
      <c r="B525" s="832"/>
      <c r="C525" s="833"/>
      <c r="D525" s="833"/>
      <c r="E525" s="832"/>
      <c r="F525" s="839"/>
      <c r="G525" s="859"/>
      <c r="H525" s="833"/>
      <c r="I525" s="860"/>
      <c r="J525" s="861"/>
      <c r="K525" s="833"/>
      <c r="L525" s="832"/>
      <c r="M525" s="858"/>
      <c r="N525" s="195"/>
      <c r="O525" s="196"/>
      <c r="P525" s="214"/>
      <c r="Q525" s="39"/>
    </row>
    <row r="526" spans="1:17" ht="18.75">
      <c r="A526" s="829"/>
      <c r="B526" s="832"/>
      <c r="C526" s="833"/>
      <c r="D526" s="833"/>
      <c r="E526" s="832"/>
      <c r="F526" s="839"/>
      <c r="G526" s="859"/>
      <c r="H526" s="833"/>
      <c r="I526" s="860"/>
      <c r="J526" s="861"/>
      <c r="K526" s="833"/>
      <c r="L526" s="832"/>
      <c r="M526" s="858"/>
      <c r="N526" s="195"/>
      <c r="O526" s="196"/>
      <c r="P526" s="214"/>
      <c r="Q526" s="39"/>
    </row>
    <row r="527" spans="1:17" ht="18.75">
      <c r="A527" s="1129" t="s">
        <v>476</v>
      </c>
      <c r="B527" s="1129"/>
      <c r="C527" s="1129"/>
      <c r="D527" s="1129"/>
      <c r="E527" s="1129"/>
      <c r="F527" s="1129"/>
      <c r="G527" s="1129"/>
      <c r="H527" s="1129"/>
      <c r="I527" s="1129"/>
      <c r="J527" s="1129"/>
      <c r="K527" s="1129"/>
      <c r="L527" s="1129"/>
      <c r="M527" s="1129"/>
      <c r="N527" s="195"/>
      <c r="O527" s="196"/>
      <c r="P527" s="214"/>
      <c r="Q527" s="39"/>
    </row>
    <row r="528" spans="1:17" ht="18.75">
      <c r="A528" s="829"/>
      <c r="B528" s="832"/>
      <c r="C528" s="833"/>
      <c r="D528" s="833"/>
      <c r="E528" s="832"/>
      <c r="F528" s="839"/>
      <c r="G528" s="859"/>
      <c r="H528" s="833"/>
      <c r="I528" s="860"/>
      <c r="J528" s="861"/>
      <c r="K528" s="833"/>
      <c r="L528" s="832"/>
      <c r="M528" s="858"/>
      <c r="N528" s="195"/>
      <c r="O528" s="196"/>
      <c r="P528" s="214"/>
      <c r="Q528" s="39"/>
    </row>
    <row r="529" spans="1:17" ht="18.75">
      <c r="A529" s="829"/>
      <c r="B529" s="832"/>
      <c r="C529" s="833"/>
      <c r="D529" s="833"/>
      <c r="E529" s="832"/>
      <c r="F529" s="839"/>
      <c r="G529" s="859"/>
      <c r="H529" s="833"/>
      <c r="I529" s="860"/>
      <c r="J529" s="861"/>
      <c r="K529" s="833"/>
      <c r="L529" s="832"/>
      <c r="M529" s="858"/>
      <c r="N529" s="195"/>
      <c r="O529" s="196"/>
      <c r="P529" s="214"/>
      <c r="Q529" s="39"/>
    </row>
    <row r="530" spans="1:17" ht="18.75">
      <c r="A530" s="829"/>
      <c r="B530" s="832"/>
      <c r="C530" s="833"/>
      <c r="D530" s="833"/>
      <c r="E530" s="832"/>
      <c r="F530" s="839"/>
      <c r="G530" s="859"/>
      <c r="H530" s="833"/>
      <c r="I530" s="860"/>
      <c r="J530" s="861"/>
      <c r="K530" s="833"/>
      <c r="L530" s="832"/>
      <c r="M530" s="858"/>
      <c r="N530" s="195"/>
      <c r="O530" s="196"/>
      <c r="P530" s="214"/>
      <c r="Q530" s="39"/>
    </row>
    <row r="531" spans="1:17" ht="18.75">
      <c r="A531" s="829"/>
      <c r="B531" s="637">
        <v>45702</v>
      </c>
      <c r="C531" s="216" t="s">
        <v>477</v>
      </c>
      <c r="D531" s="217"/>
      <c r="E531" s="217"/>
      <c r="F531" s="216" t="s">
        <v>548</v>
      </c>
      <c r="G531" s="218">
        <v>20</v>
      </c>
      <c r="H531" s="219" t="s">
        <v>479</v>
      </c>
      <c r="I531" s="223">
        <v>20000</v>
      </c>
      <c r="J531" s="224">
        <f>G531*I531</f>
        <v>400000</v>
      </c>
      <c r="K531" s="778" t="s">
        <v>549</v>
      </c>
      <c r="L531" s="637">
        <v>45701</v>
      </c>
      <c r="M531" s="858"/>
      <c r="N531" s="195"/>
      <c r="O531" s="196">
        <f>SUM(J531)</f>
        <v>400000</v>
      </c>
      <c r="P531" s="862" t="s">
        <v>580</v>
      </c>
      <c r="Q531" s="39"/>
    </row>
    <row r="532" spans="1:17" ht="18.75">
      <c r="A532" s="829"/>
      <c r="B532" s="832"/>
      <c r="C532" s="833"/>
      <c r="D532" s="833"/>
      <c r="E532" s="832"/>
      <c r="F532" s="839"/>
      <c r="G532" s="859"/>
      <c r="H532" s="833"/>
      <c r="I532" s="860"/>
      <c r="J532" s="861"/>
      <c r="K532" s="833"/>
      <c r="L532" s="832"/>
      <c r="M532" s="858"/>
      <c r="N532" s="195"/>
      <c r="O532" s="196"/>
      <c r="P532" s="214"/>
      <c r="Q532" s="39"/>
    </row>
    <row r="533" spans="1:17" ht="18.75">
      <c r="A533" s="829"/>
      <c r="B533" s="637"/>
      <c r="C533" s="216"/>
      <c r="D533" s="217"/>
      <c r="E533" s="217"/>
      <c r="F533" s="216"/>
      <c r="G533" s="218"/>
      <c r="H533" s="219"/>
      <c r="I533" s="223"/>
      <c r="J533" s="224"/>
      <c r="K533" s="778"/>
      <c r="L533" s="637"/>
      <c r="M533" s="858"/>
      <c r="N533" s="195"/>
      <c r="O533" s="196"/>
      <c r="P533" s="214"/>
      <c r="Q533" s="39"/>
    </row>
    <row r="534" spans="1:17" ht="18.75">
      <c r="A534" s="829"/>
      <c r="B534" s="832"/>
      <c r="C534" s="833"/>
      <c r="D534" s="833"/>
      <c r="E534" s="832"/>
      <c r="F534" s="216"/>
      <c r="G534" s="218"/>
      <c r="H534" s="219"/>
      <c r="I534" s="223"/>
      <c r="J534" s="224"/>
      <c r="K534" s="833"/>
      <c r="L534" s="832"/>
      <c r="M534" s="858"/>
      <c r="N534" s="195"/>
      <c r="O534" s="196">
        <f>SUM(J533:J534)</f>
        <v>0</v>
      </c>
      <c r="P534" s="862"/>
      <c r="Q534" s="39"/>
    </row>
    <row r="535" spans="1:17" ht="18.75">
      <c r="A535" s="829"/>
      <c r="B535" s="832"/>
      <c r="C535" s="833"/>
      <c r="D535" s="833"/>
      <c r="E535" s="832"/>
      <c r="F535" s="839"/>
      <c r="G535" s="854"/>
      <c r="H535" s="845"/>
      <c r="I535" s="855"/>
      <c r="J535" s="856"/>
      <c r="K535" s="863"/>
      <c r="L535" s="832"/>
      <c r="M535" s="858"/>
      <c r="N535" s="195"/>
      <c r="O535" s="196"/>
      <c r="P535" s="862"/>
      <c r="Q535" s="39"/>
    </row>
    <row r="536" spans="1:17" ht="18.75">
      <c r="A536" s="829"/>
      <c r="B536" s="637"/>
      <c r="C536" s="216"/>
      <c r="D536" s="217"/>
      <c r="E536" s="217"/>
      <c r="F536" s="216"/>
      <c r="G536" s="218"/>
      <c r="H536" s="219"/>
      <c r="I536" s="223"/>
      <c r="J536" s="224"/>
      <c r="K536" s="778"/>
      <c r="L536" s="637"/>
      <c r="M536" s="858"/>
      <c r="N536" s="195"/>
      <c r="O536" s="196"/>
      <c r="P536" s="862"/>
      <c r="Q536" s="39"/>
    </row>
    <row r="537" spans="1:17" ht="18.75">
      <c r="A537" s="829"/>
      <c r="B537" s="832"/>
      <c r="C537" s="833"/>
      <c r="D537" s="833"/>
      <c r="E537" s="832"/>
      <c r="F537" s="216"/>
      <c r="G537" s="218"/>
      <c r="H537" s="219"/>
      <c r="I537" s="223"/>
      <c r="J537" s="224"/>
      <c r="K537" s="833"/>
      <c r="L537" s="832"/>
      <c r="M537" s="858"/>
      <c r="N537" s="195"/>
      <c r="O537" s="196">
        <f>SUM(J536:J537)</f>
        <v>0</v>
      </c>
      <c r="P537" s="214"/>
      <c r="Q537" s="39"/>
    </row>
    <row r="538" spans="1:17" ht="18.75">
      <c r="A538" s="829"/>
      <c r="B538" s="832"/>
      <c r="C538" s="833"/>
      <c r="D538" s="833"/>
      <c r="E538" s="832"/>
      <c r="F538" s="839"/>
      <c r="G538" s="859"/>
      <c r="H538" s="833"/>
      <c r="I538" s="860"/>
      <c r="J538" s="861"/>
      <c r="K538" s="863"/>
      <c r="L538" s="832"/>
      <c r="M538" s="858"/>
      <c r="N538" s="195"/>
      <c r="O538" s="196"/>
      <c r="P538" s="214"/>
      <c r="Q538" s="39"/>
    </row>
    <row r="539" spans="1:17" ht="18.75">
      <c r="A539" s="829"/>
      <c r="B539" s="637">
        <v>45803</v>
      </c>
      <c r="C539" s="216" t="s">
        <v>581</v>
      </c>
      <c r="D539" s="217"/>
      <c r="E539" s="217"/>
      <c r="F539" s="216" t="s">
        <v>582</v>
      </c>
      <c r="G539" s="218">
        <v>15</v>
      </c>
      <c r="H539" s="219" t="s">
        <v>479</v>
      </c>
      <c r="I539" s="223">
        <v>20000</v>
      </c>
      <c r="J539" s="224">
        <f>G539*I539</f>
        <v>300000</v>
      </c>
      <c r="K539" s="778" t="s">
        <v>583</v>
      </c>
      <c r="L539" s="637">
        <v>45803</v>
      </c>
      <c r="M539" s="858"/>
      <c r="N539" s="195"/>
      <c r="O539" s="196"/>
      <c r="P539" s="214"/>
      <c r="Q539" s="39"/>
    </row>
    <row r="540" spans="1:17" ht="18.75">
      <c r="A540" s="829"/>
      <c r="B540" s="832"/>
      <c r="C540" s="833"/>
      <c r="D540" s="833"/>
      <c r="E540" s="832"/>
      <c r="F540" s="216" t="s">
        <v>584</v>
      </c>
      <c r="G540" s="218">
        <v>15</v>
      </c>
      <c r="H540" s="219" t="s">
        <v>479</v>
      </c>
      <c r="I540" s="223">
        <v>40000</v>
      </c>
      <c r="J540" s="224">
        <f>G540*I540</f>
        <v>600000</v>
      </c>
      <c r="K540" s="833"/>
      <c r="L540" s="832"/>
      <c r="M540" s="858"/>
      <c r="N540" s="195"/>
      <c r="O540" s="196">
        <f>SUM(J539:J540)</f>
        <v>900000</v>
      </c>
      <c r="P540" s="862" t="s">
        <v>585</v>
      </c>
      <c r="Q540" s="39"/>
    </row>
    <row r="541" spans="1:17" ht="18.75">
      <c r="A541" s="829"/>
      <c r="B541" s="832"/>
      <c r="C541" s="833"/>
      <c r="D541" s="833"/>
      <c r="E541" s="832"/>
      <c r="F541" s="839"/>
      <c r="G541" s="859"/>
      <c r="H541" s="833"/>
      <c r="I541" s="860"/>
      <c r="J541" s="861"/>
      <c r="K541" s="833"/>
      <c r="L541" s="832"/>
      <c r="M541" s="858"/>
      <c r="N541" s="195"/>
      <c r="O541" s="196"/>
      <c r="P541" s="214"/>
      <c r="Q541" s="39"/>
    </row>
    <row r="542" spans="1:17" ht="18.75">
      <c r="A542" s="829"/>
      <c r="B542" s="637">
        <v>45852</v>
      </c>
      <c r="C542" s="216" t="s">
        <v>581</v>
      </c>
      <c r="D542" s="217"/>
      <c r="E542" s="217"/>
      <c r="F542" s="216" t="s">
        <v>587</v>
      </c>
      <c r="G542" s="218">
        <v>20</v>
      </c>
      <c r="H542" s="219" t="s">
        <v>479</v>
      </c>
      <c r="I542" s="223">
        <v>38000</v>
      </c>
      <c r="J542" s="224">
        <f>G542*I542</f>
        <v>760000</v>
      </c>
      <c r="K542" s="778" t="s">
        <v>586</v>
      </c>
      <c r="L542" s="637">
        <v>45852</v>
      </c>
      <c r="M542" s="858"/>
      <c r="N542" s="195"/>
      <c r="O542" s="196"/>
      <c r="P542" s="862"/>
      <c r="Q542" s="39"/>
    </row>
    <row r="543" spans="1:17" ht="18.75">
      <c r="A543" s="829"/>
      <c r="B543" s="832"/>
      <c r="C543" s="833"/>
      <c r="D543" s="833"/>
      <c r="E543" s="832"/>
      <c r="F543" s="216" t="s">
        <v>582</v>
      </c>
      <c r="G543" s="218">
        <v>20</v>
      </c>
      <c r="H543" s="219" t="s">
        <v>479</v>
      </c>
      <c r="I543" s="223">
        <v>18000</v>
      </c>
      <c r="J543" s="224">
        <f>G543*I543</f>
        <v>360000</v>
      </c>
      <c r="K543" s="833"/>
      <c r="L543" s="832"/>
      <c r="M543" s="858"/>
      <c r="N543" s="195"/>
      <c r="O543" s="196">
        <f>SUM(J542:J543)</f>
        <v>1120000</v>
      </c>
      <c r="P543" s="862" t="s">
        <v>585</v>
      </c>
      <c r="Q543" s="39"/>
    </row>
    <row r="544" spans="1:17" ht="18.75">
      <c r="A544" s="829"/>
      <c r="B544" s="832"/>
      <c r="C544" s="833"/>
      <c r="D544" s="833"/>
      <c r="E544" s="832"/>
      <c r="F544" s="839"/>
      <c r="G544" s="859"/>
      <c r="H544" s="833"/>
      <c r="I544" s="860"/>
      <c r="J544" s="861"/>
      <c r="K544" s="833"/>
      <c r="L544" s="832"/>
      <c r="M544" s="858"/>
      <c r="N544" s="195"/>
      <c r="O544" s="196"/>
      <c r="P544" s="864"/>
      <c r="Q544" s="39"/>
    </row>
    <row r="545" spans="1:17" ht="18.75">
      <c r="A545" s="829"/>
      <c r="B545" s="832"/>
      <c r="C545" s="833"/>
      <c r="D545" s="833"/>
      <c r="E545" s="832"/>
      <c r="F545" s="839"/>
      <c r="G545" s="859"/>
      <c r="H545" s="833"/>
      <c r="I545" s="860"/>
      <c r="J545" s="861"/>
      <c r="K545" s="833"/>
      <c r="L545" s="832"/>
      <c r="M545" s="858"/>
      <c r="N545" s="195"/>
      <c r="O545" s="196"/>
      <c r="P545" s="214"/>
      <c r="Q545" s="39"/>
    </row>
    <row r="546" spans="1:17" ht="18.75">
      <c r="A546" s="829"/>
      <c r="B546" s="637">
        <v>45944</v>
      </c>
      <c r="C546" s="216" t="s">
        <v>581</v>
      </c>
      <c r="D546" s="217"/>
      <c r="E546" s="217"/>
      <c r="F546" s="216" t="s">
        <v>594</v>
      </c>
      <c r="G546" s="218">
        <v>15</v>
      </c>
      <c r="H546" s="219" t="s">
        <v>479</v>
      </c>
      <c r="I546" s="223">
        <v>19000</v>
      </c>
      <c r="J546" s="224">
        <f>G546*I546</f>
        <v>285000</v>
      </c>
      <c r="K546" s="778" t="s">
        <v>595</v>
      </c>
      <c r="L546" s="637">
        <v>45944</v>
      </c>
      <c r="M546" s="858"/>
      <c r="N546" s="195"/>
      <c r="O546" s="196">
        <f>SUM(J546)</f>
        <v>285000</v>
      </c>
      <c r="P546" s="862" t="s">
        <v>580</v>
      </c>
      <c r="Q546" s="39"/>
    </row>
    <row r="547" spans="1:17" ht="18.75">
      <c r="A547" s="829"/>
      <c r="B547" s="832"/>
      <c r="C547" s="833"/>
      <c r="D547" s="833"/>
      <c r="E547" s="832"/>
      <c r="F547" s="839"/>
      <c r="G547" s="859"/>
      <c r="H547" s="833"/>
      <c r="I547" s="860"/>
      <c r="J547" s="861"/>
      <c r="K547" s="833"/>
      <c r="L547" s="832"/>
      <c r="M547" s="858"/>
      <c r="N547" s="195"/>
      <c r="O547" s="196"/>
      <c r="P547" s="214"/>
      <c r="Q547" s="39"/>
    </row>
    <row r="548" spans="1:17" ht="18.75">
      <c r="A548" s="829"/>
      <c r="B548" s="832"/>
      <c r="C548" s="833"/>
      <c r="D548" s="833"/>
      <c r="E548" s="832"/>
      <c r="F548" s="839"/>
      <c r="G548" s="859"/>
      <c r="H548" s="833"/>
      <c r="I548" s="860"/>
      <c r="J548" s="861"/>
      <c r="K548" s="833"/>
      <c r="L548" s="832"/>
      <c r="M548" s="858"/>
      <c r="N548" s="195"/>
      <c r="O548" s="196"/>
      <c r="P548" s="214"/>
      <c r="Q548" s="39"/>
    </row>
    <row r="549" spans="1:17" ht="18.75">
      <c r="A549" s="829"/>
      <c r="B549" s="832"/>
      <c r="C549" s="833"/>
      <c r="D549" s="833"/>
      <c r="E549" s="832"/>
      <c r="F549" s="839"/>
      <c r="G549" s="859"/>
      <c r="H549" s="833"/>
      <c r="I549" s="860"/>
      <c r="J549" s="861"/>
      <c r="K549" s="833"/>
      <c r="L549" s="832"/>
      <c r="M549" s="858"/>
      <c r="N549" s="195"/>
      <c r="O549" s="196"/>
      <c r="P549" s="214"/>
      <c r="Q549" s="39"/>
    </row>
    <row r="550" spans="1:17" ht="18.75">
      <c r="A550" s="829"/>
      <c r="B550" s="832"/>
      <c r="C550" s="833"/>
      <c r="D550" s="833"/>
      <c r="E550" s="832"/>
      <c r="F550" s="839"/>
      <c r="G550" s="859"/>
      <c r="H550" s="833"/>
      <c r="I550" s="860"/>
      <c r="J550" s="861"/>
      <c r="K550" s="833"/>
      <c r="L550" s="832"/>
      <c r="M550" s="858"/>
      <c r="N550" s="195"/>
      <c r="O550" s="196"/>
      <c r="P550" s="214"/>
      <c r="Q550" s="39"/>
    </row>
    <row r="551" spans="1:17" ht="18.75">
      <c r="A551" s="829"/>
      <c r="B551" s="832"/>
      <c r="C551" s="833"/>
      <c r="D551" s="833"/>
      <c r="E551" s="832"/>
      <c r="F551" s="839"/>
      <c r="G551" s="859"/>
      <c r="H551" s="833"/>
      <c r="I551" s="860"/>
      <c r="J551" s="861"/>
      <c r="K551" s="833"/>
      <c r="L551" s="832"/>
      <c r="M551" s="858"/>
      <c r="N551" s="195"/>
      <c r="O551" s="196"/>
      <c r="P551" s="214"/>
      <c r="Q551" s="39"/>
    </row>
    <row r="552" spans="1:17" ht="18.75">
      <c r="A552" s="829"/>
      <c r="B552" s="832"/>
      <c r="C552" s="833"/>
      <c r="D552" s="833"/>
      <c r="E552" s="832"/>
      <c r="F552" s="839"/>
      <c r="G552" s="859"/>
      <c r="H552" s="833"/>
      <c r="I552" s="860"/>
      <c r="J552" s="861"/>
      <c r="K552" s="833"/>
      <c r="L552" s="832"/>
      <c r="M552" s="858"/>
      <c r="N552" s="195"/>
      <c r="O552" s="196"/>
      <c r="P552" s="214"/>
      <c r="Q552" s="39"/>
    </row>
    <row r="553" spans="1:17" ht="18.75">
      <c r="A553" s="59"/>
      <c r="B553" s="215"/>
      <c r="C553" s="427"/>
      <c r="D553" s="427"/>
      <c r="E553" s="215"/>
      <c r="F553" s="216"/>
      <c r="G553" s="444"/>
      <c r="H553" s="427"/>
      <c r="I553" s="442"/>
      <c r="J553" s="445"/>
      <c r="K553" s="427"/>
      <c r="L553" s="215"/>
      <c r="M553" s="187"/>
      <c r="N553" s="195"/>
      <c r="O553" s="196"/>
      <c r="P553" s="214"/>
      <c r="Q553" s="39"/>
    </row>
    <row r="554" spans="1:17" ht="18.75">
      <c r="A554" s="579"/>
      <c r="B554" s="614"/>
      <c r="C554" s="615"/>
      <c r="D554" s="615"/>
      <c r="E554" s="614"/>
      <c r="F554" s="616"/>
      <c r="G554" s="617"/>
      <c r="H554" s="615"/>
      <c r="I554" s="618"/>
      <c r="J554" s="619"/>
      <c r="K554" s="615"/>
      <c r="L554" s="614"/>
      <c r="M554" s="620"/>
      <c r="N554" s="195"/>
      <c r="O554" s="196"/>
      <c r="P554" s="214"/>
      <c r="Q554" s="39"/>
    </row>
    <row r="555" spans="1:17" ht="15.75">
      <c r="A555" s="34"/>
      <c r="B555" s="34"/>
      <c r="C555" s="34"/>
      <c r="D555" s="34"/>
      <c r="E555" s="34"/>
      <c r="F555" s="34"/>
      <c r="G555" s="34"/>
      <c r="H555" s="35"/>
      <c r="I555" s="34"/>
      <c r="J555" s="34"/>
      <c r="K555" s="34"/>
      <c r="L555" s="34"/>
      <c r="M555" s="34"/>
      <c r="N555" s="34"/>
      <c r="O555" s="234"/>
      <c r="P555" s="39"/>
    </row>
    <row r="556" spans="1:17" ht="15.75">
      <c r="A556" s="34"/>
      <c r="B556" s="34"/>
      <c r="C556" s="34"/>
      <c r="D556" s="34"/>
      <c r="E556" s="34"/>
      <c r="F556" s="34"/>
      <c r="G556" s="34"/>
      <c r="H556" s="35"/>
      <c r="I556" s="34"/>
      <c r="J556" s="34"/>
      <c r="K556" s="34"/>
      <c r="L556" s="34"/>
      <c r="M556" s="34"/>
      <c r="N556" s="34"/>
      <c r="O556" s="234"/>
      <c r="P556" s="39"/>
    </row>
    <row r="557" spans="1:17">
      <c r="A557" s="34"/>
      <c r="B557" s="34"/>
      <c r="C557" s="34"/>
      <c r="D557" s="34"/>
      <c r="E557" s="34"/>
      <c r="F557" s="34"/>
      <c r="G557" s="34"/>
      <c r="H557" s="35"/>
      <c r="I557" s="34"/>
      <c r="K557" s="36"/>
      <c r="L557" s="34"/>
      <c r="M557" s="34"/>
      <c r="N557" s="34"/>
      <c r="O557" s="235"/>
      <c r="P557" s="39"/>
    </row>
    <row r="558" spans="1:17" ht="18.75">
      <c r="A558" s="34"/>
      <c r="B558" s="452"/>
      <c r="C558" s="452"/>
      <c r="D558" s="452"/>
      <c r="E558" s="452"/>
      <c r="F558" s="452"/>
      <c r="G558" s="452"/>
      <c r="H558" s="453"/>
      <c r="I558" s="452"/>
      <c r="J558" s="461"/>
      <c r="K558" s="454" t="s">
        <v>374</v>
      </c>
      <c r="L558" s="452"/>
      <c r="M558" s="34"/>
      <c r="N558" s="34"/>
      <c r="O558" s="235"/>
      <c r="P558" s="39"/>
    </row>
    <row r="559" spans="1:17" ht="18.75">
      <c r="A559" s="34"/>
      <c r="B559" s="452"/>
      <c r="C559" s="454" t="s">
        <v>32</v>
      </c>
      <c r="D559" s="452"/>
      <c r="E559" s="452"/>
      <c r="F559" s="452"/>
      <c r="G559" s="452"/>
      <c r="H559" s="453"/>
      <c r="I559" s="452"/>
      <c r="J559" s="461"/>
      <c r="K559" s="36"/>
      <c r="L559" s="452"/>
      <c r="M559" s="34"/>
      <c r="N559" s="34"/>
      <c r="O559" s="235"/>
      <c r="P559" s="39"/>
    </row>
    <row r="560" spans="1:17" ht="18.75">
      <c r="A560" s="34"/>
      <c r="B560" s="452"/>
      <c r="C560" s="454"/>
      <c r="D560" s="452"/>
      <c r="E560" s="452"/>
      <c r="F560" s="452"/>
      <c r="G560" s="452"/>
      <c r="H560" s="453"/>
      <c r="I560" s="452"/>
      <c r="J560" s="461"/>
      <c r="K560" s="36" t="s">
        <v>118</v>
      </c>
      <c r="L560" s="452"/>
      <c r="M560" s="34"/>
      <c r="N560" s="34"/>
      <c r="O560" s="235"/>
      <c r="P560" s="39"/>
    </row>
    <row r="561" spans="1:16" ht="15" customHeight="1">
      <c r="A561" s="34"/>
      <c r="B561" s="452"/>
      <c r="C561" s="454"/>
      <c r="D561" s="452"/>
      <c r="E561" s="452"/>
      <c r="F561" s="452"/>
      <c r="G561" s="452"/>
      <c r="H561" s="453"/>
      <c r="I561" s="452"/>
      <c r="J561" s="461"/>
      <c r="K561" s="36"/>
      <c r="L561" s="452"/>
      <c r="M561" s="34"/>
      <c r="N561" s="34"/>
      <c r="O561" s="235"/>
      <c r="P561" s="39"/>
    </row>
    <row r="562" spans="1:16" ht="18.75">
      <c r="A562" s="34"/>
      <c r="B562" s="452"/>
      <c r="C562" s="454"/>
      <c r="D562" s="452"/>
      <c r="E562" s="452"/>
      <c r="F562" s="452"/>
      <c r="G562" s="452"/>
      <c r="H562" s="453"/>
      <c r="I562" s="452"/>
      <c r="J562" s="461"/>
      <c r="K562" s="36"/>
      <c r="L562" s="452"/>
      <c r="M562" s="34"/>
      <c r="N562" s="34"/>
      <c r="O562" s="235"/>
      <c r="P562" s="39"/>
    </row>
    <row r="563" spans="1:16" ht="18.75">
      <c r="A563" s="34"/>
      <c r="B563" s="452"/>
      <c r="C563" s="455" t="s">
        <v>464</v>
      </c>
      <c r="D563" s="456"/>
      <c r="E563" s="457"/>
      <c r="F563" s="457"/>
      <c r="G563" s="457"/>
      <c r="H563" s="458"/>
      <c r="I563" s="457"/>
      <c r="J563" s="461"/>
      <c r="K563" s="455" t="s">
        <v>210</v>
      </c>
      <c r="L563" s="456"/>
      <c r="M563" s="34"/>
      <c r="N563" s="34"/>
      <c r="O563" s="235"/>
    </row>
    <row r="564" spans="1:16" ht="15.75" customHeight="1">
      <c r="A564" s="92"/>
      <c r="B564" s="459"/>
      <c r="C564" s="454" t="s">
        <v>465</v>
      </c>
      <c r="D564" s="459"/>
      <c r="E564" s="459"/>
      <c r="F564" s="459"/>
      <c r="G564" s="459"/>
      <c r="H564" s="460"/>
      <c r="I564" s="459"/>
      <c r="J564" s="461"/>
      <c r="K564" s="454" t="s">
        <v>211</v>
      </c>
      <c r="L564" s="459"/>
      <c r="M564" s="92"/>
      <c r="N564" s="92"/>
      <c r="O564" s="236"/>
    </row>
    <row r="565" spans="1:16" ht="18.75">
      <c r="B565" s="461"/>
      <c r="C565" s="461"/>
      <c r="D565" s="461"/>
      <c r="E565" s="461"/>
      <c r="F565" s="461"/>
      <c r="G565" s="461"/>
      <c r="H565" s="462"/>
      <c r="I565" s="461"/>
      <c r="J565" s="461"/>
      <c r="K565" s="36"/>
      <c r="L565" s="461"/>
    </row>
    <row r="566" spans="1:16" ht="18.75">
      <c r="B566" s="461"/>
      <c r="C566" s="461"/>
      <c r="D566" s="461"/>
      <c r="E566" s="461"/>
      <c r="F566" s="461"/>
      <c r="G566" s="461"/>
      <c r="H566" s="462"/>
      <c r="I566" s="461"/>
      <c r="J566" s="461"/>
      <c r="K566" s="454"/>
      <c r="L566" s="461"/>
    </row>
    <row r="567" spans="1:16">
      <c r="K567" s="36"/>
    </row>
  </sheetData>
  <mergeCells count="34">
    <mergeCell ref="A2:M2"/>
    <mergeCell ref="A3:M3"/>
    <mergeCell ref="A4:M4"/>
    <mergeCell ref="K5:L5"/>
    <mergeCell ref="K6:L6"/>
    <mergeCell ref="J5:J7"/>
    <mergeCell ref="M5:M7"/>
    <mergeCell ref="D5:E6"/>
    <mergeCell ref="A130:M130"/>
    <mergeCell ref="A146:M146"/>
    <mergeCell ref="A176:M176"/>
    <mergeCell ref="A239:M239"/>
    <mergeCell ref="A71:M71"/>
    <mergeCell ref="A92:M92"/>
    <mergeCell ref="A209:M209"/>
    <mergeCell ref="A10:M10"/>
    <mergeCell ref="A115:M115"/>
    <mergeCell ref="G8:H8"/>
    <mergeCell ref="G5:H7"/>
    <mergeCell ref="A5:A7"/>
    <mergeCell ref="B5:B7"/>
    <mergeCell ref="C5:C7"/>
    <mergeCell ref="F5:F7"/>
    <mergeCell ref="I5:I7"/>
    <mergeCell ref="A392:M392"/>
    <mergeCell ref="A427:M427"/>
    <mergeCell ref="A527:M527"/>
    <mergeCell ref="A204:M204"/>
    <mergeCell ref="A221:M221"/>
    <mergeCell ref="A230:M230"/>
    <mergeCell ref="A353:M353"/>
    <mergeCell ref="A383:M383"/>
    <mergeCell ref="A315:M315"/>
    <mergeCell ref="A373:M373"/>
  </mergeCells>
  <phoneticPr fontId="120" type="noConversion"/>
  <printOptions horizontalCentered="1"/>
  <pageMargins left="0.196850393700787" right="0.196850393700787" top="0.196850393700787" bottom="0.196850393700787" header="0.31496062992126" footer="0.31496062992126"/>
  <pageSetup paperSize="9" scale="44" orientation="landscape" horizontalDpi="300" verticalDpi="300" r:id="rId1"/>
  <headerFooter alignWithMargins="0"/>
  <rowBreaks count="2" manualBreakCount="2">
    <brk id="70" max="16383" man="1"/>
    <brk id="238" max="16383" man="1"/>
  </rowBreaks>
  <colBreaks count="1" manualBreakCount="1">
    <brk id="1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AD317"/>
  <sheetViews>
    <sheetView view="pageBreakPreview" topLeftCell="A121" zoomScale="80" workbookViewId="0">
      <selection activeCell="A301" sqref="A301:K301"/>
    </sheetView>
  </sheetViews>
  <sheetFormatPr defaultColWidth="9" defaultRowHeight="15"/>
  <cols>
    <col min="1" max="1" width="5.7109375" customWidth="1"/>
    <col min="2" max="2" width="15" customWidth="1"/>
    <col min="3" max="3" width="10.7109375" customWidth="1"/>
    <col min="4" max="4" width="40.28515625" customWidth="1"/>
    <col min="5" max="5" width="11.5703125" customWidth="1"/>
    <col min="6" max="6" width="8" style="41" customWidth="1"/>
    <col min="7" max="8" width="15.7109375" customWidth="1"/>
    <col min="9" max="9" width="31" customWidth="1"/>
    <col min="10" max="10" width="15" customWidth="1"/>
    <col min="11" max="11" width="18.42578125" customWidth="1"/>
    <col min="12" max="12" width="7.28515625" customWidth="1"/>
  </cols>
  <sheetData>
    <row r="1" spans="1:30" ht="15.75">
      <c r="A1" s="8"/>
      <c r="B1" s="103"/>
      <c r="C1" s="8"/>
      <c r="D1" s="8"/>
      <c r="E1" s="8"/>
      <c r="F1" s="43"/>
      <c r="G1" s="103"/>
      <c r="I1" s="8"/>
      <c r="J1" s="8"/>
      <c r="K1" s="120" t="s">
        <v>36</v>
      </c>
      <c r="L1" s="121"/>
      <c r="M1" s="121"/>
      <c r="N1" s="121"/>
      <c r="O1" s="121"/>
      <c r="P1" s="122"/>
      <c r="Q1" s="122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</row>
    <row r="2" spans="1:30" ht="15.75">
      <c r="A2" s="8"/>
      <c r="B2" s="103"/>
      <c r="C2" s="8"/>
      <c r="D2" s="8"/>
      <c r="E2" s="8"/>
      <c r="F2" s="43"/>
      <c r="G2" s="103"/>
      <c r="H2" s="103"/>
      <c r="I2" s="8"/>
      <c r="J2" s="8"/>
      <c r="K2" s="8"/>
      <c r="L2" s="121"/>
      <c r="M2" s="121"/>
      <c r="N2" s="121"/>
      <c r="O2" s="121"/>
      <c r="P2" s="122"/>
      <c r="Q2" s="122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</row>
    <row r="3" spans="1:30" ht="18.75">
      <c r="A3" s="1152" t="s">
        <v>37</v>
      </c>
      <c r="B3" s="1152"/>
      <c r="C3" s="1152"/>
      <c r="D3" s="1152"/>
      <c r="E3" s="1152"/>
      <c r="F3" s="1152"/>
      <c r="G3" s="1152"/>
      <c r="H3" s="1152"/>
      <c r="I3" s="1152"/>
      <c r="J3" s="1152"/>
      <c r="K3" s="1152"/>
      <c r="L3" s="123"/>
      <c r="M3" s="123"/>
      <c r="N3" s="124"/>
      <c r="O3" s="124"/>
      <c r="P3" s="124"/>
      <c r="Q3" s="141"/>
      <c r="R3" s="124"/>
      <c r="S3" s="124"/>
      <c r="T3" s="141"/>
      <c r="U3" s="124"/>
      <c r="V3" s="124"/>
      <c r="W3" s="141"/>
      <c r="X3" s="124"/>
      <c r="Y3" s="124"/>
      <c r="Z3" s="141"/>
      <c r="AA3" s="124"/>
      <c r="AB3" s="124"/>
      <c r="AC3" s="141"/>
      <c r="AD3" s="141"/>
    </row>
    <row r="4" spans="1:30" ht="16.5" customHeight="1">
      <c r="A4" s="8"/>
      <c r="B4" s="103"/>
      <c r="C4" s="103"/>
      <c r="D4" s="8"/>
      <c r="E4" s="8"/>
      <c r="F4" s="43"/>
      <c r="G4" s="103"/>
      <c r="H4" s="103"/>
      <c r="I4" s="103"/>
      <c r="J4" s="8"/>
      <c r="K4" s="125"/>
      <c r="L4" s="126"/>
      <c r="M4" s="121"/>
      <c r="N4" s="121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</row>
    <row r="5" spans="1:30" ht="15.75">
      <c r="A5" s="8"/>
      <c r="B5" s="103"/>
      <c r="C5" s="103"/>
      <c r="D5" s="8"/>
      <c r="E5" s="8"/>
      <c r="F5" s="43"/>
      <c r="G5" s="103"/>
      <c r="H5" s="103"/>
      <c r="I5" s="103"/>
      <c r="J5" s="8"/>
      <c r="K5" s="125"/>
      <c r="L5" s="126"/>
      <c r="M5" s="1143"/>
      <c r="N5" s="1143"/>
      <c r="O5" s="1144"/>
      <c r="P5" s="1144"/>
      <c r="Q5" s="1144"/>
      <c r="R5" s="1144"/>
      <c r="S5" s="1144"/>
      <c r="T5" s="1144"/>
      <c r="U5" s="1144"/>
      <c r="V5" s="1144"/>
      <c r="W5" s="1144"/>
      <c r="X5" s="1144"/>
      <c r="Y5" s="1144"/>
      <c r="Z5" s="1144"/>
      <c r="AA5" s="1144"/>
      <c r="AB5" s="1144"/>
      <c r="AC5" s="1144"/>
      <c r="AD5" s="1144"/>
    </row>
    <row r="6" spans="1:30" ht="15.75">
      <c r="A6" s="1153" t="s">
        <v>38</v>
      </c>
      <c r="B6" s="1153" t="s">
        <v>3</v>
      </c>
      <c r="C6" s="1155" t="s">
        <v>39</v>
      </c>
      <c r="D6" s="1153" t="s">
        <v>40</v>
      </c>
      <c r="E6" s="1157" t="s">
        <v>7</v>
      </c>
      <c r="F6" s="1157"/>
      <c r="G6" s="1155" t="s">
        <v>41</v>
      </c>
      <c r="H6" s="1155" t="s">
        <v>42</v>
      </c>
      <c r="I6" s="1153" t="s">
        <v>43</v>
      </c>
      <c r="J6" s="1155" t="s">
        <v>44</v>
      </c>
      <c r="K6" s="1155" t="s">
        <v>45</v>
      </c>
      <c r="L6" s="1144"/>
      <c r="M6" s="1144"/>
      <c r="N6" s="1144"/>
      <c r="O6" s="1144"/>
      <c r="P6" s="1144"/>
      <c r="Q6" s="1144"/>
      <c r="R6" s="1144"/>
      <c r="S6" s="1144"/>
      <c r="T6" s="1144"/>
      <c r="U6" s="1144"/>
      <c r="V6" s="1144"/>
      <c r="W6" s="1144"/>
      <c r="X6" s="1144"/>
      <c r="Y6" s="1144"/>
      <c r="Z6" s="1144"/>
      <c r="AA6" s="1144"/>
      <c r="AB6" s="1144"/>
      <c r="AC6" s="1144"/>
      <c r="AD6" s="1144"/>
    </row>
    <row r="7" spans="1:30" ht="15.75">
      <c r="A7" s="1154"/>
      <c r="B7" s="1154"/>
      <c r="C7" s="1156"/>
      <c r="D7" s="1154"/>
      <c r="E7" s="1157"/>
      <c r="F7" s="1157"/>
      <c r="G7" s="1156"/>
      <c r="H7" s="1156"/>
      <c r="I7" s="1154"/>
      <c r="J7" s="1156"/>
      <c r="K7" s="1156"/>
      <c r="L7" s="1144"/>
      <c r="M7" s="1144"/>
      <c r="N7" s="1144"/>
      <c r="O7" s="1144"/>
      <c r="P7" s="1144"/>
      <c r="Q7" s="1144"/>
      <c r="R7" s="1144"/>
      <c r="S7" s="1144"/>
      <c r="T7" s="1144"/>
      <c r="U7" s="1144"/>
      <c r="V7" s="1144"/>
      <c r="W7" s="1144"/>
      <c r="X7" s="1144"/>
      <c r="Y7" s="1144"/>
      <c r="Z7" s="1144"/>
      <c r="AA7" s="1144"/>
      <c r="AB7" s="1144"/>
      <c r="AC7" s="1144"/>
      <c r="AD7" s="1144"/>
    </row>
    <row r="8" spans="1:30" ht="15.75">
      <c r="A8" s="104">
        <v>1</v>
      </c>
      <c r="B8" s="104">
        <v>2</v>
      </c>
      <c r="C8" s="104">
        <v>3</v>
      </c>
      <c r="D8" s="104">
        <v>4</v>
      </c>
      <c r="E8" s="1158">
        <v>5</v>
      </c>
      <c r="F8" s="1158"/>
      <c r="G8" s="104">
        <v>6</v>
      </c>
      <c r="H8" s="104">
        <v>7</v>
      </c>
      <c r="I8" s="104">
        <v>8</v>
      </c>
      <c r="J8" s="104">
        <v>9</v>
      </c>
      <c r="K8" s="128">
        <v>10</v>
      </c>
      <c r="L8" s="1144"/>
      <c r="M8" s="1144"/>
      <c r="N8" s="1144"/>
      <c r="O8" s="1144"/>
      <c r="P8" s="1144"/>
      <c r="Q8" s="1144"/>
      <c r="R8" s="1144"/>
      <c r="S8" s="1144"/>
      <c r="T8" s="1144"/>
      <c r="U8" s="1144"/>
      <c r="V8" s="1144"/>
      <c r="W8" s="1144"/>
      <c r="X8" s="1144"/>
      <c r="Y8" s="1144"/>
      <c r="Z8" s="1144"/>
      <c r="AA8" s="1144"/>
      <c r="AB8" s="1144"/>
      <c r="AC8" s="1144"/>
      <c r="AD8" s="1144"/>
    </row>
    <row r="9" spans="1:30" ht="6.95" customHeight="1">
      <c r="A9" s="49"/>
      <c r="B9" s="105"/>
      <c r="C9" s="106"/>
      <c r="D9" s="71"/>
      <c r="E9" s="107"/>
      <c r="F9" s="52"/>
      <c r="G9" s="108"/>
      <c r="H9" s="109"/>
      <c r="I9" s="23"/>
      <c r="J9" s="70"/>
      <c r="K9" s="129"/>
      <c r="L9" s="1144"/>
      <c r="M9" s="1144"/>
      <c r="N9" s="1144"/>
      <c r="O9" s="1144"/>
      <c r="P9" s="1144"/>
      <c r="Q9" s="1144"/>
      <c r="R9" s="1144"/>
      <c r="S9" s="1144"/>
      <c r="T9" s="1144"/>
      <c r="U9" s="1144"/>
      <c r="V9" s="1144"/>
      <c r="W9" s="1144"/>
      <c r="X9" s="1144"/>
      <c r="Y9" s="1144"/>
      <c r="Z9" s="1144"/>
      <c r="AA9" s="1144"/>
      <c r="AB9" s="1144"/>
      <c r="AC9" s="1144"/>
      <c r="AD9" s="1144"/>
    </row>
    <row r="10" spans="1:30" ht="15.75" customHeight="1">
      <c r="A10" s="1146" t="str">
        <f>'LAMP.8 (I)'!A10:M10</f>
        <v>1. Alat Tulis Kantor</v>
      </c>
      <c r="B10" s="1147"/>
      <c r="C10" s="1147"/>
      <c r="D10" s="1147"/>
      <c r="E10" s="1147"/>
      <c r="F10" s="1147"/>
      <c r="G10" s="1147"/>
      <c r="H10" s="1147"/>
      <c r="I10" s="1147"/>
      <c r="J10" s="1147"/>
      <c r="K10" s="1148"/>
      <c r="L10" s="130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</row>
    <row r="11" spans="1:30" ht="15.75" customHeight="1">
      <c r="A11" s="53"/>
      <c r="B11" s="418"/>
      <c r="C11" s="111"/>
      <c r="D11" s="74"/>
      <c r="E11" s="112"/>
      <c r="F11" s="113"/>
      <c r="G11" s="114"/>
      <c r="H11" s="114"/>
      <c r="I11" s="131"/>
      <c r="J11" s="420"/>
      <c r="K11" s="132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</row>
    <row r="12" spans="1:30" ht="15.75" customHeight="1">
      <c r="A12" s="59"/>
      <c r="B12" s="419"/>
      <c r="C12" s="116"/>
      <c r="D12" s="27"/>
      <c r="E12" s="117"/>
      <c r="F12" s="118"/>
      <c r="G12" s="119"/>
      <c r="H12" s="119"/>
      <c r="I12" s="170"/>
      <c r="J12" s="421"/>
      <c r="K12" s="134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</row>
    <row r="13" spans="1:30" ht="15.75" customHeight="1">
      <c r="A13" s="59"/>
      <c r="B13" s="419"/>
      <c r="C13" s="116"/>
      <c r="D13" s="27"/>
      <c r="E13" s="117"/>
      <c r="F13" s="118"/>
      <c r="G13" s="119"/>
      <c r="H13" s="119"/>
      <c r="I13" s="170"/>
      <c r="J13" s="421"/>
      <c r="K13" s="134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</row>
    <row r="14" spans="1:30" ht="15.75" customHeight="1">
      <c r="A14" s="59"/>
      <c r="B14" s="419"/>
      <c r="C14" s="116"/>
      <c r="D14" s="27"/>
      <c r="E14" s="117"/>
      <c r="F14" s="118"/>
      <c r="G14" s="119"/>
      <c r="H14" s="119"/>
      <c r="I14" s="170"/>
      <c r="J14" s="421"/>
      <c r="K14" s="134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</row>
    <row r="15" spans="1:30" ht="15.75" customHeight="1">
      <c r="A15" s="59"/>
      <c r="B15" s="419"/>
      <c r="C15" s="116"/>
      <c r="D15" s="27"/>
      <c r="E15" s="117"/>
      <c r="F15" s="118"/>
      <c r="G15" s="119"/>
      <c r="H15" s="119"/>
      <c r="I15" s="170"/>
      <c r="J15" s="421"/>
      <c r="K15" s="134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</row>
    <row r="16" spans="1:30" ht="15.75" customHeight="1">
      <c r="A16" s="59"/>
      <c r="B16" s="419"/>
      <c r="C16" s="116"/>
      <c r="D16" s="27"/>
      <c r="E16" s="117"/>
      <c r="F16" s="118"/>
      <c r="G16" s="119"/>
      <c r="H16" s="119"/>
      <c r="I16" s="170"/>
      <c r="J16" s="421"/>
      <c r="K16" s="134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</row>
    <row r="17" spans="1:30" ht="15.75" customHeight="1">
      <c r="A17" s="59"/>
      <c r="B17" s="419"/>
      <c r="C17" s="116"/>
      <c r="D17" s="27"/>
      <c r="E17" s="117"/>
      <c r="F17" s="118"/>
      <c r="G17" s="119"/>
      <c r="H17" s="119"/>
      <c r="I17" s="170"/>
      <c r="J17" s="421"/>
      <c r="K17" s="134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</row>
    <row r="18" spans="1:30" ht="15.75" customHeight="1">
      <c r="A18" s="59"/>
      <c r="B18" s="419"/>
      <c r="C18" s="116"/>
      <c r="D18" s="27"/>
      <c r="E18" s="117"/>
      <c r="F18" s="118"/>
      <c r="G18" s="119"/>
      <c r="H18" s="119"/>
      <c r="I18" s="170"/>
      <c r="J18" s="421"/>
      <c r="K18" s="134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</row>
    <row r="19" spans="1:30" ht="15.75" customHeight="1">
      <c r="A19" s="59"/>
      <c r="B19" s="419"/>
      <c r="C19" s="116"/>
      <c r="D19" s="27"/>
      <c r="E19" s="117"/>
      <c r="F19" s="118"/>
      <c r="G19" s="119"/>
      <c r="H19" s="119"/>
      <c r="I19" s="170"/>
      <c r="J19" s="421"/>
      <c r="K19" s="134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</row>
    <row r="20" spans="1:30" ht="15.75" customHeight="1">
      <c r="A20" s="59"/>
      <c r="B20" s="419"/>
      <c r="C20" s="116"/>
      <c r="D20" s="27"/>
      <c r="E20" s="117"/>
      <c r="F20" s="118"/>
      <c r="G20" s="119"/>
      <c r="H20" s="119"/>
      <c r="I20" s="170"/>
      <c r="J20" s="421"/>
      <c r="K20" s="134"/>
      <c r="L20" s="135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</row>
    <row r="21" spans="1:30" ht="15.75" customHeight="1">
      <c r="A21" s="59"/>
      <c r="B21" s="419"/>
      <c r="C21" s="116"/>
      <c r="D21" s="27"/>
      <c r="E21" s="117"/>
      <c r="F21" s="118"/>
      <c r="G21" s="119"/>
      <c r="H21" s="119"/>
      <c r="I21" s="170"/>
      <c r="J21" s="421"/>
      <c r="K21" s="134"/>
      <c r="L21" s="136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</row>
    <row r="22" spans="1:30" ht="15.75" customHeight="1">
      <c r="A22" s="59"/>
      <c r="B22" s="419"/>
      <c r="C22" s="116"/>
      <c r="D22" s="27"/>
      <c r="E22" s="117"/>
      <c r="F22" s="118"/>
      <c r="G22" s="119"/>
      <c r="H22" s="119"/>
      <c r="I22" s="170"/>
      <c r="J22" s="421"/>
      <c r="K22" s="134"/>
      <c r="L22" s="136"/>
      <c r="M22" s="135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</row>
    <row r="23" spans="1:30" ht="15.75" customHeight="1">
      <c r="A23" s="59"/>
      <c r="B23" s="419"/>
      <c r="C23" s="116"/>
      <c r="D23" s="27"/>
      <c r="E23" s="117"/>
      <c r="F23" s="118"/>
      <c r="G23" s="119"/>
      <c r="H23" s="119"/>
      <c r="I23" s="170"/>
      <c r="J23" s="421"/>
      <c r="K23" s="134"/>
      <c r="L23" s="136"/>
      <c r="M23" s="136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</row>
    <row r="24" spans="1:30" ht="15.75" customHeight="1">
      <c r="A24" s="59"/>
      <c r="B24" s="419"/>
      <c r="C24" s="116"/>
      <c r="D24" s="27"/>
      <c r="E24" s="117"/>
      <c r="F24" s="118"/>
      <c r="G24" s="119"/>
      <c r="H24" s="119"/>
      <c r="I24" s="170"/>
      <c r="J24" s="421"/>
      <c r="K24" s="134"/>
      <c r="L24" s="136"/>
      <c r="M24" s="136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</row>
    <row r="25" spans="1:30" ht="15.75" customHeight="1">
      <c r="A25" s="59"/>
      <c r="B25" s="419"/>
      <c r="C25" s="116"/>
      <c r="D25" s="27"/>
      <c r="E25" s="117"/>
      <c r="F25" s="118"/>
      <c r="G25" s="119"/>
      <c r="H25" s="119"/>
      <c r="I25" s="170"/>
      <c r="J25" s="421"/>
      <c r="K25" s="134"/>
      <c r="L25" s="136"/>
      <c r="M25" s="138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</row>
    <row r="26" spans="1:30" ht="15.75" customHeight="1">
      <c r="A26" s="59"/>
      <c r="B26" s="419"/>
      <c r="C26" s="116"/>
      <c r="D26" s="27"/>
      <c r="E26" s="117"/>
      <c r="F26" s="118"/>
      <c r="G26" s="119"/>
      <c r="H26" s="119"/>
      <c r="I26" s="170"/>
      <c r="J26" s="421"/>
      <c r="K26" s="134"/>
      <c r="L26" s="136"/>
      <c r="M26" s="138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</row>
    <row r="27" spans="1:30" ht="15.75" customHeight="1">
      <c r="A27" s="59"/>
      <c r="B27" s="419"/>
      <c r="C27" s="116"/>
      <c r="D27" s="27"/>
      <c r="E27" s="117"/>
      <c r="F27" s="118"/>
      <c r="G27" s="119"/>
      <c r="H27" s="119"/>
      <c r="I27" s="170"/>
      <c r="J27" s="421"/>
      <c r="K27" s="134"/>
      <c r="L27" s="136"/>
      <c r="M27" s="138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</row>
    <row r="28" spans="1:30" ht="15.75" customHeight="1">
      <c r="A28" s="59"/>
      <c r="B28" s="419"/>
      <c r="C28" s="116"/>
      <c r="D28" s="27"/>
      <c r="E28" s="117"/>
      <c r="F28" s="118"/>
      <c r="G28" s="119"/>
      <c r="H28" s="119"/>
      <c r="I28" s="170"/>
      <c r="J28" s="421"/>
      <c r="K28" s="134"/>
      <c r="L28" s="136"/>
      <c r="M28" s="138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</row>
    <row r="29" spans="1:30" ht="15.75" customHeight="1">
      <c r="A29" s="59"/>
      <c r="B29" s="419"/>
      <c r="C29" s="116"/>
      <c r="D29" s="27"/>
      <c r="E29" s="117"/>
      <c r="F29" s="118"/>
      <c r="G29" s="119"/>
      <c r="H29" s="119"/>
      <c r="I29" s="170"/>
      <c r="J29" s="421"/>
      <c r="K29" s="134"/>
      <c r="L29" s="136"/>
      <c r="M29" s="138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</row>
    <row r="30" spans="1:30" ht="15.75" customHeight="1">
      <c r="A30" s="59"/>
      <c r="B30" s="419"/>
      <c r="C30" s="116"/>
      <c r="D30" s="27"/>
      <c r="E30" s="117"/>
      <c r="F30" s="118"/>
      <c r="G30" s="119"/>
      <c r="H30" s="119"/>
      <c r="I30" s="170"/>
      <c r="J30" s="421"/>
      <c r="K30" s="134"/>
      <c r="L30" s="136"/>
      <c r="M30" s="138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</row>
    <row r="31" spans="1:30" ht="15.75" customHeight="1">
      <c r="A31" s="59"/>
      <c r="B31" s="419"/>
      <c r="C31" s="116"/>
      <c r="D31" s="27"/>
      <c r="E31" s="117"/>
      <c r="F31" s="118"/>
      <c r="G31" s="119"/>
      <c r="H31" s="119"/>
      <c r="I31" s="170"/>
      <c r="J31" s="421"/>
      <c r="K31" s="134"/>
      <c r="L31" s="136"/>
      <c r="M31" s="138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</row>
    <row r="32" spans="1:30" ht="15.75" customHeight="1">
      <c r="A32" s="59"/>
      <c r="B32" s="419"/>
      <c r="C32" s="116"/>
      <c r="D32" s="27"/>
      <c r="E32" s="117"/>
      <c r="F32" s="118"/>
      <c r="G32" s="119"/>
      <c r="H32" s="119"/>
      <c r="I32" s="170"/>
      <c r="J32" s="421"/>
      <c r="K32" s="134"/>
      <c r="L32" s="136"/>
      <c r="M32" s="138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</row>
    <row r="33" spans="1:30" ht="15.75" customHeight="1">
      <c r="A33" s="59"/>
      <c r="B33" s="419"/>
      <c r="C33" s="116"/>
      <c r="D33" s="27"/>
      <c r="E33" s="117"/>
      <c r="F33" s="118"/>
      <c r="G33" s="119"/>
      <c r="H33" s="119"/>
      <c r="I33" s="170"/>
      <c r="J33" s="421"/>
      <c r="K33" s="134"/>
      <c r="L33" s="136"/>
      <c r="M33" s="138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</row>
    <row r="34" spans="1:30" ht="15.75" customHeight="1">
      <c r="A34" s="59"/>
      <c r="B34" s="419"/>
      <c r="C34" s="116"/>
      <c r="D34" s="27"/>
      <c r="E34" s="117"/>
      <c r="F34" s="118"/>
      <c r="G34" s="119"/>
      <c r="H34" s="119"/>
      <c r="I34" s="170"/>
      <c r="J34" s="421"/>
      <c r="K34" s="134"/>
      <c r="L34" s="136"/>
      <c r="M34" s="138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</row>
    <row r="35" spans="1:30" ht="15.75" customHeight="1">
      <c r="A35" s="59"/>
      <c r="B35" s="419"/>
      <c r="C35" s="116"/>
      <c r="D35" s="27"/>
      <c r="E35" s="117"/>
      <c r="F35" s="118"/>
      <c r="G35" s="119"/>
      <c r="H35" s="119"/>
      <c r="I35" s="170"/>
      <c r="J35" s="421"/>
      <c r="K35" s="134"/>
      <c r="L35" s="136"/>
      <c r="M35" s="138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</row>
    <row r="36" spans="1:30" ht="15.75" customHeight="1">
      <c r="A36" s="59"/>
      <c r="B36" s="419"/>
      <c r="C36" s="116"/>
      <c r="D36" s="27"/>
      <c r="E36" s="117"/>
      <c r="F36" s="118"/>
      <c r="G36" s="119"/>
      <c r="H36" s="119"/>
      <c r="I36" s="170"/>
      <c r="J36" s="421"/>
      <c r="K36" s="134"/>
      <c r="L36" s="136"/>
      <c r="M36" s="138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</row>
    <row r="37" spans="1:30" ht="15.75" customHeight="1">
      <c r="A37" s="59"/>
      <c r="B37" s="419"/>
      <c r="C37" s="116"/>
      <c r="D37" s="27"/>
      <c r="E37" s="117"/>
      <c r="F37" s="118"/>
      <c r="G37" s="119"/>
      <c r="H37" s="119"/>
      <c r="I37" s="170"/>
      <c r="J37" s="421"/>
      <c r="K37" s="134"/>
      <c r="L37" s="136"/>
      <c r="M37" s="136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</row>
    <row r="38" spans="1:30" ht="15.75" customHeight="1">
      <c r="A38" s="59"/>
      <c r="B38" s="419"/>
      <c r="C38" s="116"/>
      <c r="D38" s="27"/>
      <c r="E38" s="117"/>
      <c r="F38" s="118"/>
      <c r="G38" s="119"/>
      <c r="H38" s="119"/>
      <c r="I38" s="170"/>
      <c r="J38" s="421"/>
      <c r="K38" s="134"/>
      <c r="L38" s="136"/>
      <c r="M38" s="135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</row>
    <row r="39" spans="1:30" ht="15.75" customHeight="1">
      <c r="A39" s="59"/>
      <c r="B39" s="419"/>
      <c r="C39" s="116"/>
      <c r="D39" s="27"/>
      <c r="E39" s="117"/>
      <c r="F39" s="118"/>
      <c r="G39" s="119"/>
      <c r="H39" s="119"/>
      <c r="I39" s="170"/>
      <c r="J39" s="421"/>
      <c r="K39" s="134"/>
      <c r="L39" s="136"/>
      <c r="M39" s="136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</row>
    <row r="40" spans="1:30" ht="15.75" customHeight="1">
      <c r="A40" s="59"/>
      <c r="B40" s="419"/>
      <c r="C40" s="116"/>
      <c r="D40" s="27"/>
      <c r="E40" s="117"/>
      <c r="F40" s="118"/>
      <c r="G40" s="119"/>
      <c r="H40" s="119"/>
      <c r="I40" s="170"/>
      <c r="J40" s="421"/>
      <c r="K40" s="134"/>
      <c r="L40" s="139"/>
      <c r="M40" s="136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</row>
    <row r="41" spans="1:30" ht="15.75" customHeight="1">
      <c r="A41" s="59"/>
      <c r="B41" s="419"/>
      <c r="C41" s="116"/>
      <c r="D41" s="27"/>
      <c r="E41" s="117"/>
      <c r="F41" s="118"/>
      <c r="G41" s="119"/>
      <c r="H41" s="119"/>
      <c r="I41" s="170"/>
      <c r="J41" s="421"/>
      <c r="K41" s="134"/>
      <c r="L41" s="136"/>
      <c r="M41" s="138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</row>
    <row r="42" spans="1:30" ht="15.75" customHeight="1">
      <c r="A42" s="59"/>
      <c r="B42" s="419"/>
      <c r="C42" s="116"/>
      <c r="D42" s="27"/>
      <c r="E42" s="117"/>
      <c r="F42" s="118"/>
      <c r="G42" s="119"/>
      <c r="H42" s="119"/>
      <c r="I42" s="170"/>
      <c r="J42" s="421"/>
      <c r="K42" s="134"/>
      <c r="L42" s="136"/>
      <c r="M42" s="136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</row>
    <row r="43" spans="1:30" ht="15.75" customHeight="1">
      <c r="A43" s="59"/>
      <c r="B43" s="419"/>
      <c r="C43" s="116"/>
      <c r="D43" s="27"/>
      <c r="E43" s="117"/>
      <c r="F43" s="118"/>
      <c r="G43" s="119"/>
      <c r="H43" s="119"/>
      <c r="I43" s="170"/>
      <c r="J43" s="421"/>
      <c r="K43" s="134"/>
      <c r="L43" s="136"/>
      <c r="M43" s="136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</row>
    <row r="44" spans="1:30" ht="15.75" customHeight="1">
      <c r="A44" s="59"/>
      <c r="B44" s="419"/>
      <c r="C44" s="116"/>
      <c r="D44" s="27"/>
      <c r="E44" s="117"/>
      <c r="F44" s="118"/>
      <c r="G44" s="119"/>
      <c r="H44" s="119"/>
      <c r="I44" s="170"/>
      <c r="J44" s="421"/>
      <c r="K44" s="134"/>
      <c r="L44" s="136"/>
      <c r="M44" s="136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</row>
    <row r="45" spans="1:30" ht="15.75" customHeight="1">
      <c r="A45" s="59"/>
      <c r="B45" s="419"/>
      <c r="C45" s="116"/>
      <c r="D45" s="27"/>
      <c r="E45" s="117"/>
      <c r="F45" s="118"/>
      <c r="G45" s="119"/>
      <c r="H45" s="119"/>
      <c r="I45" s="170"/>
      <c r="J45" s="421"/>
      <c r="K45" s="134"/>
      <c r="L45" s="136"/>
      <c r="M45" s="136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</row>
    <row r="46" spans="1:30" ht="15.75" customHeight="1">
      <c r="A46" s="59"/>
      <c r="B46" s="419"/>
      <c r="C46" s="116"/>
      <c r="D46" s="27"/>
      <c r="E46" s="117"/>
      <c r="F46" s="118"/>
      <c r="G46" s="119"/>
      <c r="H46" s="119"/>
      <c r="I46" s="170"/>
      <c r="J46" s="421"/>
      <c r="K46" s="134"/>
      <c r="L46" s="136"/>
      <c r="M46" s="136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</row>
    <row r="47" spans="1:30" ht="15.75" customHeight="1">
      <c r="A47" s="59"/>
      <c r="B47" s="419"/>
      <c r="C47" s="116"/>
      <c r="D47" s="27"/>
      <c r="E47" s="117"/>
      <c r="F47" s="118"/>
      <c r="G47" s="119"/>
      <c r="H47" s="119"/>
      <c r="I47" s="170"/>
      <c r="J47" s="421"/>
      <c r="K47" s="134"/>
      <c r="L47" s="136"/>
      <c r="M47" s="136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</row>
    <row r="48" spans="1:30" ht="15.75" customHeight="1">
      <c r="A48" s="59"/>
      <c r="B48" s="419"/>
      <c r="C48" s="116"/>
      <c r="D48" s="27"/>
      <c r="E48" s="117"/>
      <c r="F48" s="118"/>
      <c r="G48" s="119"/>
      <c r="H48" s="119"/>
      <c r="I48" s="170"/>
      <c r="J48" s="421"/>
      <c r="K48" s="134"/>
      <c r="L48" s="136"/>
      <c r="M48" s="136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</row>
    <row r="49" spans="1:30" ht="15.75" customHeight="1">
      <c r="A49" s="59"/>
      <c r="B49" s="419"/>
      <c r="C49" s="116"/>
      <c r="D49" s="27"/>
      <c r="E49" s="117"/>
      <c r="F49" s="118"/>
      <c r="G49" s="119"/>
      <c r="H49" s="119"/>
      <c r="I49" s="170"/>
      <c r="J49" s="421"/>
      <c r="K49" s="134"/>
      <c r="L49" s="136"/>
      <c r="M49" s="136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</row>
    <row r="50" spans="1:30" ht="15.75" customHeight="1">
      <c r="A50" s="59"/>
      <c r="B50" s="419"/>
      <c r="C50" s="116"/>
      <c r="D50" s="27"/>
      <c r="E50" s="117"/>
      <c r="F50" s="118"/>
      <c r="G50" s="119"/>
      <c r="H50" s="119"/>
      <c r="I50" s="170"/>
      <c r="J50" s="421"/>
      <c r="K50" s="134"/>
      <c r="L50" s="136"/>
      <c r="M50" s="136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</row>
    <row r="51" spans="1:30" ht="15.75" customHeight="1">
      <c r="A51" s="59"/>
      <c r="B51" s="419"/>
      <c r="C51" s="116"/>
      <c r="D51" s="27"/>
      <c r="E51" s="117"/>
      <c r="F51" s="118"/>
      <c r="G51" s="119"/>
      <c r="H51" s="119"/>
      <c r="I51" s="170"/>
      <c r="J51" s="421"/>
      <c r="K51" s="134"/>
      <c r="L51" s="136"/>
      <c r="M51" s="136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</row>
    <row r="52" spans="1:30" ht="15.75" customHeight="1">
      <c r="A52" s="59"/>
      <c r="B52" s="419"/>
      <c r="C52" s="116"/>
      <c r="D52" s="27"/>
      <c r="E52" s="117"/>
      <c r="F52" s="118"/>
      <c r="G52" s="119"/>
      <c r="H52" s="119"/>
      <c r="I52" s="170"/>
      <c r="J52" s="421"/>
      <c r="K52" s="134"/>
      <c r="L52" s="136"/>
      <c r="M52" s="136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</row>
    <row r="53" spans="1:30" ht="15.75" customHeight="1">
      <c r="A53" s="59"/>
      <c r="B53" s="419"/>
      <c r="C53" s="116"/>
      <c r="D53" s="27"/>
      <c r="E53" s="117"/>
      <c r="F53" s="118"/>
      <c r="G53" s="119"/>
      <c r="H53" s="119"/>
      <c r="I53" s="170"/>
      <c r="J53" s="421"/>
      <c r="K53" s="134"/>
      <c r="L53" s="136"/>
      <c r="M53" s="136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</row>
    <row r="54" spans="1:30" ht="15.75" customHeight="1">
      <c r="A54" s="59"/>
      <c r="B54" s="419"/>
      <c r="C54" s="116"/>
      <c r="D54" s="27"/>
      <c r="E54" s="117"/>
      <c r="F54" s="118"/>
      <c r="G54" s="119"/>
      <c r="H54" s="119"/>
      <c r="I54" s="170"/>
      <c r="J54" s="421"/>
      <c r="K54" s="134"/>
      <c r="L54" s="136"/>
      <c r="M54" s="136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</row>
    <row r="55" spans="1:30" ht="15.75" customHeight="1">
      <c r="A55" s="59"/>
      <c r="B55" s="419"/>
      <c r="C55" s="116"/>
      <c r="D55" s="27"/>
      <c r="E55" s="117"/>
      <c r="F55" s="118"/>
      <c r="G55" s="119"/>
      <c r="H55" s="119"/>
      <c r="I55" s="170"/>
      <c r="J55" s="421"/>
      <c r="K55" s="134"/>
      <c r="L55" s="136"/>
      <c r="M55" s="136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</row>
    <row r="56" spans="1:30" ht="15.75" customHeight="1">
      <c r="A56" s="59"/>
      <c r="B56" s="419"/>
      <c r="C56" s="116"/>
      <c r="D56" s="27"/>
      <c r="E56" s="117"/>
      <c r="F56" s="118"/>
      <c r="G56" s="119"/>
      <c r="H56" s="119"/>
      <c r="I56" s="170"/>
      <c r="J56" s="421"/>
      <c r="K56" s="134"/>
      <c r="L56" s="136"/>
      <c r="M56" s="136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</row>
    <row r="57" spans="1:30" ht="15.75" customHeight="1">
      <c r="A57" s="59"/>
      <c r="B57" s="419"/>
      <c r="C57" s="116"/>
      <c r="D57" s="27"/>
      <c r="E57" s="117"/>
      <c r="F57" s="118"/>
      <c r="G57" s="119"/>
      <c r="H57" s="119"/>
      <c r="I57" s="170"/>
      <c r="J57" s="421"/>
      <c r="K57" s="134"/>
      <c r="L57" s="136"/>
      <c r="M57" s="136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</row>
    <row r="58" spans="1:30" ht="15.75" customHeight="1">
      <c r="A58" s="59"/>
      <c r="B58" s="419"/>
      <c r="C58" s="116"/>
      <c r="D58" s="27"/>
      <c r="E58" s="117"/>
      <c r="F58" s="118"/>
      <c r="G58" s="119"/>
      <c r="H58" s="119"/>
      <c r="I58" s="170"/>
      <c r="J58" s="421"/>
      <c r="K58" s="134"/>
      <c r="L58" s="136"/>
      <c r="M58" s="136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</row>
    <row r="59" spans="1:30" ht="15.75" customHeight="1">
      <c r="A59" s="59"/>
      <c r="B59" s="419"/>
      <c r="C59" s="116"/>
      <c r="D59" s="27"/>
      <c r="E59" s="117"/>
      <c r="F59" s="118"/>
      <c r="G59" s="119"/>
      <c r="H59" s="119"/>
      <c r="I59" s="170"/>
      <c r="J59" s="421"/>
      <c r="K59" s="134"/>
      <c r="L59" s="136"/>
      <c r="M59" s="136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</row>
    <row r="60" spans="1:30" ht="15.75" customHeight="1">
      <c r="A60" s="59"/>
      <c r="B60" s="419"/>
      <c r="C60" s="116"/>
      <c r="D60" s="27"/>
      <c r="E60" s="117"/>
      <c r="F60" s="118"/>
      <c r="G60" s="119"/>
      <c r="H60" s="119"/>
      <c r="I60" s="170"/>
      <c r="J60" s="421"/>
      <c r="K60" s="134"/>
      <c r="L60" s="136"/>
      <c r="M60" s="136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</row>
    <row r="61" spans="1:30" ht="15.75" customHeight="1">
      <c r="A61" s="59"/>
      <c r="B61" s="419"/>
      <c r="C61" s="116"/>
      <c r="D61" s="27"/>
      <c r="E61" s="117"/>
      <c r="F61" s="118"/>
      <c r="G61" s="119"/>
      <c r="H61" s="119"/>
      <c r="I61" s="170"/>
      <c r="J61" s="421"/>
      <c r="K61" s="134"/>
      <c r="L61" s="136"/>
      <c r="M61" s="136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</row>
    <row r="62" spans="1:30" ht="15.75" customHeight="1">
      <c r="A62" s="59"/>
      <c r="B62" s="419"/>
      <c r="C62" s="116"/>
      <c r="D62" s="27"/>
      <c r="E62" s="117"/>
      <c r="F62" s="118"/>
      <c r="G62" s="119"/>
      <c r="H62" s="119"/>
      <c r="I62" s="170"/>
      <c r="J62" s="421"/>
      <c r="K62" s="134"/>
      <c r="L62" s="136"/>
      <c r="M62" s="136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</row>
    <row r="63" spans="1:30" ht="15.75" customHeight="1">
      <c r="A63" s="59"/>
      <c r="B63" s="419"/>
      <c r="C63" s="116"/>
      <c r="D63" s="27"/>
      <c r="E63" s="117"/>
      <c r="F63" s="118"/>
      <c r="G63" s="119"/>
      <c r="H63" s="119"/>
      <c r="I63" s="170"/>
      <c r="J63" s="421"/>
      <c r="K63" s="134"/>
      <c r="L63" s="136"/>
      <c r="M63" s="136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</row>
    <row r="64" spans="1:30" ht="15.75" customHeight="1">
      <c r="A64" s="59"/>
      <c r="B64" s="419"/>
      <c r="C64" s="116"/>
      <c r="D64" s="27"/>
      <c r="E64" s="117"/>
      <c r="F64" s="118"/>
      <c r="G64" s="119"/>
      <c r="H64" s="119"/>
      <c r="I64" s="170"/>
      <c r="J64" s="421"/>
      <c r="K64" s="134"/>
      <c r="L64" s="136"/>
      <c r="M64" s="136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</row>
    <row r="65" spans="1:30" ht="15.75" customHeight="1">
      <c r="A65" s="59"/>
      <c r="B65" s="419"/>
      <c r="C65" s="116"/>
      <c r="D65" s="27"/>
      <c r="E65" s="117"/>
      <c r="F65" s="118"/>
      <c r="G65" s="119"/>
      <c r="H65" s="119"/>
      <c r="I65" s="170"/>
      <c r="J65" s="421"/>
      <c r="K65" s="134"/>
      <c r="L65" s="136"/>
      <c r="M65" s="136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</row>
    <row r="66" spans="1:30" ht="15.75" customHeight="1">
      <c r="A66" s="59"/>
      <c r="B66" s="419"/>
      <c r="C66" s="116"/>
      <c r="D66" s="27"/>
      <c r="E66" s="117"/>
      <c r="F66" s="118"/>
      <c r="G66" s="119"/>
      <c r="H66" s="119"/>
      <c r="I66" s="170"/>
      <c r="J66" s="421"/>
      <c r="K66" s="134"/>
      <c r="L66" s="136"/>
      <c r="M66" s="136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</row>
    <row r="67" spans="1:30" ht="15.75" customHeight="1">
      <c r="A67" s="59"/>
      <c r="B67" s="419"/>
      <c r="C67" s="116"/>
      <c r="D67" s="27"/>
      <c r="E67" s="117"/>
      <c r="F67" s="118"/>
      <c r="G67" s="119"/>
      <c r="H67" s="119"/>
      <c r="I67" s="170"/>
      <c r="J67" s="421"/>
      <c r="K67" s="134"/>
      <c r="L67" s="136"/>
      <c r="M67" s="136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</row>
    <row r="68" spans="1:30" ht="15.75" customHeight="1">
      <c r="A68" s="59"/>
      <c r="B68" s="419"/>
      <c r="C68" s="116"/>
      <c r="D68" s="27"/>
      <c r="E68" s="117"/>
      <c r="F68" s="118"/>
      <c r="G68" s="119"/>
      <c r="H68" s="119"/>
      <c r="I68" s="170"/>
      <c r="J68" s="421"/>
      <c r="K68" s="134"/>
      <c r="L68" s="136"/>
      <c r="M68" s="136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</row>
    <row r="69" spans="1:30" ht="15.75" customHeight="1">
      <c r="A69" s="59"/>
      <c r="B69" s="419"/>
      <c r="C69" s="116"/>
      <c r="D69" s="27"/>
      <c r="E69" s="117"/>
      <c r="F69" s="118"/>
      <c r="G69" s="119"/>
      <c r="H69" s="119"/>
      <c r="I69" s="170"/>
      <c r="J69" s="421"/>
      <c r="K69" s="134"/>
      <c r="L69" s="136"/>
      <c r="M69" s="136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</row>
    <row r="70" spans="1:30" ht="15.75" customHeight="1">
      <c r="A70" s="59"/>
      <c r="B70" s="419"/>
      <c r="C70" s="116"/>
      <c r="D70" s="27"/>
      <c r="E70" s="117"/>
      <c r="F70" s="118"/>
      <c r="G70" s="119"/>
      <c r="H70" s="119"/>
      <c r="I70" s="170"/>
      <c r="J70" s="421"/>
      <c r="K70" s="134"/>
      <c r="L70" s="136"/>
      <c r="M70" s="136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</row>
    <row r="71" spans="1:30" ht="15.75" customHeight="1">
      <c r="A71" s="59"/>
      <c r="B71" s="419"/>
      <c r="C71" s="116"/>
      <c r="D71" s="27"/>
      <c r="E71" s="117"/>
      <c r="F71" s="118"/>
      <c r="G71" s="119"/>
      <c r="H71" s="119"/>
      <c r="I71" s="170"/>
      <c r="J71" s="421"/>
      <c r="K71" s="134"/>
      <c r="L71" s="136"/>
      <c r="M71" s="136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</row>
    <row r="72" spans="1:30" ht="15.75" customHeight="1">
      <c r="A72" s="59"/>
      <c r="B72" s="419"/>
      <c r="C72" s="116"/>
      <c r="D72" s="27"/>
      <c r="E72" s="117"/>
      <c r="F72" s="118"/>
      <c r="G72" s="119"/>
      <c r="H72" s="119"/>
      <c r="I72" s="170"/>
      <c r="J72" s="421"/>
      <c r="K72" s="134"/>
      <c r="L72" s="136"/>
      <c r="M72" s="136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</row>
    <row r="73" spans="1:30" ht="15.75" customHeight="1">
      <c r="A73" s="59"/>
      <c r="B73" s="419"/>
      <c r="C73" s="116"/>
      <c r="D73" s="27"/>
      <c r="E73" s="117"/>
      <c r="F73" s="118"/>
      <c r="G73" s="119"/>
      <c r="H73" s="119"/>
      <c r="I73" s="170"/>
      <c r="J73" s="421"/>
      <c r="K73" s="134"/>
      <c r="L73" s="136"/>
      <c r="M73" s="136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</row>
    <row r="74" spans="1:30" ht="15.75" customHeight="1">
      <c r="A74" s="59"/>
      <c r="B74" s="419"/>
      <c r="C74" s="116"/>
      <c r="D74" s="27"/>
      <c r="E74" s="117"/>
      <c r="F74" s="118"/>
      <c r="G74" s="119"/>
      <c r="H74" s="119"/>
      <c r="I74" s="170"/>
      <c r="J74" s="421"/>
      <c r="K74" s="134"/>
      <c r="L74" s="136"/>
      <c r="M74" s="136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</row>
    <row r="75" spans="1:30" ht="15.75" customHeight="1">
      <c r="A75" s="59"/>
      <c r="B75" s="419"/>
      <c r="C75" s="116"/>
      <c r="D75" s="27"/>
      <c r="E75" s="117"/>
      <c r="F75" s="118"/>
      <c r="G75" s="119"/>
      <c r="H75" s="119"/>
      <c r="I75" s="170"/>
      <c r="J75" s="421"/>
      <c r="K75" s="134"/>
      <c r="L75" s="136"/>
      <c r="M75" s="136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</row>
    <row r="76" spans="1:30" ht="15.75" customHeight="1">
      <c r="A76" s="59"/>
      <c r="B76" s="419"/>
      <c r="C76" s="116"/>
      <c r="D76" s="27"/>
      <c r="E76" s="117"/>
      <c r="F76" s="118"/>
      <c r="G76" s="119"/>
      <c r="H76" s="119"/>
      <c r="I76" s="170"/>
      <c r="J76" s="421"/>
      <c r="K76" s="134"/>
      <c r="L76" s="136"/>
      <c r="M76" s="136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</row>
    <row r="77" spans="1:30" ht="15.75" customHeight="1">
      <c r="A77" s="59"/>
      <c r="B77" s="419"/>
      <c r="C77" s="116"/>
      <c r="D77" s="27"/>
      <c r="E77" s="117"/>
      <c r="F77" s="118"/>
      <c r="G77" s="119"/>
      <c r="H77" s="119"/>
      <c r="I77" s="170"/>
      <c r="J77" s="421"/>
      <c r="K77" s="134"/>
      <c r="L77" s="136"/>
      <c r="M77" s="136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</row>
    <row r="78" spans="1:30" ht="15.75" customHeight="1">
      <c r="A78" s="59"/>
      <c r="B78" s="419"/>
      <c r="C78" s="116"/>
      <c r="D78" s="27"/>
      <c r="E78" s="117"/>
      <c r="F78" s="118"/>
      <c r="G78" s="119"/>
      <c r="H78" s="119"/>
      <c r="I78" s="170"/>
      <c r="J78" s="421"/>
      <c r="K78" s="134"/>
      <c r="L78" s="136"/>
      <c r="M78" s="136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</row>
    <row r="79" spans="1:30" ht="15.75" customHeight="1">
      <c r="A79" s="59"/>
      <c r="B79" s="419"/>
      <c r="C79" s="116"/>
      <c r="D79" s="27"/>
      <c r="E79" s="117"/>
      <c r="F79" s="118"/>
      <c r="G79" s="119"/>
      <c r="H79" s="119"/>
      <c r="I79" s="170"/>
      <c r="J79" s="421"/>
      <c r="K79" s="134"/>
      <c r="L79" s="136"/>
      <c r="M79" s="136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</row>
    <row r="80" spans="1:30" ht="15.75" customHeight="1">
      <c r="A80" s="59"/>
      <c r="B80" s="419"/>
      <c r="C80" s="116"/>
      <c r="D80" s="27"/>
      <c r="E80" s="117"/>
      <c r="F80" s="118"/>
      <c r="G80" s="119"/>
      <c r="H80" s="119"/>
      <c r="I80" s="170"/>
      <c r="J80" s="421"/>
      <c r="K80" s="134"/>
      <c r="L80" s="136"/>
      <c r="M80" s="136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</row>
    <row r="81" spans="1:30" ht="15.75" customHeight="1">
      <c r="A81" s="59"/>
      <c r="B81" s="419"/>
      <c r="C81" s="116"/>
      <c r="D81" s="27"/>
      <c r="E81" s="117"/>
      <c r="F81" s="118"/>
      <c r="G81" s="119"/>
      <c r="H81" s="119"/>
      <c r="I81" s="170"/>
      <c r="J81" s="421"/>
      <c r="K81" s="134"/>
      <c r="L81" s="136"/>
      <c r="M81" s="136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</row>
    <row r="82" spans="1:30" ht="15.75" customHeight="1">
      <c r="A82" s="59"/>
      <c r="B82" s="419"/>
      <c r="C82" s="116"/>
      <c r="D82" s="27"/>
      <c r="E82" s="117"/>
      <c r="F82" s="118"/>
      <c r="G82" s="119"/>
      <c r="H82" s="119"/>
      <c r="I82" s="170"/>
      <c r="J82" s="421"/>
      <c r="K82" s="134"/>
      <c r="L82" s="136"/>
      <c r="M82" s="136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</row>
    <row r="83" spans="1:30" ht="15.75" customHeight="1">
      <c r="A83" s="59"/>
      <c r="B83" s="419"/>
      <c r="C83" s="116"/>
      <c r="D83" s="27"/>
      <c r="E83" s="117"/>
      <c r="F83" s="118"/>
      <c r="G83" s="119"/>
      <c r="H83" s="119"/>
      <c r="I83" s="170"/>
      <c r="J83" s="421"/>
      <c r="K83" s="134"/>
      <c r="L83" s="136"/>
      <c r="M83" s="136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</row>
    <row r="84" spans="1:30" ht="15.75" customHeight="1">
      <c r="A84" s="59"/>
      <c r="B84" s="419"/>
      <c r="C84" s="116"/>
      <c r="D84" s="27"/>
      <c r="E84" s="117"/>
      <c r="F84" s="118"/>
      <c r="G84" s="119"/>
      <c r="H84" s="119"/>
      <c r="I84" s="170"/>
      <c r="J84" s="421"/>
      <c r="K84" s="134"/>
      <c r="L84" s="136"/>
      <c r="M84" s="136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</row>
    <row r="85" spans="1:30" ht="15.75" customHeight="1">
      <c r="A85" s="59"/>
      <c r="B85" s="419"/>
      <c r="C85" s="116"/>
      <c r="D85" s="27"/>
      <c r="E85" s="117"/>
      <c r="F85" s="118"/>
      <c r="G85" s="119"/>
      <c r="H85" s="119"/>
      <c r="I85" s="170"/>
      <c r="J85" s="421"/>
      <c r="K85" s="134"/>
      <c r="L85" s="136"/>
      <c r="M85" s="136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</row>
    <row r="86" spans="1:30" ht="15.75" customHeight="1">
      <c r="A86" s="59"/>
      <c r="B86" s="419"/>
      <c r="C86" s="116"/>
      <c r="D86" s="27"/>
      <c r="E86" s="117"/>
      <c r="F86" s="118"/>
      <c r="G86" s="119"/>
      <c r="H86" s="119"/>
      <c r="I86" s="170"/>
      <c r="J86" s="421"/>
      <c r="K86" s="134"/>
      <c r="L86" s="136"/>
      <c r="M86" s="136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</row>
    <row r="87" spans="1:30" ht="15.75" customHeight="1">
      <c r="A87" s="59"/>
      <c r="B87" s="419"/>
      <c r="C87" s="116"/>
      <c r="D87" s="27"/>
      <c r="E87" s="117"/>
      <c r="F87" s="118"/>
      <c r="G87" s="119"/>
      <c r="H87" s="119"/>
      <c r="I87" s="170"/>
      <c r="J87" s="421"/>
      <c r="K87" s="134"/>
      <c r="L87" s="136"/>
      <c r="M87" s="136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</row>
    <row r="88" spans="1:30" ht="15.75" customHeight="1">
      <c r="A88" s="59"/>
      <c r="B88" s="419"/>
      <c r="C88" s="116"/>
      <c r="D88" s="27"/>
      <c r="E88" s="117"/>
      <c r="F88" s="118"/>
      <c r="G88" s="119"/>
      <c r="H88" s="119"/>
      <c r="I88" s="170"/>
      <c r="J88" s="421"/>
      <c r="K88" s="134"/>
      <c r="L88" s="136"/>
      <c r="M88" s="136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</row>
    <row r="89" spans="1:30" ht="15.75" customHeight="1">
      <c r="A89" s="59"/>
      <c r="B89" s="419"/>
      <c r="C89" s="116"/>
      <c r="D89" s="27"/>
      <c r="E89" s="117"/>
      <c r="F89" s="118"/>
      <c r="G89" s="119"/>
      <c r="H89" s="119"/>
      <c r="I89" s="648"/>
      <c r="J89" s="421"/>
      <c r="K89" s="134"/>
      <c r="L89" s="136"/>
      <c r="M89" s="136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</row>
    <row r="90" spans="1:30" ht="15.75" customHeight="1">
      <c r="A90" s="59"/>
      <c r="B90" s="419"/>
      <c r="C90" s="116"/>
      <c r="D90" s="27"/>
      <c r="E90" s="117"/>
      <c r="F90" s="118"/>
      <c r="G90" s="119"/>
      <c r="H90" s="119"/>
      <c r="I90" s="170"/>
      <c r="J90" s="421"/>
      <c r="K90" s="134"/>
      <c r="L90" s="136"/>
      <c r="M90" s="136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</row>
    <row r="91" spans="1:30" ht="15.75" customHeight="1">
      <c r="A91" s="59"/>
      <c r="B91" s="419"/>
      <c r="C91" s="116"/>
      <c r="D91" s="27"/>
      <c r="E91" s="117"/>
      <c r="F91" s="118"/>
      <c r="G91" s="119"/>
      <c r="H91" s="119"/>
      <c r="I91" s="170"/>
      <c r="J91" s="421"/>
      <c r="K91" s="134"/>
      <c r="L91" s="136"/>
      <c r="M91" s="136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</row>
    <row r="92" spans="1:30" ht="15.75" customHeight="1">
      <c r="A92" s="59"/>
      <c r="B92" s="419"/>
      <c r="C92" s="116"/>
      <c r="D92" s="27"/>
      <c r="E92" s="117"/>
      <c r="F92" s="118"/>
      <c r="G92" s="119"/>
      <c r="H92" s="119"/>
      <c r="I92" s="170"/>
      <c r="J92" s="421"/>
      <c r="K92" s="134"/>
      <c r="L92" s="136"/>
      <c r="M92" s="136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</row>
    <row r="93" spans="1:30" ht="15.75" customHeight="1">
      <c r="A93" s="59"/>
      <c r="B93" s="419"/>
      <c r="C93" s="116"/>
      <c r="D93" s="27"/>
      <c r="E93" s="117"/>
      <c r="F93" s="118"/>
      <c r="G93" s="119"/>
      <c r="H93" s="119"/>
      <c r="I93" s="170"/>
      <c r="J93" s="421"/>
      <c r="K93" s="134"/>
      <c r="L93" s="136"/>
      <c r="M93" s="136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</row>
    <row r="94" spans="1:30" ht="15.75" customHeight="1">
      <c r="A94" s="59"/>
      <c r="B94" s="419"/>
      <c r="C94" s="116"/>
      <c r="D94" s="27"/>
      <c r="E94" s="117"/>
      <c r="F94" s="118"/>
      <c r="G94" s="119"/>
      <c r="H94" s="119"/>
      <c r="I94" s="170"/>
      <c r="J94" s="421"/>
      <c r="K94" s="134"/>
      <c r="L94" s="136"/>
      <c r="M94" s="136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</row>
    <row r="95" spans="1:30" ht="15.75" customHeight="1">
      <c r="A95" s="59"/>
      <c r="B95" s="419"/>
      <c r="C95" s="116"/>
      <c r="D95" s="27"/>
      <c r="E95" s="117"/>
      <c r="F95" s="118"/>
      <c r="G95" s="119"/>
      <c r="H95" s="119"/>
      <c r="I95" s="170"/>
      <c r="J95" s="421"/>
      <c r="K95" s="134"/>
      <c r="L95" s="136"/>
      <c r="M95" s="136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</row>
    <row r="96" spans="1:30" ht="15.75" customHeight="1">
      <c r="A96" s="59"/>
      <c r="B96" s="419"/>
      <c r="C96" s="116"/>
      <c r="D96" s="27"/>
      <c r="E96" s="117"/>
      <c r="F96" s="118"/>
      <c r="G96" s="119"/>
      <c r="H96" s="119"/>
      <c r="I96" s="170"/>
      <c r="J96" s="421"/>
      <c r="K96" s="134"/>
      <c r="L96" s="136"/>
      <c r="M96" s="136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</row>
    <row r="97" spans="1:30" ht="15.75" customHeight="1">
      <c r="A97" s="59"/>
      <c r="B97" s="419"/>
      <c r="C97" s="116"/>
      <c r="D97" s="27"/>
      <c r="E97" s="117"/>
      <c r="F97" s="118"/>
      <c r="G97" s="119"/>
      <c r="H97" s="119"/>
      <c r="I97" s="170"/>
      <c r="J97" s="421"/>
      <c r="K97" s="134"/>
      <c r="L97" s="136"/>
      <c r="M97" s="136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</row>
    <row r="98" spans="1:30" ht="15.75" customHeight="1">
      <c r="A98" s="59"/>
      <c r="B98" s="419"/>
      <c r="C98" s="116"/>
      <c r="D98" s="27"/>
      <c r="E98" s="117"/>
      <c r="F98" s="118"/>
      <c r="G98" s="119"/>
      <c r="H98" s="119"/>
      <c r="I98" s="170"/>
      <c r="J98" s="421"/>
      <c r="K98" s="134"/>
      <c r="L98" s="136"/>
      <c r="M98" s="136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</row>
    <row r="99" spans="1:30" ht="15.75" customHeight="1">
      <c r="A99" s="59"/>
      <c r="B99" s="419"/>
      <c r="C99" s="116"/>
      <c r="D99" s="27"/>
      <c r="E99" s="117"/>
      <c r="F99" s="118"/>
      <c r="G99" s="119"/>
      <c r="H99" s="119"/>
      <c r="I99" s="170"/>
      <c r="J99" s="421"/>
      <c r="K99" s="134"/>
      <c r="L99" s="136"/>
      <c r="M99" s="136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</row>
    <row r="100" spans="1:30" ht="15.75" customHeight="1">
      <c r="A100" s="59"/>
      <c r="B100" s="419"/>
      <c r="C100" s="116"/>
      <c r="D100" s="27"/>
      <c r="E100" s="117"/>
      <c r="F100" s="118"/>
      <c r="G100" s="119"/>
      <c r="H100" s="119"/>
      <c r="I100" s="170"/>
      <c r="J100" s="421"/>
      <c r="K100" s="134"/>
      <c r="L100" s="136"/>
      <c r="M100" s="136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</row>
    <row r="101" spans="1:30" ht="15.75" customHeight="1">
      <c r="A101" s="59"/>
      <c r="B101" s="419"/>
      <c r="C101" s="116"/>
      <c r="D101" s="27"/>
      <c r="E101" s="117"/>
      <c r="F101" s="118"/>
      <c r="G101" s="119"/>
      <c r="H101" s="119"/>
      <c r="I101" s="170"/>
      <c r="J101" s="421"/>
      <c r="K101" s="134"/>
      <c r="L101" s="136"/>
      <c r="M101" s="136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</row>
    <row r="102" spans="1:30" ht="15.75" customHeight="1">
      <c r="A102" s="59"/>
      <c r="B102" s="419"/>
      <c r="C102" s="116"/>
      <c r="D102" s="27"/>
      <c r="E102" s="117"/>
      <c r="F102" s="118"/>
      <c r="G102" s="119"/>
      <c r="H102" s="119"/>
      <c r="I102" s="170"/>
      <c r="J102" s="421"/>
      <c r="K102" s="134"/>
      <c r="L102" s="136"/>
      <c r="M102" s="136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</row>
    <row r="103" spans="1:30" ht="15.75" customHeight="1">
      <c r="A103" s="59"/>
      <c r="B103" s="419"/>
      <c r="C103" s="116"/>
      <c r="D103" s="27"/>
      <c r="E103" s="117"/>
      <c r="F103" s="118"/>
      <c r="G103" s="119"/>
      <c r="H103" s="119"/>
      <c r="I103" s="170"/>
      <c r="J103" s="421"/>
      <c r="K103" s="134"/>
      <c r="L103" s="136"/>
      <c r="M103" s="136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</row>
    <row r="104" spans="1:30" ht="15.75" customHeight="1">
      <c r="A104" s="59"/>
      <c r="B104" s="419"/>
      <c r="C104" s="116"/>
      <c r="D104" s="27"/>
      <c r="E104" s="117"/>
      <c r="F104" s="118"/>
      <c r="G104" s="119"/>
      <c r="H104" s="119"/>
      <c r="I104" s="170"/>
      <c r="J104" s="421"/>
      <c r="K104" s="134"/>
      <c r="L104" s="136"/>
      <c r="M104" s="136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</row>
    <row r="105" spans="1:30" ht="15.75" customHeight="1">
      <c r="A105" s="59"/>
      <c r="B105" s="419"/>
      <c r="C105" s="116"/>
      <c r="D105" s="27"/>
      <c r="E105" s="117"/>
      <c r="F105" s="118"/>
      <c r="G105" s="119"/>
      <c r="H105" s="119"/>
      <c r="I105" s="170"/>
      <c r="J105" s="421"/>
      <c r="K105" s="134"/>
      <c r="L105" s="136"/>
      <c r="M105" s="136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</row>
    <row r="106" spans="1:30" ht="15.75" customHeight="1">
      <c r="A106" s="59"/>
      <c r="B106" s="419"/>
      <c r="C106" s="116"/>
      <c r="D106" s="27"/>
      <c r="E106" s="117"/>
      <c r="F106" s="118"/>
      <c r="G106" s="119"/>
      <c r="H106" s="119"/>
      <c r="I106" s="170"/>
      <c r="J106" s="421"/>
      <c r="K106" s="134"/>
      <c r="L106" s="136"/>
      <c r="M106" s="136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</row>
    <row r="107" spans="1:30" ht="15.75" customHeight="1">
      <c r="A107" s="59"/>
      <c r="B107" s="419"/>
      <c r="C107" s="116"/>
      <c r="D107" s="27"/>
      <c r="E107" s="117"/>
      <c r="F107" s="118"/>
      <c r="G107" s="119"/>
      <c r="H107" s="119"/>
      <c r="I107" s="170"/>
      <c r="J107" s="421"/>
      <c r="K107" s="134"/>
      <c r="L107" s="136"/>
      <c r="M107" s="136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</row>
    <row r="108" spans="1:30" ht="15.75" customHeight="1">
      <c r="A108" s="59"/>
      <c r="B108" s="419"/>
      <c r="C108" s="116"/>
      <c r="D108" s="27"/>
      <c r="E108" s="117"/>
      <c r="F108" s="118"/>
      <c r="G108" s="119"/>
      <c r="H108" s="119"/>
      <c r="I108" s="170"/>
      <c r="J108" s="421"/>
      <c r="K108" s="134"/>
      <c r="L108" s="136"/>
      <c r="M108" s="136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</row>
    <row r="109" spans="1:30" ht="15.75" customHeight="1">
      <c r="A109" s="59"/>
      <c r="B109" s="419"/>
      <c r="C109" s="116"/>
      <c r="D109" s="27"/>
      <c r="E109" s="117"/>
      <c r="F109" s="118"/>
      <c r="G109" s="119"/>
      <c r="H109" s="119"/>
      <c r="I109" s="170"/>
      <c r="J109" s="421"/>
      <c r="K109" s="134"/>
      <c r="L109" s="136"/>
      <c r="M109" s="136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</row>
    <row r="110" spans="1:30" ht="15.75" customHeight="1">
      <c r="A110" s="59"/>
      <c r="B110" s="419"/>
      <c r="C110" s="116"/>
      <c r="D110" s="27"/>
      <c r="E110" s="117"/>
      <c r="F110" s="118"/>
      <c r="G110" s="119"/>
      <c r="H110" s="119"/>
      <c r="I110" s="170"/>
      <c r="J110" s="421"/>
      <c r="K110" s="134"/>
      <c r="L110" s="136"/>
      <c r="M110" s="136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</row>
    <row r="111" spans="1:30" ht="15.75" customHeight="1">
      <c r="A111" s="59"/>
      <c r="B111" s="419"/>
      <c r="C111" s="116"/>
      <c r="D111" s="27"/>
      <c r="E111" s="117"/>
      <c r="F111" s="118"/>
      <c r="G111" s="119"/>
      <c r="H111" s="119"/>
      <c r="I111" s="170"/>
      <c r="J111" s="421"/>
      <c r="K111" s="134"/>
      <c r="L111" s="136"/>
      <c r="M111" s="136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</row>
    <row r="112" spans="1:30" ht="15.75" customHeight="1">
      <c r="A112" s="59"/>
      <c r="B112" s="419"/>
      <c r="C112" s="116"/>
      <c r="D112" s="27"/>
      <c r="E112" s="117"/>
      <c r="F112" s="118"/>
      <c r="G112" s="119"/>
      <c r="H112" s="119"/>
      <c r="I112" s="170"/>
      <c r="J112" s="421"/>
      <c r="K112" s="134"/>
      <c r="L112" s="136"/>
      <c r="M112" s="136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</row>
    <row r="113" spans="1:30" ht="15.75" customHeight="1">
      <c r="A113" s="59"/>
      <c r="B113" s="419"/>
      <c r="C113" s="116"/>
      <c r="D113" s="27"/>
      <c r="E113" s="117"/>
      <c r="F113" s="118"/>
      <c r="G113" s="119"/>
      <c r="H113" s="119"/>
      <c r="I113" s="170"/>
      <c r="J113" s="421"/>
      <c r="K113" s="134"/>
      <c r="L113" s="136"/>
      <c r="M113" s="136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</row>
    <row r="114" spans="1:30" ht="15.75" customHeight="1">
      <c r="A114" s="59"/>
      <c r="B114" s="419"/>
      <c r="C114" s="116"/>
      <c r="D114" s="27"/>
      <c r="E114" s="117"/>
      <c r="F114" s="118"/>
      <c r="G114" s="119"/>
      <c r="H114" s="119"/>
      <c r="I114" s="170"/>
      <c r="J114" s="421"/>
      <c r="K114" s="134"/>
      <c r="L114" s="136"/>
      <c r="M114" s="136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</row>
    <row r="115" spans="1:30" ht="15.75" customHeight="1">
      <c r="A115" s="59"/>
      <c r="B115" s="419"/>
      <c r="C115" s="116"/>
      <c r="D115" s="27"/>
      <c r="E115" s="117"/>
      <c r="F115" s="118"/>
      <c r="G115" s="119"/>
      <c r="H115" s="119"/>
      <c r="I115" s="170"/>
      <c r="J115" s="421"/>
      <c r="K115" s="134"/>
      <c r="L115" s="136"/>
      <c r="M115" s="136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</row>
    <row r="116" spans="1:30" ht="15.75" customHeight="1">
      <c r="A116" s="59"/>
      <c r="B116" s="419"/>
      <c r="C116" s="116"/>
      <c r="D116" s="27"/>
      <c r="E116" s="117"/>
      <c r="F116" s="118"/>
      <c r="G116" s="119"/>
      <c r="H116" s="119"/>
      <c r="I116" s="170"/>
      <c r="J116" s="421"/>
      <c r="K116" s="134"/>
      <c r="L116" s="136"/>
      <c r="M116" s="136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</row>
    <row r="117" spans="1:30" ht="15.75" customHeight="1">
      <c r="A117" s="59"/>
      <c r="B117" s="419"/>
      <c r="C117" s="116"/>
      <c r="D117" s="27"/>
      <c r="E117" s="117"/>
      <c r="F117" s="118"/>
      <c r="G117" s="119"/>
      <c r="H117" s="119"/>
      <c r="I117" s="170"/>
      <c r="J117" s="421"/>
      <c r="K117" s="134"/>
      <c r="L117" s="136"/>
      <c r="M117" s="136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</row>
    <row r="118" spans="1:30" ht="15.75" customHeight="1">
      <c r="A118" s="59"/>
      <c r="B118" s="419"/>
      <c r="C118" s="116"/>
      <c r="D118" s="27"/>
      <c r="E118" s="117"/>
      <c r="F118" s="118"/>
      <c r="G118" s="119"/>
      <c r="H118" s="119"/>
      <c r="I118" s="170"/>
      <c r="J118" s="421"/>
      <c r="K118" s="134"/>
      <c r="L118" s="136"/>
      <c r="M118" s="136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</row>
    <row r="119" spans="1:30" ht="15.75" customHeight="1">
      <c r="A119" s="59"/>
      <c r="B119" s="419"/>
      <c r="C119" s="116"/>
      <c r="D119" s="27"/>
      <c r="E119" s="117"/>
      <c r="F119" s="118"/>
      <c r="G119" s="119"/>
      <c r="H119" s="119"/>
      <c r="I119" s="170"/>
      <c r="J119" s="421"/>
      <c r="K119" s="134"/>
      <c r="L119" s="136"/>
      <c r="M119" s="136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</row>
    <row r="120" spans="1:30" ht="15.75" customHeight="1">
      <c r="A120" s="59"/>
      <c r="B120" s="419"/>
      <c r="C120" s="116"/>
      <c r="D120" s="27"/>
      <c r="E120" s="117"/>
      <c r="F120" s="118"/>
      <c r="G120" s="119"/>
      <c r="H120" s="119"/>
      <c r="I120" s="170"/>
      <c r="J120" s="421"/>
      <c r="K120" s="134"/>
      <c r="L120" s="136"/>
      <c r="M120" s="136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</row>
    <row r="121" spans="1:30" ht="15.75" customHeight="1">
      <c r="A121" s="59"/>
      <c r="B121" s="419"/>
      <c r="C121" s="116"/>
      <c r="D121" s="27"/>
      <c r="E121" s="117"/>
      <c r="F121" s="118"/>
      <c r="G121" s="119"/>
      <c r="H121" s="119"/>
      <c r="I121" s="170"/>
      <c r="J121" s="421"/>
      <c r="K121" s="134"/>
      <c r="L121" s="139"/>
      <c r="M121" s="135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</row>
    <row r="122" spans="1:30" ht="15.75" customHeight="1">
      <c r="A122" s="59"/>
      <c r="B122" s="419"/>
      <c r="C122" s="116"/>
      <c r="D122" s="27"/>
      <c r="E122" s="117"/>
      <c r="F122" s="118"/>
      <c r="G122" s="119"/>
      <c r="H122" s="119"/>
      <c r="I122" s="170"/>
      <c r="J122" s="421"/>
      <c r="K122" s="134"/>
      <c r="L122" s="136"/>
      <c r="M122" s="136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</row>
    <row r="123" spans="1:30" ht="15.75" customHeight="1">
      <c r="A123" s="59"/>
      <c r="B123" s="419"/>
      <c r="C123" s="116"/>
      <c r="D123" s="27"/>
      <c r="E123" s="117"/>
      <c r="F123" s="118"/>
      <c r="G123" s="119"/>
      <c r="H123" s="119"/>
      <c r="I123" s="170"/>
      <c r="J123" s="421"/>
      <c r="K123" s="134"/>
      <c r="L123" s="136"/>
      <c r="M123" s="136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</row>
    <row r="124" spans="1:30" ht="15.75" customHeight="1">
      <c r="A124" s="59"/>
      <c r="B124" s="419"/>
      <c r="C124" s="116"/>
      <c r="D124" s="27"/>
      <c r="E124" s="117"/>
      <c r="F124" s="118"/>
      <c r="G124" s="119"/>
      <c r="H124" s="119"/>
      <c r="I124" s="170"/>
      <c r="J124" s="421"/>
      <c r="K124" s="134"/>
      <c r="L124" s="136"/>
      <c r="M124" s="136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</row>
    <row r="125" spans="1:30" ht="15.75" customHeight="1">
      <c r="A125" s="59"/>
      <c r="B125" s="419"/>
      <c r="C125" s="116"/>
      <c r="D125" s="27"/>
      <c r="E125" s="117"/>
      <c r="F125" s="118"/>
      <c r="G125" s="119"/>
      <c r="H125" s="119"/>
      <c r="I125" s="170"/>
      <c r="J125" s="421"/>
      <c r="K125" s="134"/>
      <c r="L125" s="136"/>
      <c r="M125" s="136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</row>
    <row r="126" spans="1:30" ht="15.75" customHeight="1">
      <c r="A126" s="59"/>
      <c r="B126" s="419"/>
      <c r="C126" s="116"/>
      <c r="D126" s="27"/>
      <c r="E126" s="117"/>
      <c r="F126" s="118"/>
      <c r="G126" s="119"/>
      <c r="H126" s="119"/>
      <c r="I126" s="170"/>
      <c r="J126" s="421"/>
      <c r="K126" s="134"/>
      <c r="L126" s="136"/>
      <c r="M126" s="136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</row>
    <row r="127" spans="1:30" ht="15.75" customHeight="1">
      <c r="A127" s="59"/>
      <c r="B127" s="419"/>
      <c r="C127" s="116"/>
      <c r="D127" s="27"/>
      <c r="E127" s="117"/>
      <c r="F127" s="118"/>
      <c r="G127" s="119"/>
      <c r="H127" s="119"/>
      <c r="I127" s="170"/>
      <c r="J127" s="421"/>
      <c r="K127" s="134"/>
      <c r="L127" s="136"/>
      <c r="M127" s="138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</row>
    <row r="128" spans="1:30" ht="15.75" customHeight="1">
      <c r="A128" s="59"/>
      <c r="B128" s="419"/>
      <c r="C128" s="116"/>
      <c r="D128" s="27"/>
      <c r="E128" s="117"/>
      <c r="F128" s="118"/>
      <c r="G128" s="119"/>
      <c r="H128" s="119"/>
      <c r="I128" s="170"/>
      <c r="J128" s="421"/>
      <c r="K128" s="134"/>
      <c r="L128" s="136"/>
      <c r="M128" s="136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</row>
    <row r="129" spans="1:30" ht="15.75" customHeight="1">
      <c r="A129" s="59"/>
      <c r="B129" s="419"/>
      <c r="C129" s="116"/>
      <c r="D129" s="27"/>
      <c r="E129" s="117"/>
      <c r="F129" s="118"/>
      <c r="G129" s="119"/>
      <c r="H129" s="119"/>
      <c r="I129" s="170"/>
      <c r="J129" s="421"/>
      <c r="K129" s="134"/>
      <c r="L129" s="136"/>
      <c r="M129" s="136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</row>
    <row r="130" spans="1:30" ht="15.75" customHeight="1">
      <c r="A130" s="59"/>
      <c r="B130" s="419"/>
      <c r="C130" s="116"/>
      <c r="D130" s="27"/>
      <c r="E130" s="117"/>
      <c r="F130" s="118"/>
      <c r="G130" s="119"/>
      <c r="H130" s="119"/>
      <c r="I130" s="170"/>
      <c r="J130" s="421"/>
      <c r="K130" s="134"/>
      <c r="L130" s="136"/>
      <c r="M130" s="136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</row>
    <row r="131" spans="1:30" ht="15.75" customHeight="1">
      <c r="A131" s="59"/>
      <c r="B131" s="419"/>
      <c r="C131" s="116"/>
      <c r="D131" s="27"/>
      <c r="E131" s="117"/>
      <c r="F131" s="118"/>
      <c r="G131" s="119"/>
      <c r="H131" s="119"/>
      <c r="I131" s="170"/>
      <c r="J131" s="421"/>
      <c r="K131" s="134"/>
      <c r="L131" s="136"/>
      <c r="M131" s="136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</row>
    <row r="132" spans="1:30" ht="15.75" customHeight="1">
      <c r="A132" s="59"/>
      <c r="B132" s="419"/>
      <c r="C132" s="116"/>
      <c r="D132" s="27"/>
      <c r="E132" s="117"/>
      <c r="F132" s="118"/>
      <c r="G132" s="119"/>
      <c r="H132" s="119"/>
      <c r="I132" s="170"/>
      <c r="J132" s="421"/>
      <c r="K132" s="134"/>
      <c r="L132" s="136"/>
      <c r="M132" s="136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</row>
    <row r="133" spans="1:30" ht="15.75" customHeight="1">
      <c r="A133" s="59"/>
      <c r="B133" s="419"/>
      <c r="C133" s="116"/>
      <c r="D133" s="27"/>
      <c r="E133" s="117"/>
      <c r="F133" s="118"/>
      <c r="G133" s="119"/>
      <c r="H133" s="119"/>
      <c r="I133" s="170"/>
      <c r="J133" s="421"/>
      <c r="K133" s="134"/>
      <c r="L133" s="136"/>
      <c r="M133" s="136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</row>
    <row r="134" spans="1:30" ht="15.75" customHeight="1">
      <c r="A134" s="59"/>
      <c r="B134" s="419"/>
      <c r="C134" s="116"/>
      <c r="D134" s="27"/>
      <c r="E134" s="117"/>
      <c r="F134" s="118"/>
      <c r="G134" s="119"/>
      <c r="H134" s="119"/>
      <c r="I134" s="170"/>
      <c r="J134" s="421"/>
      <c r="K134" s="134"/>
      <c r="L134" s="136"/>
      <c r="M134" s="136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</row>
    <row r="135" spans="1:30" ht="15.75" customHeight="1">
      <c r="A135" s="59"/>
      <c r="B135" s="419"/>
      <c r="C135" s="116"/>
      <c r="D135" s="27"/>
      <c r="E135" s="117"/>
      <c r="F135" s="118"/>
      <c r="G135" s="119"/>
      <c r="H135" s="119"/>
      <c r="I135" s="170"/>
      <c r="J135" s="421"/>
      <c r="K135" s="134"/>
      <c r="L135" s="136"/>
      <c r="M135" s="136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</row>
    <row r="136" spans="1:30" ht="15.75" customHeight="1">
      <c r="A136" s="59"/>
      <c r="B136" s="419"/>
      <c r="C136" s="116"/>
      <c r="D136" s="27"/>
      <c r="E136" s="117"/>
      <c r="F136" s="118"/>
      <c r="G136" s="119"/>
      <c r="H136" s="119"/>
      <c r="I136" s="170"/>
      <c r="J136" s="421"/>
      <c r="K136" s="134"/>
      <c r="L136" s="136"/>
      <c r="M136" s="136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</row>
    <row r="137" spans="1:30" ht="15.75" customHeight="1">
      <c r="A137" s="59"/>
      <c r="B137" s="419"/>
      <c r="C137" s="116"/>
      <c r="D137" s="27"/>
      <c r="E137" s="117"/>
      <c r="F137" s="118"/>
      <c r="G137" s="119"/>
      <c r="H137" s="119"/>
      <c r="I137" s="170"/>
      <c r="J137" s="421"/>
      <c r="K137" s="134"/>
      <c r="L137" s="136"/>
      <c r="M137" s="136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</row>
    <row r="138" spans="1:30" ht="15.75" customHeight="1">
      <c r="A138" s="59"/>
      <c r="B138" s="419"/>
      <c r="C138" s="116"/>
      <c r="D138" s="27"/>
      <c r="E138" s="117"/>
      <c r="F138" s="118"/>
      <c r="G138" s="119"/>
      <c r="H138" s="119"/>
      <c r="I138" s="170"/>
      <c r="J138" s="421"/>
      <c r="K138" s="134"/>
      <c r="L138" s="136"/>
      <c r="M138" s="136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</row>
    <row r="139" spans="1:30" ht="15.75" customHeight="1">
      <c r="A139" s="59"/>
      <c r="B139" s="419"/>
      <c r="C139" s="116"/>
      <c r="D139" s="27"/>
      <c r="E139" s="117"/>
      <c r="F139" s="118"/>
      <c r="G139" s="119"/>
      <c r="H139" s="119"/>
      <c r="I139" s="170"/>
      <c r="J139" s="421"/>
      <c r="K139" s="134"/>
      <c r="L139" s="136"/>
      <c r="M139" s="136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</row>
    <row r="140" spans="1:30" ht="15.75" customHeight="1">
      <c r="A140" s="59"/>
      <c r="B140" s="419"/>
      <c r="C140" s="116"/>
      <c r="D140" s="27"/>
      <c r="E140" s="117"/>
      <c r="F140" s="118"/>
      <c r="G140" s="119"/>
      <c r="H140" s="119"/>
      <c r="I140" s="170"/>
      <c r="J140" s="421"/>
      <c r="K140" s="134"/>
      <c r="L140" s="136"/>
      <c r="M140" s="136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</row>
    <row r="141" spans="1:30" ht="15.75" customHeight="1">
      <c r="A141" s="59"/>
      <c r="B141" s="419"/>
      <c r="C141" s="116"/>
      <c r="D141" s="27"/>
      <c r="E141" s="117"/>
      <c r="F141" s="118"/>
      <c r="G141" s="119"/>
      <c r="H141" s="119"/>
      <c r="I141" s="170"/>
      <c r="J141" s="421"/>
      <c r="K141" s="134"/>
      <c r="L141" s="136"/>
      <c r="M141" s="136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</row>
    <row r="142" spans="1:30" ht="15.75" customHeight="1">
      <c r="A142" s="59"/>
      <c r="B142" s="419"/>
      <c r="C142" s="116"/>
      <c r="D142" s="27"/>
      <c r="E142" s="117"/>
      <c r="F142" s="118"/>
      <c r="G142" s="119"/>
      <c r="H142" s="119"/>
      <c r="I142" s="170"/>
      <c r="J142" s="421"/>
      <c r="K142" s="134"/>
      <c r="L142" s="136"/>
      <c r="M142" s="136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</row>
    <row r="143" spans="1:30" ht="15.75" customHeight="1">
      <c r="A143" s="59"/>
      <c r="B143" s="419"/>
      <c r="C143" s="116"/>
      <c r="D143" s="27"/>
      <c r="E143" s="117"/>
      <c r="F143" s="118"/>
      <c r="G143" s="119"/>
      <c r="H143" s="119"/>
      <c r="I143" s="170"/>
      <c r="J143" s="421"/>
      <c r="K143" s="134"/>
      <c r="L143" s="136"/>
      <c r="M143" s="136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</row>
    <row r="144" spans="1:30" ht="15.75" customHeight="1">
      <c r="A144" s="59"/>
      <c r="B144" s="419"/>
      <c r="C144" s="116"/>
      <c r="D144" s="27"/>
      <c r="E144" s="117"/>
      <c r="F144" s="118"/>
      <c r="G144" s="119"/>
      <c r="H144" s="119"/>
      <c r="I144" s="170"/>
      <c r="J144" s="421"/>
      <c r="K144" s="134"/>
      <c r="L144" s="136"/>
      <c r="M144" s="136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</row>
    <row r="145" spans="1:30" ht="15.75" customHeight="1">
      <c r="A145" s="59"/>
      <c r="B145" s="419"/>
      <c r="C145" s="116"/>
      <c r="D145" s="27"/>
      <c r="E145" s="117"/>
      <c r="F145" s="118"/>
      <c r="G145" s="119"/>
      <c r="H145" s="119"/>
      <c r="I145" s="170"/>
      <c r="J145" s="421"/>
      <c r="K145" s="134"/>
      <c r="L145" s="136"/>
      <c r="M145" s="136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</row>
    <row r="146" spans="1:30" ht="15.75" customHeight="1">
      <c r="A146" s="59"/>
      <c r="B146" s="419"/>
      <c r="C146" s="116"/>
      <c r="D146" s="27"/>
      <c r="E146" s="117"/>
      <c r="F146" s="118"/>
      <c r="G146" s="119"/>
      <c r="H146" s="119"/>
      <c r="I146" s="170"/>
      <c r="J146" s="421"/>
      <c r="K146" s="134"/>
      <c r="L146" s="136"/>
      <c r="M146" s="136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</row>
    <row r="147" spans="1:30" ht="15.75" customHeight="1">
      <c r="A147" s="59"/>
      <c r="B147" s="419"/>
      <c r="C147" s="116"/>
      <c r="D147" s="27"/>
      <c r="E147" s="117"/>
      <c r="F147" s="118"/>
      <c r="G147" s="119"/>
      <c r="H147" s="119"/>
      <c r="I147" s="170"/>
      <c r="J147" s="421"/>
      <c r="K147" s="134"/>
      <c r="L147" s="136"/>
      <c r="M147" s="136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</row>
    <row r="148" spans="1:30" ht="15.75" customHeight="1">
      <c r="A148" s="59"/>
      <c r="B148" s="419"/>
      <c r="C148" s="116"/>
      <c r="D148" s="27"/>
      <c r="E148" s="117"/>
      <c r="F148" s="118"/>
      <c r="G148" s="119"/>
      <c r="H148" s="119"/>
      <c r="I148" s="170"/>
      <c r="J148" s="421"/>
      <c r="K148" s="134"/>
      <c r="L148" s="136"/>
      <c r="M148" s="136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</row>
    <row r="149" spans="1:30" ht="15.75" customHeight="1">
      <c r="A149" s="59"/>
      <c r="B149" s="419"/>
      <c r="C149" s="116"/>
      <c r="D149" s="27"/>
      <c r="E149" s="117"/>
      <c r="F149" s="118"/>
      <c r="G149" s="119"/>
      <c r="H149" s="119"/>
      <c r="I149" s="170"/>
      <c r="J149" s="421"/>
      <c r="K149" s="134"/>
      <c r="L149" s="139"/>
      <c r="M149" s="136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</row>
    <row r="150" spans="1:30" ht="15.75" customHeight="1">
      <c r="A150" s="59"/>
      <c r="B150" s="419"/>
      <c r="C150" s="116"/>
      <c r="D150" s="27"/>
      <c r="E150" s="117"/>
      <c r="F150" s="118"/>
      <c r="G150" s="119"/>
      <c r="H150" s="119"/>
      <c r="I150" s="170"/>
      <c r="J150" s="421"/>
      <c r="K150" s="134"/>
      <c r="L150" s="136"/>
      <c r="M150" s="136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</row>
    <row r="151" spans="1:30" ht="15.75" customHeight="1">
      <c r="A151" s="59"/>
      <c r="B151" s="419"/>
      <c r="C151" s="116"/>
      <c r="D151" s="27"/>
      <c r="E151" s="117"/>
      <c r="F151" s="118"/>
      <c r="G151" s="119"/>
      <c r="H151" s="119"/>
      <c r="I151" s="170"/>
      <c r="J151" s="421"/>
      <c r="K151" s="134"/>
      <c r="L151" s="136"/>
      <c r="M151" s="136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</row>
    <row r="152" spans="1:30" ht="15.75" customHeight="1">
      <c r="A152" s="59"/>
      <c r="B152" s="419"/>
      <c r="C152" s="116"/>
      <c r="D152" s="27"/>
      <c r="E152" s="117"/>
      <c r="F152" s="118"/>
      <c r="G152" s="119"/>
      <c r="H152" s="119"/>
      <c r="I152" s="170"/>
      <c r="J152" s="421"/>
      <c r="K152" s="134"/>
      <c r="L152" s="136"/>
      <c r="M152" s="136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</row>
    <row r="153" spans="1:30" ht="15.75" customHeight="1">
      <c r="A153" s="59"/>
      <c r="B153" s="419"/>
      <c r="C153" s="116"/>
      <c r="D153" s="27"/>
      <c r="E153" s="117"/>
      <c r="F153" s="118"/>
      <c r="G153" s="119"/>
      <c r="H153" s="119"/>
      <c r="I153" s="170"/>
      <c r="J153" s="421"/>
      <c r="K153" s="134"/>
      <c r="L153" s="136"/>
      <c r="M153" s="136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</row>
    <row r="154" spans="1:30" ht="15.75" customHeight="1">
      <c r="A154" s="59"/>
      <c r="B154" s="419"/>
      <c r="C154" s="116"/>
      <c r="D154" s="27"/>
      <c r="E154" s="117"/>
      <c r="F154" s="118"/>
      <c r="G154" s="119"/>
      <c r="H154" s="119"/>
      <c r="I154" s="170"/>
      <c r="J154" s="421"/>
      <c r="K154" s="134"/>
      <c r="L154" s="136"/>
      <c r="M154" s="136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</row>
    <row r="155" spans="1:30" ht="15.75" customHeight="1">
      <c r="A155" s="59"/>
      <c r="B155" s="419"/>
      <c r="C155" s="116"/>
      <c r="D155" s="27"/>
      <c r="E155" s="117"/>
      <c r="F155" s="118"/>
      <c r="G155" s="119"/>
      <c r="H155" s="119"/>
      <c r="I155" s="170"/>
      <c r="J155" s="421"/>
      <c r="K155" s="134"/>
      <c r="L155" s="136"/>
      <c r="M155" s="136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</row>
    <row r="156" spans="1:30" ht="15.75" customHeight="1">
      <c r="A156" s="59"/>
      <c r="B156" s="419"/>
      <c r="C156" s="116"/>
      <c r="D156" s="27"/>
      <c r="E156" s="117"/>
      <c r="F156" s="118"/>
      <c r="G156" s="119"/>
      <c r="H156" s="119"/>
      <c r="I156" s="648"/>
      <c r="J156" s="421"/>
      <c r="K156" s="134"/>
      <c r="L156" s="136"/>
      <c r="M156" s="138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</row>
    <row r="157" spans="1:30" ht="15.75" customHeight="1">
      <c r="A157" s="59"/>
      <c r="B157" s="419"/>
      <c r="C157" s="116"/>
      <c r="D157" s="27"/>
      <c r="E157" s="117"/>
      <c r="F157" s="118"/>
      <c r="G157" s="119"/>
      <c r="H157" s="119"/>
      <c r="I157" s="170"/>
      <c r="J157" s="421"/>
      <c r="K157" s="134"/>
      <c r="L157" s="136"/>
      <c r="M157" s="136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</row>
    <row r="158" spans="1:30" ht="15.75" customHeight="1">
      <c r="A158" s="59"/>
      <c r="B158" s="419"/>
      <c r="C158" s="116"/>
      <c r="D158" s="27"/>
      <c r="E158" s="117"/>
      <c r="F158" s="118"/>
      <c r="G158" s="119"/>
      <c r="H158" s="119"/>
      <c r="I158" s="170"/>
      <c r="J158" s="421"/>
      <c r="K158" s="134"/>
      <c r="L158" s="136"/>
      <c r="M158" s="136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</row>
    <row r="159" spans="1:30" ht="15.75" customHeight="1">
      <c r="A159" s="59"/>
      <c r="B159" s="419"/>
      <c r="C159" s="116"/>
      <c r="D159" s="27"/>
      <c r="E159" s="117"/>
      <c r="F159" s="118"/>
      <c r="G159" s="119"/>
      <c r="H159" s="119"/>
      <c r="I159" s="170"/>
      <c r="J159" s="421"/>
      <c r="K159" s="134"/>
      <c r="L159" s="136"/>
      <c r="M159" s="136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</row>
    <row r="160" spans="1:30" ht="15.75" customHeight="1">
      <c r="A160" s="59"/>
      <c r="B160" s="419"/>
      <c r="C160" s="116"/>
      <c r="D160" s="27"/>
      <c r="E160" s="117"/>
      <c r="F160" s="118"/>
      <c r="G160" s="119"/>
      <c r="H160" s="119"/>
      <c r="I160" s="170"/>
      <c r="J160" s="421"/>
      <c r="K160" s="134"/>
      <c r="L160" s="136"/>
      <c r="M160" s="136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</row>
    <row r="161" spans="1:30" ht="15.75" customHeight="1">
      <c r="A161" s="59"/>
      <c r="B161" s="419"/>
      <c r="C161" s="116"/>
      <c r="D161" s="27"/>
      <c r="E161" s="117"/>
      <c r="F161" s="118"/>
      <c r="G161" s="119"/>
      <c r="H161" s="119"/>
      <c r="I161" s="170"/>
      <c r="J161" s="421"/>
      <c r="K161" s="134"/>
      <c r="L161" s="136"/>
      <c r="M161" s="136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</row>
    <row r="162" spans="1:30" ht="15.75" customHeight="1">
      <c r="A162" s="59"/>
      <c r="B162" s="419"/>
      <c r="C162" s="116"/>
      <c r="D162" s="27"/>
      <c r="E162" s="117"/>
      <c r="F162" s="118"/>
      <c r="G162" s="119"/>
      <c r="H162" s="119"/>
      <c r="I162" s="170"/>
      <c r="J162" s="421"/>
      <c r="K162" s="134"/>
      <c r="L162" s="142"/>
      <c r="M162" s="136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</row>
    <row r="163" spans="1:30" ht="15.75" customHeight="1">
      <c r="A163" s="59"/>
      <c r="B163" s="419"/>
      <c r="C163" s="116"/>
      <c r="D163" s="27"/>
      <c r="E163" s="117"/>
      <c r="F163" s="118"/>
      <c r="G163" s="119"/>
      <c r="H163" s="119"/>
      <c r="I163" s="170"/>
      <c r="J163" s="421"/>
      <c r="K163" s="134"/>
      <c r="L163" s="136"/>
      <c r="M163" s="136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</row>
    <row r="164" spans="1:30" ht="15.75" customHeight="1">
      <c r="A164" s="59"/>
      <c r="B164" s="419"/>
      <c r="C164" s="116"/>
      <c r="D164" s="27"/>
      <c r="E164" s="117"/>
      <c r="F164" s="118"/>
      <c r="G164" s="119"/>
      <c r="H164" s="119"/>
      <c r="I164" s="170"/>
      <c r="J164" s="421"/>
      <c r="K164" s="134"/>
      <c r="L164" s="136"/>
      <c r="M164" s="136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</row>
    <row r="165" spans="1:30" ht="15.75" customHeight="1">
      <c r="A165" s="59"/>
      <c r="B165" s="419"/>
      <c r="C165" s="116"/>
      <c r="D165" s="27"/>
      <c r="E165" s="117"/>
      <c r="F165" s="118"/>
      <c r="G165" s="119"/>
      <c r="H165" s="119"/>
      <c r="I165" s="170"/>
      <c r="J165" s="421"/>
      <c r="K165" s="134"/>
      <c r="L165" s="136"/>
      <c r="M165" s="136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</row>
    <row r="166" spans="1:30" ht="15.75" customHeight="1">
      <c r="A166" s="59"/>
      <c r="B166" s="419"/>
      <c r="C166" s="116"/>
      <c r="D166" s="27"/>
      <c r="E166" s="117"/>
      <c r="F166" s="118"/>
      <c r="G166" s="119"/>
      <c r="H166" s="119"/>
      <c r="I166" s="170"/>
      <c r="J166" s="421"/>
      <c r="K166" s="134"/>
      <c r="L166" s="136"/>
      <c r="M166" s="136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</row>
    <row r="167" spans="1:30" ht="15.75" customHeight="1">
      <c r="A167" s="59"/>
      <c r="B167" s="419"/>
      <c r="C167" s="116"/>
      <c r="D167" s="27"/>
      <c r="E167" s="117"/>
      <c r="F167" s="118"/>
      <c r="G167" s="119"/>
      <c r="H167" s="119"/>
      <c r="I167" s="170"/>
      <c r="J167" s="421"/>
      <c r="K167" s="134"/>
      <c r="L167" s="136"/>
      <c r="M167" s="136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</row>
    <row r="168" spans="1:30" ht="15.75" customHeight="1">
      <c r="A168" s="59"/>
      <c r="B168" s="419"/>
      <c r="C168" s="116"/>
      <c r="D168" s="27"/>
      <c r="E168" s="117"/>
      <c r="F168" s="118"/>
      <c r="G168" s="119"/>
      <c r="H168" s="119"/>
      <c r="I168" s="170"/>
      <c r="J168" s="421"/>
      <c r="K168" s="134"/>
      <c r="L168" s="136"/>
      <c r="M168" s="136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</row>
    <row r="169" spans="1:30" ht="15.75" customHeight="1">
      <c r="A169" s="59"/>
      <c r="B169" s="419"/>
      <c r="C169" s="116"/>
      <c r="D169" s="27"/>
      <c r="E169" s="117"/>
      <c r="F169" s="118"/>
      <c r="G169" s="119"/>
      <c r="H169" s="119"/>
      <c r="I169" s="170"/>
      <c r="J169" s="421"/>
      <c r="K169" s="134"/>
      <c r="L169" s="136"/>
      <c r="M169" s="136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</row>
    <row r="170" spans="1:30" ht="15.75" customHeight="1">
      <c r="A170" s="59"/>
      <c r="B170" s="419"/>
      <c r="C170" s="116"/>
      <c r="D170" s="27"/>
      <c r="E170" s="117"/>
      <c r="F170" s="118"/>
      <c r="G170" s="119"/>
      <c r="H170" s="119"/>
      <c r="I170" s="170"/>
      <c r="J170" s="421"/>
      <c r="K170" s="134"/>
      <c r="L170" s="136"/>
      <c r="M170" s="136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</row>
    <row r="171" spans="1:30" ht="15.75" customHeight="1">
      <c r="A171" s="59"/>
      <c r="B171" s="419"/>
      <c r="C171" s="116"/>
      <c r="D171" s="27"/>
      <c r="E171" s="117"/>
      <c r="F171" s="118"/>
      <c r="G171" s="119"/>
      <c r="H171" s="119"/>
      <c r="I171" s="170"/>
      <c r="J171" s="421"/>
      <c r="K171" s="134"/>
      <c r="L171" s="136"/>
      <c r="M171" s="140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</row>
    <row r="172" spans="1:30" ht="15.75" customHeight="1">
      <c r="A172" s="59"/>
      <c r="B172" s="419"/>
      <c r="C172" s="116"/>
      <c r="D172" s="27"/>
      <c r="E172" s="117"/>
      <c r="F172" s="118"/>
      <c r="G172" s="119"/>
      <c r="H172" s="119"/>
      <c r="I172" s="170"/>
      <c r="J172" s="421"/>
      <c r="K172" s="134"/>
      <c r="L172" s="40"/>
      <c r="M172" s="136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</row>
    <row r="173" spans="1:30" ht="15.75" customHeight="1">
      <c r="A173" s="59"/>
      <c r="B173" s="419"/>
      <c r="C173" s="116"/>
      <c r="D173" s="27"/>
      <c r="E173" s="117"/>
      <c r="F173" s="118"/>
      <c r="G173" s="119"/>
      <c r="H173" s="119"/>
      <c r="I173" s="170"/>
      <c r="J173" s="421"/>
      <c r="K173" s="134"/>
      <c r="L173" s="136"/>
      <c r="M173" s="136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</row>
    <row r="174" spans="1:30" ht="15.75" customHeight="1">
      <c r="A174" s="59"/>
      <c r="B174" s="419"/>
      <c r="C174" s="116"/>
      <c r="D174" s="27"/>
      <c r="E174" s="117"/>
      <c r="F174" s="118"/>
      <c r="G174" s="119"/>
      <c r="H174" s="119"/>
      <c r="I174" s="170"/>
      <c r="J174" s="421"/>
      <c r="K174" s="134"/>
      <c r="L174" s="138"/>
      <c r="M174" s="136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</row>
    <row r="175" spans="1:30" ht="15.75" customHeight="1">
      <c r="A175" s="59"/>
      <c r="B175" s="419"/>
      <c r="C175" s="116"/>
      <c r="D175" s="27"/>
      <c r="E175" s="117"/>
      <c r="F175" s="118"/>
      <c r="G175" s="119"/>
      <c r="H175" s="119"/>
      <c r="I175" s="648"/>
      <c r="J175" s="421"/>
      <c r="K175" s="134"/>
      <c r="L175" s="138"/>
      <c r="M175" s="136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</row>
    <row r="176" spans="1:30" ht="15.75" customHeight="1">
      <c r="A176" s="59"/>
      <c r="B176" s="419"/>
      <c r="C176" s="116"/>
      <c r="D176" s="27"/>
      <c r="E176" s="117"/>
      <c r="F176" s="118"/>
      <c r="G176" s="119"/>
      <c r="H176" s="119"/>
      <c r="I176" s="170"/>
      <c r="J176" s="421"/>
      <c r="K176" s="134"/>
      <c r="L176" s="138"/>
      <c r="M176" s="136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</row>
    <row r="177" spans="1:30" ht="15.75" customHeight="1">
      <c r="A177" s="59"/>
      <c r="B177" s="419"/>
      <c r="C177" s="116"/>
      <c r="D177" s="27"/>
      <c r="E177" s="117"/>
      <c r="F177" s="118"/>
      <c r="G177" s="119"/>
      <c r="H177" s="119"/>
      <c r="I177" s="170"/>
      <c r="J177" s="421"/>
      <c r="K177" s="134"/>
      <c r="L177" s="138"/>
      <c r="M177" s="136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</row>
    <row r="178" spans="1:30" ht="15.75" customHeight="1">
      <c r="A178" s="59"/>
      <c r="B178" s="419"/>
      <c r="C178" s="116"/>
      <c r="D178" s="27"/>
      <c r="E178" s="117"/>
      <c r="F178" s="118"/>
      <c r="G178" s="119"/>
      <c r="H178" s="119"/>
      <c r="I178" s="170"/>
      <c r="J178" s="421"/>
      <c r="K178" s="134"/>
      <c r="L178" s="138"/>
      <c r="M178" s="136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</row>
    <row r="179" spans="1:30" ht="15.75" customHeight="1">
      <c r="A179" s="59"/>
      <c r="B179" s="419"/>
      <c r="C179" s="116"/>
      <c r="D179" s="27"/>
      <c r="E179" s="117"/>
      <c r="F179" s="118"/>
      <c r="G179" s="119"/>
      <c r="H179" s="119"/>
      <c r="I179" s="170"/>
      <c r="J179" s="421"/>
      <c r="K179" s="134"/>
      <c r="L179" s="138"/>
      <c r="M179" s="136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</row>
    <row r="180" spans="1:30" ht="15.75" customHeight="1">
      <c r="A180" s="59"/>
      <c r="B180" s="419"/>
      <c r="C180" s="116"/>
      <c r="D180" s="27"/>
      <c r="E180" s="117"/>
      <c r="F180" s="118"/>
      <c r="G180" s="119"/>
      <c r="H180" s="119"/>
      <c r="I180" s="170"/>
      <c r="J180" s="421"/>
      <c r="K180" s="134"/>
      <c r="L180" s="138"/>
      <c r="M180" s="136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</row>
    <row r="181" spans="1:30" ht="15.75" customHeight="1">
      <c r="A181" s="59"/>
      <c r="B181" s="419"/>
      <c r="C181" s="116"/>
      <c r="D181" s="27"/>
      <c r="E181" s="117"/>
      <c r="F181" s="118"/>
      <c r="G181" s="119"/>
      <c r="H181" s="119"/>
      <c r="I181" s="170"/>
      <c r="J181" s="421"/>
      <c r="K181" s="134"/>
      <c r="L181" s="138"/>
      <c r="M181" s="136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</row>
    <row r="182" spans="1:30" ht="15.75" customHeight="1">
      <c r="A182" s="59"/>
      <c r="B182" s="419"/>
      <c r="C182" s="116"/>
      <c r="D182" s="27"/>
      <c r="E182" s="117"/>
      <c r="F182" s="118"/>
      <c r="G182" s="119"/>
      <c r="H182" s="119"/>
      <c r="I182" s="170"/>
      <c r="J182" s="421"/>
      <c r="K182" s="134"/>
      <c r="L182" s="138"/>
      <c r="M182" s="136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</row>
    <row r="183" spans="1:30" ht="15.75" customHeight="1">
      <c r="A183" s="59"/>
      <c r="B183" s="419"/>
      <c r="C183" s="116"/>
      <c r="D183" s="27"/>
      <c r="E183" s="117"/>
      <c r="F183" s="118"/>
      <c r="G183" s="119"/>
      <c r="H183" s="119"/>
      <c r="I183" s="648"/>
      <c r="J183" s="421"/>
      <c r="K183" s="134"/>
      <c r="L183" s="138"/>
      <c r="M183" s="136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</row>
    <row r="184" spans="1:30" ht="15.75" customHeight="1">
      <c r="A184" s="59"/>
      <c r="B184" s="419"/>
      <c r="C184" s="116"/>
      <c r="D184" s="27"/>
      <c r="E184" s="117"/>
      <c r="F184" s="118"/>
      <c r="G184" s="119"/>
      <c r="H184" s="119"/>
      <c r="I184" s="170"/>
      <c r="J184" s="421"/>
      <c r="K184" s="134"/>
      <c r="L184" s="138"/>
      <c r="M184" s="136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</row>
    <row r="185" spans="1:30" ht="15.75" customHeight="1">
      <c r="A185" s="59"/>
      <c r="B185" s="419"/>
      <c r="C185" s="116"/>
      <c r="D185" s="27"/>
      <c r="E185" s="117"/>
      <c r="F185" s="118"/>
      <c r="G185" s="119"/>
      <c r="H185" s="119"/>
      <c r="I185" s="170"/>
      <c r="J185" s="421"/>
      <c r="K185" s="134"/>
      <c r="L185" s="143"/>
      <c r="M185" s="136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</row>
    <row r="186" spans="1:30" ht="15.75" customHeight="1">
      <c r="A186" s="59"/>
      <c r="B186" s="419"/>
      <c r="C186" s="116"/>
      <c r="D186" s="27"/>
      <c r="E186" s="117"/>
      <c r="F186" s="118"/>
      <c r="G186" s="119"/>
      <c r="H186" s="119"/>
      <c r="I186" s="170"/>
      <c r="J186" s="421"/>
      <c r="K186" s="134"/>
      <c r="L186" s="138"/>
      <c r="M186" s="136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</row>
    <row r="187" spans="1:30" ht="15.75" customHeight="1">
      <c r="A187" s="59"/>
      <c r="B187" s="419"/>
      <c r="C187" s="116"/>
      <c r="D187" s="27"/>
      <c r="E187" s="117"/>
      <c r="F187" s="118"/>
      <c r="G187" s="119"/>
      <c r="H187" s="119"/>
      <c r="I187" s="170"/>
      <c r="J187" s="421"/>
      <c r="K187" s="134"/>
      <c r="L187" s="138"/>
      <c r="M187" s="136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</row>
    <row r="188" spans="1:30" ht="15.75" customHeight="1">
      <c r="A188" s="59"/>
      <c r="B188" s="419"/>
      <c r="C188" s="116"/>
      <c r="D188" s="27"/>
      <c r="E188" s="117"/>
      <c r="F188" s="118"/>
      <c r="G188" s="119"/>
      <c r="H188" s="119"/>
      <c r="I188" s="170"/>
      <c r="J188" s="421"/>
      <c r="K188" s="134"/>
      <c r="L188" s="138"/>
      <c r="M188" s="136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</row>
    <row r="189" spans="1:30" ht="15.75" customHeight="1">
      <c r="A189" s="59"/>
      <c r="B189" s="419"/>
      <c r="C189" s="116"/>
      <c r="D189" s="27"/>
      <c r="E189" s="117"/>
      <c r="F189" s="118"/>
      <c r="G189" s="119"/>
      <c r="H189" s="119"/>
      <c r="I189" s="170"/>
      <c r="J189" s="421"/>
      <c r="K189" s="134"/>
      <c r="L189" s="138"/>
      <c r="M189" s="136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</row>
    <row r="190" spans="1:30" ht="15.75" customHeight="1">
      <c r="A190" s="59"/>
      <c r="B190" s="419"/>
      <c r="C190" s="116"/>
      <c r="D190" s="27"/>
      <c r="E190" s="117"/>
      <c r="F190" s="118"/>
      <c r="G190" s="119"/>
      <c r="H190" s="119"/>
      <c r="I190" s="170"/>
      <c r="J190" s="421"/>
      <c r="K190" s="134"/>
      <c r="L190" s="138"/>
      <c r="M190" s="136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</row>
    <row r="191" spans="1:30" ht="15.75" customHeight="1">
      <c r="A191" s="59"/>
      <c r="B191" s="419"/>
      <c r="C191" s="116"/>
      <c r="D191" s="27"/>
      <c r="E191" s="117"/>
      <c r="F191" s="118"/>
      <c r="G191" s="119"/>
      <c r="H191" s="119"/>
      <c r="I191" s="170"/>
      <c r="J191" s="421"/>
      <c r="K191" s="134"/>
      <c r="L191" s="138"/>
      <c r="M191" s="136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</row>
    <row r="192" spans="1:30" ht="15.75" customHeight="1">
      <c r="A192" s="59"/>
      <c r="B192" s="419"/>
      <c r="C192" s="116"/>
      <c r="D192" s="27"/>
      <c r="E192" s="117"/>
      <c r="F192" s="118"/>
      <c r="G192" s="119"/>
      <c r="H192" s="119"/>
      <c r="I192" s="170"/>
      <c r="J192" s="421"/>
      <c r="K192" s="134"/>
      <c r="L192" s="138"/>
      <c r="M192" s="136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</row>
    <row r="193" spans="1:30" ht="15.75" customHeight="1">
      <c r="A193" s="59"/>
      <c r="B193" s="419"/>
      <c r="C193" s="116"/>
      <c r="D193" s="27"/>
      <c r="E193" s="117"/>
      <c r="F193" s="118"/>
      <c r="G193" s="119"/>
      <c r="H193" s="119"/>
      <c r="I193" s="170"/>
      <c r="J193" s="421"/>
      <c r="K193" s="134"/>
      <c r="L193" s="138"/>
      <c r="M193" s="136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</row>
    <row r="194" spans="1:30" ht="15.75" customHeight="1">
      <c r="A194" s="59"/>
      <c r="B194" s="419"/>
      <c r="C194" s="116"/>
      <c r="D194" s="27"/>
      <c r="E194" s="117"/>
      <c r="F194" s="118"/>
      <c r="G194" s="119"/>
      <c r="H194" s="119"/>
      <c r="I194" s="170"/>
      <c r="J194" s="421"/>
      <c r="K194" s="134"/>
      <c r="L194" s="138"/>
      <c r="M194" s="136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</row>
    <row r="195" spans="1:30" ht="15.75" customHeight="1">
      <c r="A195" s="59"/>
      <c r="B195" s="419"/>
      <c r="C195" s="116"/>
      <c r="D195" s="27"/>
      <c r="E195" s="117"/>
      <c r="F195" s="118"/>
      <c r="G195" s="119"/>
      <c r="H195" s="119"/>
      <c r="I195" s="170"/>
      <c r="J195" s="421"/>
      <c r="K195" s="134"/>
      <c r="L195" s="138"/>
      <c r="M195" s="136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</row>
    <row r="196" spans="1:30" ht="15.75" customHeight="1">
      <c r="A196" s="59"/>
      <c r="B196" s="419"/>
      <c r="C196" s="116"/>
      <c r="D196" s="27"/>
      <c r="E196" s="117"/>
      <c r="F196" s="118"/>
      <c r="G196" s="119"/>
      <c r="H196" s="119"/>
      <c r="I196" s="170"/>
      <c r="J196" s="421"/>
      <c r="K196" s="134"/>
      <c r="L196" s="138"/>
      <c r="M196" s="136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</row>
    <row r="197" spans="1:30" ht="15.75" customHeight="1">
      <c r="A197" s="59"/>
      <c r="B197" s="419"/>
      <c r="C197" s="116"/>
      <c r="D197" s="27"/>
      <c r="E197" s="117"/>
      <c r="F197" s="118"/>
      <c r="G197" s="119"/>
      <c r="H197" s="119"/>
      <c r="I197" s="170"/>
      <c r="J197" s="421"/>
      <c r="K197" s="134"/>
      <c r="L197" s="138"/>
      <c r="M197" s="136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</row>
    <row r="198" spans="1:30" ht="15.75" customHeight="1">
      <c r="A198" s="59"/>
      <c r="B198" s="419"/>
      <c r="C198" s="116"/>
      <c r="D198" s="27"/>
      <c r="E198" s="117"/>
      <c r="F198" s="118"/>
      <c r="G198" s="119"/>
      <c r="H198" s="119"/>
      <c r="I198" s="170"/>
      <c r="J198" s="421"/>
      <c r="K198" s="134"/>
      <c r="L198" s="138"/>
      <c r="M198" s="136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</row>
    <row r="199" spans="1:30" ht="15.75" customHeight="1">
      <c r="A199" s="59"/>
      <c r="B199" s="419"/>
      <c r="C199" s="116"/>
      <c r="D199" s="27"/>
      <c r="E199" s="117"/>
      <c r="F199" s="118"/>
      <c r="G199" s="119"/>
      <c r="H199" s="119"/>
      <c r="I199" s="170"/>
      <c r="J199" s="421"/>
      <c r="K199" s="134"/>
      <c r="L199" s="138"/>
      <c r="M199" s="136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</row>
    <row r="200" spans="1:30" ht="15.75" customHeight="1">
      <c r="A200" s="59"/>
      <c r="B200" s="419"/>
      <c r="C200" s="116"/>
      <c r="D200" s="27"/>
      <c r="E200" s="117"/>
      <c r="F200" s="118"/>
      <c r="G200" s="119"/>
      <c r="H200" s="119"/>
      <c r="I200" s="170"/>
      <c r="J200" s="421"/>
      <c r="K200" s="134"/>
      <c r="L200" s="138"/>
      <c r="M200" s="136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</row>
    <row r="201" spans="1:30" ht="15.75" customHeight="1">
      <c r="A201" s="59"/>
      <c r="B201" s="419"/>
      <c r="C201" s="116"/>
      <c r="D201" s="27"/>
      <c r="E201" s="117"/>
      <c r="F201" s="118"/>
      <c r="G201" s="119"/>
      <c r="H201" s="119"/>
      <c r="I201" s="170"/>
      <c r="J201" s="421"/>
      <c r="K201" s="134"/>
      <c r="L201" s="138"/>
      <c r="M201" s="136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</row>
    <row r="202" spans="1:30" ht="15.75" customHeight="1">
      <c r="A202" s="59"/>
      <c r="B202" s="419"/>
      <c r="C202" s="116"/>
      <c r="D202" s="27"/>
      <c r="E202" s="117"/>
      <c r="F202" s="118"/>
      <c r="G202" s="119"/>
      <c r="H202" s="119"/>
      <c r="I202" s="170"/>
      <c r="J202" s="421"/>
      <c r="K202" s="134"/>
      <c r="L202" s="138"/>
      <c r="M202" s="136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</row>
    <row r="203" spans="1:30" ht="15.75" customHeight="1">
      <c r="A203" s="59"/>
      <c r="B203" s="419"/>
      <c r="C203" s="116"/>
      <c r="D203" s="27"/>
      <c r="E203" s="117"/>
      <c r="F203" s="118"/>
      <c r="G203" s="119"/>
      <c r="H203" s="119"/>
      <c r="I203" s="170"/>
      <c r="J203" s="421"/>
      <c r="K203" s="134"/>
      <c r="L203" s="138"/>
      <c r="M203" s="136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</row>
    <row r="204" spans="1:30" ht="15.75" customHeight="1">
      <c r="A204" s="59"/>
      <c r="B204" s="419"/>
      <c r="C204" s="116"/>
      <c r="D204" s="27"/>
      <c r="E204" s="117"/>
      <c r="F204" s="118"/>
      <c r="G204" s="119"/>
      <c r="H204" s="119"/>
      <c r="I204" s="170"/>
      <c r="J204" s="421"/>
      <c r="K204" s="134"/>
      <c r="L204" s="138"/>
      <c r="M204" s="136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</row>
    <row r="205" spans="1:30" ht="15.75" customHeight="1">
      <c r="A205" s="59"/>
      <c r="B205" s="419"/>
      <c r="C205" s="116"/>
      <c r="D205" s="27"/>
      <c r="E205" s="117"/>
      <c r="F205" s="118"/>
      <c r="G205" s="119"/>
      <c r="H205" s="119"/>
      <c r="I205" s="170"/>
      <c r="J205" s="421"/>
      <c r="K205" s="134"/>
      <c r="L205" s="138"/>
      <c r="M205" s="136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</row>
    <row r="206" spans="1:30" ht="15.75" customHeight="1">
      <c r="A206" s="59"/>
      <c r="B206" s="419"/>
      <c r="C206" s="116"/>
      <c r="D206" s="27"/>
      <c r="E206" s="117"/>
      <c r="F206" s="118"/>
      <c r="G206" s="119"/>
      <c r="H206" s="119"/>
      <c r="I206" s="170"/>
      <c r="J206" s="421"/>
      <c r="K206" s="134"/>
      <c r="L206" s="138"/>
      <c r="M206" s="13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</row>
    <row r="207" spans="1:30" ht="15.75" customHeight="1">
      <c r="A207" s="59"/>
      <c r="B207" s="419"/>
      <c r="C207" s="116"/>
      <c r="D207" s="27"/>
      <c r="E207" s="117"/>
      <c r="F207" s="118"/>
      <c r="G207" s="119"/>
      <c r="H207" s="119"/>
      <c r="I207" s="170"/>
      <c r="J207" s="421"/>
      <c r="K207" s="134"/>
      <c r="L207" s="138"/>
      <c r="M207" s="136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</row>
    <row r="208" spans="1:30" ht="15.75" customHeight="1">
      <c r="A208" s="59"/>
      <c r="B208" s="419"/>
      <c r="C208" s="116"/>
      <c r="D208" s="27"/>
      <c r="E208" s="117"/>
      <c r="F208" s="118"/>
      <c r="G208" s="119"/>
      <c r="H208" s="119"/>
      <c r="I208" s="170"/>
      <c r="J208" s="421"/>
      <c r="K208" s="134"/>
      <c r="L208" s="138"/>
      <c r="M208" s="136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</row>
    <row r="209" spans="1:30" ht="15.75" customHeight="1">
      <c r="A209" s="59"/>
      <c r="B209" s="419"/>
      <c r="C209" s="116"/>
      <c r="D209" s="27"/>
      <c r="E209" s="117"/>
      <c r="F209" s="118"/>
      <c r="G209" s="119"/>
      <c r="H209" s="119"/>
      <c r="I209" s="170"/>
      <c r="J209" s="421"/>
      <c r="K209" s="134"/>
      <c r="L209" s="138"/>
      <c r="M209" s="136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</row>
    <row r="210" spans="1:30" ht="15.75" customHeight="1">
      <c r="A210" s="59"/>
      <c r="B210" s="419"/>
      <c r="C210" s="116"/>
      <c r="D210" s="27"/>
      <c r="E210" s="117"/>
      <c r="F210" s="118"/>
      <c r="G210" s="119"/>
      <c r="H210" s="119"/>
      <c r="I210" s="170"/>
      <c r="J210" s="421"/>
      <c r="K210" s="134"/>
      <c r="L210" s="138"/>
      <c r="M210" s="136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</row>
    <row r="211" spans="1:30" ht="15.75" customHeight="1">
      <c r="A211" s="59"/>
      <c r="B211" s="419"/>
      <c r="C211" s="116"/>
      <c r="D211" s="27"/>
      <c r="E211" s="117"/>
      <c r="F211" s="118"/>
      <c r="G211" s="119"/>
      <c r="H211" s="119"/>
      <c r="I211" s="170"/>
      <c r="J211" s="421"/>
      <c r="K211" s="134"/>
      <c r="L211" s="137"/>
      <c r="M211" s="136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</row>
    <row r="212" spans="1:30" ht="15.75" customHeight="1">
      <c r="A212" s="59"/>
      <c r="B212" s="419"/>
      <c r="C212" s="116"/>
      <c r="D212" s="27"/>
      <c r="E212" s="117"/>
      <c r="F212" s="118"/>
      <c r="G212" s="119"/>
      <c r="H212" s="119"/>
      <c r="I212" s="170"/>
      <c r="J212" s="421"/>
      <c r="K212" s="134"/>
      <c r="L212" s="138"/>
      <c r="M212" s="136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</row>
    <row r="213" spans="1:30" ht="15.75" customHeight="1">
      <c r="A213" s="59"/>
      <c r="B213" s="419"/>
      <c r="C213" s="116"/>
      <c r="D213" s="27"/>
      <c r="E213" s="117"/>
      <c r="F213" s="118"/>
      <c r="G213" s="119"/>
      <c r="H213" s="119"/>
      <c r="I213" s="170"/>
      <c r="J213" s="421"/>
      <c r="K213" s="134"/>
      <c r="L213" s="138"/>
      <c r="M213" s="136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</row>
    <row r="214" spans="1:30" ht="15.75" customHeight="1">
      <c r="A214" s="59"/>
      <c r="B214" s="419"/>
      <c r="C214" s="116"/>
      <c r="D214" s="27"/>
      <c r="E214" s="117"/>
      <c r="F214" s="118"/>
      <c r="G214" s="119"/>
      <c r="H214" s="119"/>
      <c r="I214" s="170"/>
      <c r="J214" s="421"/>
      <c r="K214" s="134"/>
      <c r="L214" s="138"/>
      <c r="M214" s="136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</row>
    <row r="215" spans="1:30" ht="15.75" customHeight="1">
      <c r="A215" s="59"/>
      <c r="B215" s="419"/>
      <c r="C215" s="116"/>
      <c r="D215" s="27"/>
      <c r="E215" s="117"/>
      <c r="F215" s="118"/>
      <c r="G215" s="119"/>
      <c r="H215" s="119"/>
      <c r="I215" s="170"/>
      <c r="J215" s="421"/>
      <c r="K215" s="134"/>
      <c r="L215" s="138"/>
      <c r="M215" s="136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</row>
    <row r="216" spans="1:30" ht="15.75" customHeight="1">
      <c r="A216" s="59"/>
      <c r="B216" s="419"/>
      <c r="C216" s="116"/>
      <c r="D216" s="27"/>
      <c r="E216" s="117"/>
      <c r="F216" s="118"/>
      <c r="G216" s="119"/>
      <c r="H216" s="119"/>
      <c r="I216" s="170"/>
      <c r="J216" s="421"/>
      <c r="K216" s="134"/>
      <c r="L216" s="138"/>
      <c r="M216" s="136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</row>
    <row r="217" spans="1:30" ht="15.75" customHeight="1">
      <c r="A217" s="59"/>
      <c r="B217" s="419"/>
      <c r="C217" s="116"/>
      <c r="D217" s="27"/>
      <c r="E217" s="117"/>
      <c r="F217" s="118"/>
      <c r="G217" s="119"/>
      <c r="H217" s="119"/>
      <c r="I217" s="170"/>
      <c r="J217" s="421"/>
      <c r="K217" s="134"/>
      <c r="L217" s="138"/>
      <c r="M217" s="136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</row>
    <row r="218" spans="1:30" ht="15.75" customHeight="1">
      <c r="A218" s="59"/>
      <c r="B218" s="419"/>
      <c r="C218" s="116"/>
      <c r="D218" s="27"/>
      <c r="E218" s="117"/>
      <c r="F218" s="118"/>
      <c r="G218" s="119"/>
      <c r="H218" s="119"/>
      <c r="I218" s="170"/>
      <c r="J218" s="421"/>
      <c r="K218" s="134"/>
      <c r="L218" s="138"/>
      <c r="M218" s="136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</row>
    <row r="219" spans="1:30" ht="15.75" customHeight="1">
      <c r="A219" s="59"/>
      <c r="B219" s="419"/>
      <c r="C219" s="116"/>
      <c r="D219" s="27"/>
      <c r="E219" s="117"/>
      <c r="F219" s="118"/>
      <c r="G219" s="119"/>
      <c r="H219" s="119"/>
      <c r="I219" s="170"/>
      <c r="J219" s="421"/>
      <c r="K219" s="134"/>
      <c r="L219" s="138"/>
      <c r="M219" s="136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</row>
    <row r="220" spans="1:30" ht="15.75" customHeight="1">
      <c r="A220" s="59"/>
      <c r="B220" s="419"/>
      <c r="C220" s="116"/>
      <c r="D220" s="27"/>
      <c r="E220" s="117"/>
      <c r="F220" s="118"/>
      <c r="G220" s="119"/>
      <c r="H220" s="119"/>
      <c r="I220" s="170"/>
      <c r="J220" s="421"/>
      <c r="K220" s="134"/>
      <c r="L220" s="138"/>
      <c r="M220" s="136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</row>
    <row r="221" spans="1:30" ht="15.75" customHeight="1">
      <c r="A221" s="59"/>
      <c r="B221" s="419"/>
      <c r="C221" s="116"/>
      <c r="D221" s="27"/>
      <c r="E221" s="117"/>
      <c r="F221" s="118"/>
      <c r="G221" s="119"/>
      <c r="H221" s="119"/>
      <c r="I221" s="170"/>
      <c r="J221" s="421"/>
      <c r="K221" s="134"/>
      <c r="L221" s="138"/>
      <c r="M221" s="13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</row>
    <row r="222" spans="1:30" ht="15.75" customHeight="1">
      <c r="A222" s="59"/>
      <c r="B222" s="419"/>
      <c r="C222" s="116"/>
      <c r="D222" s="27"/>
      <c r="E222" s="117"/>
      <c r="F222" s="118"/>
      <c r="G222" s="119"/>
      <c r="H222" s="119"/>
      <c r="I222" s="170"/>
      <c r="J222" s="421"/>
      <c r="K222" s="134"/>
      <c r="L222" s="138"/>
      <c r="M222" s="13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</row>
    <row r="223" spans="1:30" ht="15.75" customHeight="1">
      <c r="A223" s="59"/>
      <c r="B223" s="419"/>
      <c r="C223" s="116"/>
      <c r="D223" s="27"/>
      <c r="E223" s="117"/>
      <c r="F223" s="118"/>
      <c r="G223" s="119"/>
      <c r="H223" s="119"/>
      <c r="I223" s="170"/>
      <c r="J223" s="421"/>
      <c r="K223" s="134"/>
      <c r="L223" s="138"/>
      <c r="M223" s="136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</row>
    <row r="224" spans="1:30" ht="15.75" customHeight="1">
      <c r="A224" s="59"/>
      <c r="B224" s="419"/>
      <c r="C224" s="116"/>
      <c r="D224" s="27"/>
      <c r="E224" s="117"/>
      <c r="F224" s="118"/>
      <c r="G224" s="119"/>
      <c r="H224" s="119"/>
      <c r="I224" s="170"/>
      <c r="J224" s="421"/>
      <c r="K224" s="134"/>
      <c r="L224" s="137"/>
      <c r="M224" s="136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</row>
    <row r="225" spans="1:30" ht="15.75" customHeight="1">
      <c r="A225" s="59"/>
      <c r="B225" s="419"/>
      <c r="C225" s="116"/>
      <c r="D225" s="27"/>
      <c r="E225" s="117"/>
      <c r="F225" s="118"/>
      <c r="G225" s="119"/>
      <c r="H225" s="119"/>
      <c r="I225" s="170"/>
      <c r="J225" s="421"/>
      <c r="K225" s="134"/>
      <c r="L225" s="138"/>
      <c r="M225" s="136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</row>
    <row r="226" spans="1:30" ht="15.75" customHeight="1">
      <c r="A226" s="59"/>
      <c r="B226" s="419"/>
      <c r="C226" s="116"/>
      <c r="D226" s="27"/>
      <c r="E226" s="117"/>
      <c r="F226" s="118"/>
      <c r="G226" s="119"/>
      <c r="H226" s="119"/>
      <c r="I226" s="170"/>
      <c r="J226" s="421"/>
      <c r="K226" s="134"/>
      <c r="L226" s="138"/>
      <c r="M226" s="136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</row>
    <row r="227" spans="1:30" ht="15.75" customHeight="1">
      <c r="A227" s="59"/>
      <c r="B227" s="419"/>
      <c r="C227" s="116"/>
      <c r="D227" s="27"/>
      <c r="E227" s="117"/>
      <c r="F227" s="118"/>
      <c r="G227" s="119"/>
      <c r="H227" s="119"/>
      <c r="I227" s="170"/>
      <c r="J227" s="421"/>
      <c r="K227" s="134"/>
      <c r="L227" s="138"/>
      <c r="M227" s="136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</row>
    <row r="228" spans="1:30" ht="15.75" customHeight="1">
      <c r="A228" s="59"/>
      <c r="B228" s="419"/>
      <c r="C228" s="116"/>
      <c r="D228" s="27"/>
      <c r="E228" s="117"/>
      <c r="F228" s="118"/>
      <c r="G228" s="119"/>
      <c r="H228" s="119"/>
      <c r="I228" s="170"/>
      <c r="J228" s="421"/>
      <c r="K228" s="134"/>
      <c r="L228" s="138"/>
      <c r="M228" s="136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</row>
    <row r="229" spans="1:30" ht="15.75" customHeight="1">
      <c r="A229" s="59"/>
      <c r="B229" s="419"/>
      <c r="C229" s="116"/>
      <c r="D229" s="27"/>
      <c r="E229" s="117"/>
      <c r="F229" s="118"/>
      <c r="G229" s="119"/>
      <c r="H229" s="119"/>
      <c r="I229" s="170"/>
      <c r="J229" s="421"/>
      <c r="K229" s="134"/>
      <c r="L229" s="138"/>
      <c r="M229" s="139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</row>
    <row r="230" spans="1:30" ht="15.75" customHeight="1">
      <c r="A230" s="59"/>
      <c r="B230" s="419"/>
      <c r="C230" s="116"/>
      <c r="D230" s="27"/>
      <c r="E230" s="117"/>
      <c r="F230" s="118"/>
      <c r="G230" s="119"/>
      <c r="H230" s="119"/>
      <c r="I230" s="648"/>
      <c r="J230" s="421"/>
      <c r="K230" s="134"/>
      <c r="L230" s="138"/>
      <c r="M230" s="136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</row>
    <row r="231" spans="1:30" ht="15.75" customHeight="1">
      <c r="A231" s="59"/>
      <c r="B231" s="419"/>
      <c r="C231" s="116"/>
      <c r="D231" s="27"/>
      <c r="E231" s="117"/>
      <c r="F231" s="118"/>
      <c r="G231" s="119"/>
      <c r="H231" s="119"/>
      <c r="I231" s="170"/>
      <c r="J231" s="421"/>
      <c r="K231" s="134"/>
      <c r="L231" s="138"/>
      <c r="M231" s="136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</row>
    <row r="232" spans="1:30" ht="15.75" customHeight="1">
      <c r="A232" s="59"/>
      <c r="B232" s="419"/>
      <c r="C232" s="116"/>
      <c r="D232" s="27"/>
      <c r="E232" s="117"/>
      <c r="F232" s="118"/>
      <c r="G232" s="119"/>
      <c r="H232" s="119"/>
      <c r="I232" s="170"/>
      <c r="J232" s="421"/>
      <c r="K232" s="134"/>
      <c r="L232" s="138"/>
      <c r="M232" s="136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</row>
    <row r="233" spans="1:30" ht="15.75" customHeight="1">
      <c r="A233" s="59"/>
      <c r="B233" s="419"/>
      <c r="C233" s="116"/>
      <c r="D233" s="27"/>
      <c r="E233" s="117"/>
      <c r="F233" s="118"/>
      <c r="G233" s="119"/>
      <c r="H233" s="119"/>
      <c r="I233" s="170"/>
      <c r="J233" s="421"/>
      <c r="K233" s="134"/>
      <c r="L233" s="138"/>
      <c r="M233" s="136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</row>
    <row r="234" spans="1:30" ht="15.75" customHeight="1">
      <c r="A234" s="59"/>
      <c r="B234" s="419"/>
      <c r="C234" s="116"/>
      <c r="D234" s="27"/>
      <c r="E234" s="117"/>
      <c r="F234" s="118"/>
      <c r="G234" s="119"/>
      <c r="H234" s="119"/>
      <c r="I234" s="170"/>
      <c r="J234" s="421"/>
      <c r="K234" s="134"/>
      <c r="L234" s="138"/>
      <c r="M234" s="136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</row>
    <row r="235" spans="1:30" ht="15.75" customHeight="1">
      <c r="A235" s="59"/>
      <c r="B235" s="419"/>
      <c r="C235" s="116"/>
      <c r="D235" s="27"/>
      <c r="E235" s="117"/>
      <c r="F235" s="118"/>
      <c r="G235" s="119"/>
      <c r="H235" s="119"/>
      <c r="I235" s="170"/>
      <c r="J235" s="421"/>
      <c r="K235" s="134"/>
      <c r="L235" s="138"/>
      <c r="M235" s="136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</row>
    <row r="236" spans="1:30" ht="15.75" customHeight="1">
      <c r="A236" s="59"/>
      <c r="B236" s="419"/>
      <c r="C236" s="116"/>
      <c r="D236" s="27"/>
      <c r="E236" s="117"/>
      <c r="F236" s="118"/>
      <c r="G236" s="119"/>
      <c r="H236" s="119"/>
      <c r="I236" s="170"/>
      <c r="J236" s="421"/>
      <c r="K236" s="134"/>
      <c r="L236" s="138"/>
      <c r="M236" s="136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</row>
    <row r="237" spans="1:30" ht="15.75" customHeight="1">
      <c r="A237" s="59"/>
      <c r="B237" s="419"/>
      <c r="C237" s="116"/>
      <c r="D237" s="27"/>
      <c r="E237" s="117"/>
      <c r="F237" s="118"/>
      <c r="G237" s="119"/>
      <c r="H237" s="119"/>
      <c r="I237" s="170"/>
      <c r="J237" s="421"/>
      <c r="K237" s="134"/>
      <c r="L237" s="138"/>
      <c r="M237" s="136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</row>
    <row r="238" spans="1:30" ht="15.75" customHeight="1">
      <c r="A238" s="59"/>
      <c r="B238" s="419"/>
      <c r="C238" s="116"/>
      <c r="D238" s="27"/>
      <c r="E238" s="117"/>
      <c r="F238" s="118"/>
      <c r="G238" s="119"/>
      <c r="H238" s="119"/>
      <c r="I238" s="170"/>
      <c r="J238" s="421"/>
      <c r="K238" s="134"/>
      <c r="L238" s="138"/>
      <c r="M238" s="138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</row>
    <row r="239" spans="1:30" ht="15.75" customHeight="1">
      <c r="A239" s="59"/>
      <c r="B239" s="419"/>
      <c r="C239" s="116"/>
      <c r="D239" s="27"/>
      <c r="E239" s="117"/>
      <c r="F239" s="118"/>
      <c r="G239" s="119"/>
      <c r="H239" s="119"/>
      <c r="I239" s="170"/>
      <c r="J239" s="421"/>
      <c r="K239" s="134"/>
      <c r="L239" s="138"/>
      <c r="M239" s="136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</row>
    <row r="240" spans="1:30" ht="15.75" customHeight="1">
      <c r="A240" s="59"/>
      <c r="B240" s="419"/>
      <c r="C240" s="116"/>
      <c r="D240" s="27"/>
      <c r="E240" s="117"/>
      <c r="F240" s="118"/>
      <c r="G240" s="119"/>
      <c r="H240" s="119"/>
      <c r="I240" s="170"/>
      <c r="J240" s="421"/>
      <c r="K240" s="134"/>
      <c r="L240" s="138"/>
      <c r="M240" s="136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</row>
    <row r="241" spans="1:30" ht="15.75" customHeight="1">
      <c r="A241" s="59"/>
      <c r="B241" s="419"/>
      <c r="C241" s="116"/>
      <c r="D241" s="27"/>
      <c r="E241" s="117"/>
      <c r="F241" s="118"/>
      <c r="G241" s="119"/>
      <c r="H241" s="119"/>
      <c r="I241" s="170"/>
      <c r="J241" s="421"/>
      <c r="K241" s="134"/>
      <c r="L241" s="137"/>
      <c r="M241" s="136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</row>
    <row r="242" spans="1:30" ht="15.75" customHeight="1">
      <c r="A242" s="59"/>
      <c r="B242" s="419"/>
      <c r="C242" s="116"/>
      <c r="D242" s="27"/>
      <c r="E242" s="117"/>
      <c r="F242" s="118"/>
      <c r="G242" s="119"/>
      <c r="H242" s="119"/>
      <c r="I242" s="170"/>
      <c r="J242" s="421"/>
      <c r="K242" s="134"/>
      <c r="L242" s="138"/>
      <c r="M242" s="136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</row>
    <row r="243" spans="1:30" ht="15.75" customHeight="1">
      <c r="A243" s="59"/>
      <c r="B243" s="419"/>
      <c r="C243" s="116"/>
      <c r="D243" s="27"/>
      <c r="E243" s="117"/>
      <c r="F243" s="118"/>
      <c r="G243" s="119"/>
      <c r="H243" s="119"/>
      <c r="I243" s="170"/>
      <c r="J243" s="421"/>
      <c r="K243" s="134"/>
      <c r="L243" s="138"/>
      <c r="M243" s="136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</row>
    <row r="244" spans="1:30" ht="15.75" customHeight="1">
      <c r="A244" s="59"/>
      <c r="B244" s="419"/>
      <c r="C244" s="116"/>
      <c r="D244" s="27"/>
      <c r="E244" s="117"/>
      <c r="F244" s="118"/>
      <c r="G244" s="119"/>
      <c r="H244" s="119"/>
      <c r="I244" s="170"/>
      <c r="J244" s="421"/>
      <c r="K244" s="134"/>
      <c r="L244" s="138"/>
      <c r="M244" s="136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</row>
    <row r="245" spans="1:30" ht="15.75" customHeight="1">
      <c r="A245" s="59"/>
      <c r="B245" s="419"/>
      <c r="C245" s="116"/>
      <c r="D245" s="27"/>
      <c r="E245" s="117"/>
      <c r="F245" s="118"/>
      <c r="G245" s="119"/>
      <c r="H245" s="119"/>
      <c r="I245" s="170"/>
      <c r="J245" s="421"/>
      <c r="K245" s="134"/>
      <c r="L245" s="138"/>
      <c r="M245" s="136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</row>
    <row r="246" spans="1:30" ht="15.75" customHeight="1">
      <c r="A246" s="59"/>
      <c r="B246" s="419"/>
      <c r="C246" s="116"/>
      <c r="D246" s="27"/>
      <c r="E246" s="117"/>
      <c r="F246" s="118"/>
      <c r="G246" s="119"/>
      <c r="H246" s="119"/>
      <c r="I246" s="170"/>
      <c r="J246" s="421"/>
      <c r="K246" s="134"/>
      <c r="L246" s="138"/>
      <c r="M246" s="136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</row>
    <row r="247" spans="1:30" ht="15.75" customHeight="1">
      <c r="A247" s="59"/>
      <c r="B247" s="419"/>
      <c r="C247" s="116"/>
      <c r="D247" s="27"/>
      <c r="E247" s="117"/>
      <c r="F247" s="118"/>
      <c r="G247" s="119"/>
      <c r="H247" s="119"/>
      <c r="I247" s="170"/>
      <c r="J247" s="421"/>
      <c r="K247" s="134"/>
      <c r="L247" s="138"/>
      <c r="M247" s="136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</row>
    <row r="248" spans="1:30" ht="15.75" customHeight="1">
      <c r="A248" s="59"/>
      <c r="B248" s="419"/>
      <c r="C248" s="116"/>
      <c r="D248" s="27"/>
      <c r="E248" s="117"/>
      <c r="F248" s="118"/>
      <c r="G248" s="119"/>
      <c r="H248" s="119"/>
      <c r="I248" s="170"/>
      <c r="J248" s="421"/>
      <c r="K248" s="134"/>
      <c r="L248" s="138"/>
      <c r="M248" s="136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</row>
    <row r="249" spans="1:30" ht="15.75" customHeight="1">
      <c r="A249" s="59"/>
      <c r="B249" s="419"/>
      <c r="C249" s="116"/>
      <c r="D249" s="27"/>
      <c r="E249" s="117"/>
      <c r="F249" s="118"/>
      <c r="G249" s="119"/>
      <c r="H249" s="119"/>
      <c r="I249" s="170"/>
      <c r="J249" s="421"/>
      <c r="K249" s="134"/>
      <c r="L249" s="138"/>
      <c r="M249" s="136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</row>
    <row r="250" spans="1:30" ht="15.75" customHeight="1">
      <c r="A250" s="59"/>
      <c r="B250" s="419"/>
      <c r="C250" s="116"/>
      <c r="D250" s="27"/>
      <c r="E250" s="117"/>
      <c r="F250" s="118"/>
      <c r="G250" s="119"/>
      <c r="H250" s="119"/>
      <c r="I250" s="170"/>
      <c r="J250" s="421"/>
      <c r="K250" s="134"/>
      <c r="L250" s="138"/>
      <c r="M250" s="136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</row>
    <row r="251" spans="1:30" ht="15.75" customHeight="1">
      <c r="A251" s="59"/>
      <c r="B251" s="419"/>
      <c r="C251" s="116"/>
      <c r="D251" s="27"/>
      <c r="E251" s="117"/>
      <c r="F251" s="118"/>
      <c r="G251" s="119"/>
      <c r="H251" s="119"/>
      <c r="I251" s="170"/>
      <c r="J251" s="421"/>
      <c r="K251" s="134"/>
      <c r="L251" s="138"/>
      <c r="M251" s="136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</row>
    <row r="252" spans="1:30" ht="15.75" customHeight="1">
      <c r="A252" s="59"/>
      <c r="B252" s="419"/>
      <c r="C252" s="116"/>
      <c r="D252" s="27"/>
      <c r="E252" s="117"/>
      <c r="F252" s="118"/>
      <c r="G252" s="119"/>
      <c r="H252" s="119"/>
      <c r="I252" s="170"/>
      <c r="J252" s="421"/>
      <c r="K252" s="134"/>
      <c r="L252" s="138"/>
      <c r="M252" s="136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</row>
    <row r="253" spans="1:30" ht="15.75" customHeight="1">
      <c r="A253" s="59"/>
      <c r="B253" s="419"/>
      <c r="C253" s="116"/>
      <c r="D253" s="27"/>
      <c r="E253" s="117"/>
      <c r="F253" s="118"/>
      <c r="G253" s="119"/>
      <c r="H253" s="119"/>
      <c r="I253" s="170"/>
      <c r="J253" s="421"/>
      <c r="K253" s="134"/>
      <c r="L253" s="138"/>
      <c r="M253" s="136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</row>
    <row r="254" spans="1:30" ht="15.75" customHeight="1">
      <c r="A254" s="59"/>
      <c r="B254" s="419"/>
      <c r="C254" s="116"/>
      <c r="D254" s="27"/>
      <c r="E254" s="117"/>
      <c r="F254" s="118"/>
      <c r="G254" s="119"/>
      <c r="H254" s="119"/>
      <c r="I254" s="170"/>
      <c r="J254" s="421"/>
      <c r="K254" s="134"/>
      <c r="L254" s="137"/>
      <c r="M254" s="136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</row>
    <row r="255" spans="1:30" ht="15.75" customHeight="1">
      <c r="A255" s="59"/>
      <c r="B255" s="419"/>
      <c r="C255" s="116"/>
      <c r="D255" s="27"/>
      <c r="E255" s="117"/>
      <c r="F255" s="118"/>
      <c r="G255" s="119"/>
      <c r="H255" s="119"/>
      <c r="I255" s="170"/>
      <c r="J255" s="421"/>
      <c r="K255" s="134"/>
      <c r="L255" s="138"/>
      <c r="M255" s="136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</row>
    <row r="256" spans="1:30" ht="15.75" customHeight="1">
      <c r="A256" s="59"/>
      <c r="B256" s="419"/>
      <c r="C256" s="116"/>
      <c r="D256" s="27"/>
      <c r="E256" s="117"/>
      <c r="F256" s="118"/>
      <c r="G256" s="119"/>
      <c r="H256" s="119"/>
      <c r="I256" s="170"/>
      <c r="J256" s="421"/>
      <c r="K256" s="134"/>
      <c r="L256" s="138"/>
      <c r="M256" s="136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</row>
    <row r="257" spans="1:30" ht="15.75" customHeight="1">
      <c r="A257" s="59"/>
      <c r="B257" s="419"/>
      <c r="C257" s="116"/>
      <c r="D257" s="27"/>
      <c r="E257" s="117"/>
      <c r="F257" s="118"/>
      <c r="G257" s="119"/>
      <c r="H257" s="119"/>
      <c r="I257" s="170"/>
      <c r="J257" s="421"/>
      <c r="K257" s="134"/>
      <c r="L257" s="138"/>
      <c r="M257" s="136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</row>
    <row r="258" spans="1:30" ht="15.75" customHeight="1">
      <c r="A258" s="59"/>
      <c r="B258" s="419"/>
      <c r="C258" s="116"/>
      <c r="D258" s="27"/>
      <c r="E258" s="117"/>
      <c r="F258" s="118"/>
      <c r="G258" s="119"/>
      <c r="H258" s="119"/>
      <c r="I258" s="170"/>
      <c r="J258" s="421"/>
      <c r="K258" s="134"/>
      <c r="L258" s="138"/>
      <c r="M258" s="136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</row>
    <row r="259" spans="1:30" ht="15.75" customHeight="1">
      <c r="A259" s="59"/>
      <c r="B259" s="419"/>
      <c r="C259" s="116"/>
      <c r="D259" s="27"/>
      <c r="E259" s="117"/>
      <c r="F259" s="118"/>
      <c r="G259" s="119"/>
      <c r="H259" s="119"/>
      <c r="I259" s="170"/>
      <c r="J259" s="421"/>
      <c r="K259" s="134"/>
      <c r="L259" s="138"/>
      <c r="M259" s="136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</row>
    <row r="260" spans="1:30" ht="15.75" customHeight="1">
      <c r="A260" s="59"/>
      <c r="B260" s="419"/>
      <c r="C260" s="116"/>
      <c r="D260" s="27"/>
      <c r="E260" s="117"/>
      <c r="F260" s="118"/>
      <c r="G260" s="119"/>
      <c r="H260" s="119"/>
      <c r="I260" s="170"/>
      <c r="J260" s="421"/>
      <c r="K260" s="134"/>
      <c r="L260" s="138"/>
      <c r="M260" s="136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</row>
    <row r="261" spans="1:30" ht="15.75" customHeight="1">
      <c r="A261" s="59"/>
      <c r="B261" s="419"/>
      <c r="C261" s="116"/>
      <c r="D261" s="27"/>
      <c r="E261" s="117"/>
      <c r="F261" s="118"/>
      <c r="G261" s="119"/>
      <c r="H261" s="119"/>
      <c r="I261" s="170"/>
      <c r="J261" s="421"/>
      <c r="K261" s="134"/>
      <c r="L261" s="138"/>
      <c r="M261" s="136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</row>
    <row r="262" spans="1:30" ht="15.75" customHeight="1">
      <c r="A262" s="59"/>
      <c r="B262" s="419"/>
      <c r="C262" s="116"/>
      <c r="D262" s="27"/>
      <c r="E262" s="117"/>
      <c r="F262" s="118"/>
      <c r="G262" s="119"/>
      <c r="H262" s="119"/>
      <c r="I262" s="648"/>
      <c r="J262" s="421"/>
      <c r="K262" s="134"/>
      <c r="L262" s="138"/>
      <c r="M262" s="136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</row>
    <row r="263" spans="1:30" ht="15.75" customHeight="1">
      <c r="A263" s="59"/>
      <c r="B263" s="419"/>
      <c r="C263" s="116"/>
      <c r="D263" s="27"/>
      <c r="E263" s="117"/>
      <c r="F263" s="118"/>
      <c r="G263" s="119"/>
      <c r="H263" s="119"/>
      <c r="I263" s="170"/>
      <c r="J263" s="421"/>
      <c r="K263" s="134"/>
      <c r="L263" s="138"/>
      <c r="M263" s="136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</row>
    <row r="264" spans="1:30" ht="15.75" customHeight="1">
      <c r="A264" s="59"/>
      <c r="B264" s="419"/>
      <c r="C264" s="116"/>
      <c r="D264" s="27"/>
      <c r="E264" s="117"/>
      <c r="F264" s="118"/>
      <c r="G264" s="119"/>
      <c r="H264" s="119"/>
      <c r="I264" s="170"/>
      <c r="J264" s="421"/>
      <c r="K264" s="134"/>
      <c r="L264" s="138"/>
      <c r="M264" s="136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</row>
    <row r="265" spans="1:30" ht="15.75" customHeight="1">
      <c r="A265" s="59"/>
      <c r="B265" s="419"/>
      <c r="C265" s="116"/>
      <c r="D265" s="27"/>
      <c r="E265" s="117"/>
      <c r="F265" s="118"/>
      <c r="G265" s="119"/>
      <c r="H265" s="119"/>
      <c r="I265" s="170"/>
      <c r="J265" s="421"/>
      <c r="K265" s="134"/>
      <c r="L265" s="138"/>
      <c r="M265" s="136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</row>
    <row r="266" spans="1:30" ht="15.75" customHeight="1">
      <c r="A266" s="59"/>
      <c r="B266" s="419"/>
      <c r="C266" s="116"/>
      <c r="D266" s="27"/>
      <c r="E266" s="117"/>
      <c r="F266" s="118"/>
      <c r="G266" s="119"/>
      <c r="H266" s="119"/>
      <c r="I266" s="170"/>
      <c r="J266" s="421"/>
      <c r="K266" s="134"/>
      <c r="L266" s="138"/>
      <c r="M266" s="136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</row>
    <row r="267" spans="1:30" ht="15.75" customHeight="1">
      <c r="A267" s="59"/>
      <c r="B267" s="419"/>
      <c r="C267" s="116"/>
      <c r="D267" s="27"/>
      <c r="E267" s="117"/>
      <c r="F267" s="118"/>
      <c r="G267" s="119"/>
      <c r="H267" s="119"/>
      <c r="I267" s="170"/>
      <c r="J267" s="421"/>
      <c r="K267" s="134"/>
      <c r="L267" s="138"/>
      <c r="M267" s="136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</row>
    <row r="268" spans="1:30" ht="15.75" customHeight="1">
      <c r="A268" s="59"/>
      <c r="B268" s="419"/>
      <c r="C268" s="116"/>
      <c r="D268" s="27"/>
      <c r="E268" s="117"/>
      <c r="F268" s="118"/>
      <c r="G268" s="119"/>
      <c r="H268" s="119"/>
      <c r="I268" s="170"/>
      <c r="J268" s="421"/>
      <c r="K268" s="134"/>
      <c r="L268" s="138"/>
      <c r="M268" s="136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</row>
    <row r="269" spans="1:30" ht="15.75" customHeight="1">
      <c r="A269" s="59"/>
      <c r="B269" s="419"/>
      <c r="C269" s="116"/>
      <c r="D269" s="27"/>
      <c r="E269" s="117"/>
      <c r="F269" s="118"/>
      <c r="G269" s="119"/>
      <c r="H269" s="119"/>
      <c r="I269" s="170"/>
      <c r="J269" s="421"/>
      <c r="K269" s="134"/>
      <c r="L269" s="138"/>
      <c r="M269" s="136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</row>
    <row r="270" spans="1:30" ht="15.75" customHeight="1">
      <c r="A270" s="59"/>
      <c r="B270" s="419"/>
      <c r="C270" s="116"/>
      <c r="D270" s="27"/>
      <c r="E270" s="117"/>
      <c r="F270" s="118"/>
      <c r="G270" s="119"/>
      <c r="H270" s="119"/>
      <c r="I270" s="170"/>
      <c r="J270" s="421"/>
      <c r="K270" s="134"/>
      <c r="L270" s="138"/>
      <c r="M270" s="136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</row>
    <row r="271" spans="1:30" ht="15.75" customHeight="1">
      <c r="A271" s="59"/>
      <c r="B271" s="419"/>
      <c r="C271" s="116"/>
      <c r="D271" s="27"/>
      <c r="E271" s="117"/>
      <c r="F271" s="118"/>
      <c r="G271" s="119"/>
      <c r="H271" s="119"/>
      <c r="I271" s="170"/>
      <c r="J271" s="421"/>
      <c r="K271" s="134"/>
      <c r="L271" s="138"/>
      <c r="M271" s="136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</row>
    <row r="272" spans="1:30" ht="15.75" customHeight="1">
      <c r="A272" s="59"/>
      <c r="B272" s="419"/>
      <c r="C272" s="116"/>
      <c r="D272" s="27"/>
      <c r="E272" s="117"/>
      <c r="F272" s="118"/>
      <c r="G272" s="119"/>
      <c r="H272" s="119"/>
      <c r="I272" s="170"/>
      <c r="J272" s="421"/>
      <c r="K272" s="134"/>
      <c r="L272" s="138"/>
      <c r="M272" s="136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</row>
    <row r="273" spans="1:30" ht="15.75" customHeight="1">
      <c r="A273" s="59"/>
      <c r="B273" s="419"/>
      <c r="C273" s="116"/>
      <c r="D273" s="27"/>
      <c r="E273" s="117"/>
      <c r="F273" s="118"/>
      <c r="G273" s="119"/>
      <c r="H273" s="119"/>
      <c r="I273" s="170"/>
      <c r="J273" s="421"/>
      <c r="K273" s="134"/>
      <c r="L273" s="138"/>
      <c r="M273" s="136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</row>
    <row r="274" spans="1:30" ht="15.75" customHeight="1">
      <c r="A274" s="59"/>
      <c r="B274" s="419"/>
      <c r="C274" s="116"/>
      <c r="D274" s="27"/>
      <c r="E274" s="117"/>
      <c r="F274" s="118"/>
      <c r="G274" s="119"/>
      <c r="H274" s="119"/>
      <c r="I274" s="170"/>
      <c r="J274" s="421"/>
      <c r="K274" s="134"/>
      <c r="L274" s="138"/>
      <c r="M274" s="136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</row>
    <row r="275" spans="1:30" ht="15.75" customHeight="1">
      <c r="A275" s="59"/>
      <c r="B275" s="419"/>
      <c r="C275" s="116"/>
      <c r="D275" s="27"/>
      <c r="E275" s="117"/>
      <c r="F275" s="118"/>
      <c r="G275" s="119"/>
      <c r="H275" s="119"/>
      <c r="I275" s="648"/>
      <c r="J275" s="421"/>
      <c r="K275" s="134"/>
      <c r="L275" s="138"/>
      <c r="M275" s="136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</row>
    <row r="276" spans="1:30" ht="15.75" customHeight="1">
      <c r="A276" s="59"/>
      <c r="B276" s="419"/>
      <c r="C276" s="116"/>
      <c r="D276" s="27"/>
      <c r="E276" s="117"/>
      <c r="F276" s="118"/>
      <c r="G276" s="119"/>
      <c r="H276" s="119"/>
      <c r="I276" s="170"/>
      <c r="J276" s="421"/>
      <c r="K276" s="134"/>
      <c r="L276" s="138"/>
      <c r="M276" s="136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</row>
    <row r="277" spans="1:30" ht="15.75" customHeight="1">
      <c r="A277" s="59"/>
      <c r="B277" s="419"/>
      <c r="C277" s="116"/>
      <c r="D277" s="27"/>
      <c r="E277" s="117"/>
      <c r="F277" s="118"/>
      <c r="G277" s="119"/>
      <c r="H277" s="119"/>
      <c r="I277" s="170"/>
      <c r="J277" s="421"/>
      <c r="K277" s="134"/>
      <c r="L277" s="138"/>
      <c r="M277" s="140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</row>
    <row r="278" spans="1:30" ht="15.75" customHeight="1">
      <c r="A278" s="59"/>
      <c r="B278" s="419"/>
      <c r="C278" s="116"/>
      <c r="D278" s="27"/>
      <c r="E278" s="117"/>
      <c r="F278" s="118"/>
      <c r="G278" s="119"/>
      <c r="H278" s="119"/>
      <c r="I278" s="170"/>
      <c r="J278" s="421"/>
      <c r="K278" s="134"/>
      <c r="L278" s="138"/>
      <c r="M278" s="136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</row>
    <row r="279" spans="1:30" ht="15.75" customHeight="1">
      <c r="A279" s="59"/>
      <c r="B279" s="419"/>
      <c r="C279" s="116"/>
      <c r="D279" s="27"/>
      <c r="E279" s="117"/>
      <c r="F279" s="118"/>
      <c r="G279" s="119"/>
      <c r="H279" s="119"/>
      <c r="I279" s="170"/>
      <c r="J279" s="421"/>
      <c r="K279" s="134"/>
      <c r="L279" s="138"/>
      <c r="M279" s="136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</row>
    <row r="280" spans="1:30" ht="15.75" customHeight="1">
      <c r="A280" s="59"/>
      <c r="B280" s="419"/>
      <c r="C280" s="116"/>
      <c r="D280" s="27"/>
      <c r="E280" s="117"/>
      <c r="F280" s="118"/>
      <c r="G280" s="119"/>
      <c r="H280" s="119"/>
      <c r="I280" s="170"/>
      <c r="J280" s="421"/>
      <c r="K280" s="134"/>
      <c r="L280" s="138"/>
      <c r="M280" s="136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</row>
    <row r="281" spans="1:30" ht="15.75" customHeight="1">
      <c r="A281" s="59"/>
      <c r="B281" s="419"/>
      <c r="C281" s="116"/>
      <c r="D281" s="27"/>
      <c r="E281" s="117"/>
      <c r="F281" s="118"/>
      <c r="G281" s="119"/>
      <c r="H281" s="119"/>
      <c r="I281" s="170"/>
      <c r="J281" s="421"/>
      <c r="K281" s="134"/>
      <c r="L281" s="138"/>
      <c r="M281" s="136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</row>
    <row r="282" spans="1:30" ht="15.75" customHeight="1">
      <c r="A282" s="59"/>
      <c r="B282" s="419"/>
      <c r="C282" s="116"/>
      <c r="D282" s="27"/>
      <c r="E282" s="117"/>
      <c r="F282" s="118"/>
      <c r="G282" s="119"/>
      <c r="H282" s="119"/>
      <c r="I282" s="170"/>
      <c r="J282" s="421"/>
      <c r="K282" s="134"/>
      <c r="L282" s="138"/>
      <c r="M282" s="136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</row>
    <row r="283" spans="1:30" ht="15.75" customHeight="1">
      <c r="A283" s="59"/>
      <c r="B283" s="419"/>
      <c r="C283" s="116"/>
      <c r="D283" s="27"/>
      <c r="E283" s="117"/>
      <c r="F283" s="118"/>
      <c r="G283" s="119"/>
      <c r="H283" s="119"/>
      <c r="I283" s="170"/>
      <c r="J283" s="421"/>
      <c r="K283" s="134"/>
      <c r="L283" s="138"/>
      <c r="M283" s="136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</row>
    <row r="284" spans="1:30" ht="15.75" customHeight="1">
      <c r="A284" s="59"/>
      <c r="B284" s="419"/>
      <c r="C284" s="116"/>
      <c r="D284" s="27"/>
      <c r="E284" s="117"/>
      <c r="F284" s="118"/>
      <c r="G284" s="119"/>
      <c r="H284" s="119"/>
      <c r="I284" s="170"/>
      <c r="J284" s="421"/>
      <c r="K284" s="134"/>
      <c r="L284" s="138"/>
      <c r="M284" s="139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</row>
    <row r="285" spans="1:30" ht="15.75" customHeight="1">
      <c r="A285" s="59"/>
      <c r="B285" s="419"/>
      <c r="C285" s="116"/>
      <c r="D285" s="27"/>
      <c r="E285" s="117"/>
      <c r="F285" s="118"/>
      <c r="G285" s="119"/>
      <c r="H285" s="119"/>
      <c r="I285" s="170"/>
      <c r="J285" s="421"/>
      <c r="K285" s="134"/>
      <c r="L285" s="137"/>
      <c r="M285" s="136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</row>
    <row r="286" spans="1:30" ht="15.75" customHeight="1">
      <c r="A286" s="59"/>
      <c r="B286" s="419"/>
      <c r="C286" s="116"/>
      <c r="D286" s="27"/>
      <c r="E286" s="117"/>
      <c r="F286" s="118"/>
      <c r="G286" s="119"/>
      <c r="H286" s="119"/>
      <c r="I286" s="170"/>
      <c r="J286" s="421"/>
      <c r="K286" s="134"/>
      <c r="L286" s="138"/>
      <c r="M286" s="136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</row>
    <row r="287" spans="1:30" ht="15.75" customHeight="1">
      <c r="A287" s="59"/>
      <c r="B287" s="419"/>
      <c r="C287" s="116"/>
      <c r="D287" s="27"/>
      <c r="E287" s="117"/>
      <c r="F287" s="118"/>
      <c r="G287" s="119"/>
      <c r="H287" s="119"/>
      <c r="I287" s="170"/>
      <c r="J287" s="421"/>
      <c r="K287" s="134"/>
      <c r="L287" s="138"/>
      <c r="M287" s="136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</row>
    <row r="288" spans="1:30" ht="15.75" customHeight="1">
      <c r="A288" s="59"/>
      <c r="B288" s="419"/>
      <c r="C288" s="116"/>
      <c r="D288" s="27"/>
      <c r="E288" s="117"/>
      <c r="F288" s="118"/>
      <c r="G288" s="119"/>
      <c r="H288" s="119"/>
      <c r="I288" s="170"/>
      <c r="J288" s="421"/>
      <c r="K288" s="134"/>
      <c r="L288" s="138"/>
      <c r="M288" s="136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</row>
    <row r="289" spans="1:30" ht="15.75" customHeight="1">
      <c r="A289" s="59"/>
      <c r="B289" s="419"/>
      <c r="C289" s="116"/>
      <c r="D289" s="27"/>
      <c r="E289" s="117"/>
      <c r="F289" s="118"/>
      <c r="G289" s="119"/>
      <c r="H289" s="119"/>
      <c r="I289" s="170"/>
      <c r="J289" s="421"/>
      <c r="K289" s="134"/>
      <c r="L289" s="138"/>
      <c r="M289" s="136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</row>
    <row r="290" spans="1:30" ht="15.75" customHeight="1">
      <c r="A290" s="59"/>
      <c r="B290" s="419"/>
      <c r="C290" s="116"/>
      <c r="D290" s="27"/>
      <c r="E290" s="117"/>
      <c r="F290" s="118"/>
      <c r="G290" s="119"/>
      <c r="H290" s="119"/>
      <c r="I290" s="170"/>
      <c r="J290" s="421"/>
      <c r="K290" s="134"/>
      <c r="L290" s="138"/>
      <c r="M290" s="136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</row>
    <row r="291" spans="1:30" ht="15.75" customHeight="1">
      <c r="A291" s="59"/>
      <c r="B291" s="419"/>
      <c r="C291" s="116"/>
      <c r="D291" s="27"/>
      <c r="E291" s="117"/>
      <c r="F291" s="118"/>
      <c r="G291" s="119"/>
      <c r="H291" s="119"/>
      <c r="I291" s="648"/>
      <c r="J291" s="421"/>
      <c r="K291" s="134"/>
      <c r="L291" s="138"/>
      <c r="M291" s="136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</row>
    <row r="292" spans="1:30" ht="15.75" customHeight="1">
      <c r="A292" s="59"/>
      <c r="B292" s="419"/>
      <c r="C292" s="116"/>
      <c r="D292" s="27"/>
      <c r="E292" s="117"/>
      <c r="F292" s="118"/>
      <c r="G292" s="119"/>
      <c r="H292" s="119"/>
      <c r="I292" s="170"/>
      <c r="J292" s="421"/>
      <c r="K292" s="134"/>
      <c r="L292" s="138"/>
      <c r="M292" s="136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</row>
    <row r="293" spans="1:30" ht="15.75" customHeight="1">
      <c r="A293" s="59"/>
      <c r="B293" s="419"/>
      <c r="C293" s="116"/>
      <c r="D293" s="27"/>
      <c r="E293" s="117"/>
      <c r="F293" s="118"/>
      <c r="G293" s="119"/>
      <c r="H293" s="119"/>
      <c r="I293" s="170"/>
      <c r="J293" s="421"/>
      <c r="K293" s="134"/>
      <c r="L293" s="138"/>
      <c r="M293" s="136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</row>
    <row r="294" spans="1:30" ht="15.75" customHeight="1">
      <c r="A294" s="59"/>
      <c r="B294" s="419"/>
      <c r="C294" s="116"/>
      <c r="D294" s="27"/>
      <c r="E294" s="117"/>
      <c r="F294" s="118"/>
      <c r="G294" s="119"/>
      <c r="H294" s="119"/>
      <c r="I294" s="170"/>
      <c r="J294" s="421"/>
      <c r="K294" s="134"/>
      <c r="L294" s="138"/>
      <c r="M294" s="136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</row>
    <row r="295" spans="1:30" ht="15.75" customHeight="1">
      <c r="A295" s="59"/>
      <c r="B295" s="419"/>
      <c r="C295" s="116"/>
      <c r="D295" s="27"/>
      <c r="E295" s="117"/>
      <c r="F295" s="118"/>
      <c r="G295" s="119"/>
      <c r="H295" s="119"/>
      <c r="I295" s="170"/>
      <c r="J295" s="421"/>
      <c r="K295" s="134"/>
      <c r="L295" s="138"/>
      <c r="M295" s="136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</row>
    <row r="296" spans="1:30" ht="15.75" customHeight="1">
      <c r="A296" s="59"/>
      <c r="B296" s="419"/>
      <c r="C296" s="116"/>
      <c r="D296" s="27"/>
      <c r="E296" s="117"/>
      <c r="F296" s="118"/>
      <c r="G296" s="119"/>
      <c r="H296" s="119"/>
      <c r="I296" s="170"/>
      <c r="J296" s="421"/>
      <c r="K296" s="134"/>
      <c r="L296" s="138"/>
      <c r="M296" s="136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</row>
    <row r="297" spans="1:30" ht="15.75" customHeight="1">
      <c r="A297" s="59"/>
      <c r="B297" s="419"/>
      <c r="C297" s="116"/>
      <c r="D297" s="27"/>
      <c r="E297" s="117"/>
      <c r="F297" s="118"/>
      <c r="G297" s="119"/>
      <c r="H297" s="119"/>
      <c r="I297" s="170"/>
      <c r="J297" s="421"/>
      <c r="K297" s="134"/>
      <c r="L297" s="138"/>
      <c r="M297" s="136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</row>
    <row r="298" spans="1:30" ht="15.75" customHeight="1">
      <c r="A298" s="59"/>
      <c r="B298" s="419"/>
      <c r="C298" s="116"/>
      <c r="D298" s="27"/>
      <c r="E298" s="117"/>
      <c r="F298" s="118"/>
      <c r="G298" s="119"/>
      <c r="H298" s="119"/>
      <c r="I298" s="170"/>
      <c r="J298" s="421"/>
      <c r="K298" s="134"/>
      <c r="L298" s="150"/>
      <c r="M298" s="136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</row>
    <row r="299" spans="1:30" ht="15.75" customHeight="1">
      <c r="A299" s="59"/>
      <c r="B299" s="419"/>
      <c r="C299" s="116"/>
      <c r="D299" s="27"/>
      <c r="E299" s="117"/>
      <c r="F299" s="118"/>
      <c r="G299" s="119"/>
      <c r="H299" s="119"/>
      <c r="I299" s="170"/>
      <c r="J299" s="421"/>
      <c r="K299" s="134"/>
      <c r="L299" s="150"/>
      <c r="M299" s="136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</row>
    <row r="300" spans="1:30" ht="15.75" customHeight="1">
      <c r="A300" s="59"/>
      <c r="B300" s="419"/>
      <c r="C300" s="116"/>
      <c r="D300" s="27"/>
      <c r="E300" s="117"/>
      <c r="F300" s="118"/>
      <c r="G300" s="119"/>
      <c r="H300" s="119"/>
      <c r="I300" s="170"/>
      <c r="J300" s="421"/>
      <c r="K300" s="134"/>
      <c r="L300" s="150"/>
      <c r="M300" s="136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</row>
    <row r="301" spans="1:30" ht="15.75" customHeight="1">
      <c r="A301" s="59"/>
      <c r="B301" s="419"/>
      <c r="C301" s="116"/>
      <c r="D301" s="27"/>
      <c r="E301" s="117"/>
      <c r="F301" s="118"/>
      <c r="G301" s="119"/>
      <c r="H301" s="119"/>
      <c r="I301" s="170"/>
      <c r="J301" s="421"/>
      <c r="K301" s="134"/>
      <c r="L301" s="136"/>
      <c r="M301" s="136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</row>
    <row r="302" spans="1:30" ht="15.75" customHeight="1">
      <c r="A302" s="59"/>
      <c r="B302" s="419"/>
      <c r="C302" s="116"/>
      <c r="D302" s="27"/>
      <c r="E302" s="117"/>
      <c r="F302" s="118"/>
      <c r="G302" s="119"/>
      <c r="H302" s="119"/>
      <c r="I302" s="170"/>
      <c r="J302" s="421"/>
      <c r="K302" s="134"/>
      <c r="L302" s="136"/>
      <c r="M302" s="136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</row>
    <row r="303" spans="1:30" ht="15.75" customHeight="1">
      <c r="A303" s="59"/>
      <c r="B303" s="419"/>
      <c r="C303" s="116"/>
      <c r="D303" s="27"/>
      <c r="E303" s="117"/>
      <c r="F303" s="118"/>
      <c r="G303" s="119"/>
      <c r="H303" s="119"/>
      <c r="I303" s="170"/>
      <c r="J303" s="421"/>
      <c r="K303" s="134"/>
      <c r="L303" s="136"/>
      <c r="M303" s="136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</row>
    <row r="304" spans="1:30" ht="15.75" customHeight="1">
      <c r="A304" s="59"/>
      <c r="B304" s="419"/>
      <c r="C304" s="116"/>
      <c r="D304" s="27"/>
      <c r="E304" s="117"/>
      <c r="F304" s="118"/>
      <c r="G304" s="119"/>
      <c r="H304" s="119"/>
      <c r="I304" s="133"/>
      <c r="J304" s="421"/>
      <c r="K304" s="134"/>
      <c r="L304" s="136"/>
      <c r="M304" s="136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</row>
    <row r="305" spans="1:30" ht="15.75" customHeight="1">
      <c r="A305" s="229"/>
      <c r="B305" s="414"/>
      <c r="C305" s="422"/>
      <c r="D305" s="423"/>
      <c r="E305" s="1149"/>
      <c r="F305" s="1150"/>
      <c r="G305" s="422"/>
      <c r="H305" s="422"/>
      <c r="I305" s="422"/>
      <c r="J305" s="422"/>
      <c r="K305" s="424"/>
      <c r="L305" s="138"/>
      <c r="M305" s="143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</row>
    <row r="306" spans="1:30" ht="15.75" customHeight="1">
      <c r="A306" s="8"/>
      <c r="B306" s="103"/>
      <c r="C306" s="8"/>
      <c r="D306" s="8"/>
      <c r="E306" s="8"/>
      <c r="F306" s="43"/>
      <c r="G306" s="103"/>
      <c r="H306" s="103"/>
      <c r="I306" s="8"/>
      <c r="J306" s="8"/>
      <c r="K306" s="8"/>
      <c r="L306" s="138"/>
      <c r="M306" s="143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</row>
    <row r="307" spans="1:30" ht="18" customHeight="1">
      <c r="A307" s="8"/>
      <c r="B307" s="103"/>
      <c r="C307" s="8"/>
      <c r="D307" s="8"/>
      <c r="E307" s="8"/>
      <c r="F307" s="43"/>
      <c r="G307" s="103"/>
      <c r="H307" s="103"/>
      <c r="I307" s="8"/>
      <c r="J307" s="8"/>
      <c r="K307" s="8"/>
      <c r="L307" s="1151"/>
      <c r="M307" s="1144"/>
      <c r="N307" s="1144"/>
      <c r="O307" s="1144"/>
      <c r="P307" s="1144"/>
      <c r="Q307" s="1144"/>
      <c r="R307" s="1144"/>
      <c r="S307" s="1144"/>
      <c r="T307" s="1144"/>
      <c r="U307" s="1144"/>
      <c r="V307" s="1144"/>
      <c r="W307" s="1144"/>
      <c r="X307" s="1144"/>
      <c r="Y307" s="1144"/>
      <c r="Z307" s="1144"/>
      <c r="AA307" s="1144"/>
      <c r="AB307" s="1144"/>
      <c r="AC307" s="1144"/>
      <c r="AD307" s="1144"/>
    </row>
    <row r="308" spans="1:30" ht="15.75">
      <c r="A308" s="8"/>
      <c r="B308" s="103"/>
      <c r="C308" s="8"/>
      <c r="D308" s="8"/>
      <c r="E308" s="8"/>
      <c r="F308" s="43"/>
      <c r="G308" s="103"/>
      <c r="H308" s="103"/>
      <c r="J308" s="36" t="s">
        <v>358</v>
      </c>
      <c r="K308" s="8"/>
      <c r="L308" s="121"/>
      <c r="M308" s="121"/>
      <c r="N308" s="1143"/>
      <c r="O308" s="1143"/>
      <c r="P308" s="1145"/>
      <c r="Q308" s="1145"/>
      <c r="R308" s="1144"/>
      <c r="S308" s="1144"/>
      <c r="T308" s="1144"/>
      <c r="U308" s="1144"/>
      <c r="V308" s="1144"/>
      <c r="W308" s="1144"/>
      <c r="X308" s="1144"/>
      <c r="Y308" s="1144"/>
      <c r="Z308" s="1144"/>
      <c r="AA308" s="1144"/>
      <c r="AB308" s="1144"/>
      <c r="AC308" s="1144"/>
      <c r="AD308" s="1144"/>
    </row>
    <row r="309" spans="1:30" ht="15.75">
      <c r="A309" s="8"/>
      <c r="B309" s="103"/>
      <c r="C309" s="8"/>
      <c r="D309" s="8"/>
      <c r="E309" s="8"/>
      <c r="F309" s="43"/>
      <c r="G309" s="103"/>
      <c r="H309" s="103"/>
      <c r="J309" s="36"/>
      <c r="K309" s="8"/>
      <c r="L309" s="121"/>
      <c r="M309" s="121"/>
      <c r="N309" s="126"/>
      <c r="O309" s="126"/>
      <c r="P309" s="159"/>
      <c r="Q309" s="159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</row>
    <row r="310" spans="1:30" ht="15.75">
      <c r="A310" s="8"/>
      <c r="C310" s="36" t="s">
        <v>32</v>
      </c>
      <c r="D310" s="8"/>
      <c r="E310" s="8"/>
      <c r="F310" s="43"/>
      <c r="G310" s="103"/>
      <c r="H310" s="103"/>
      <c r="J310" s="36" t="s">
        <v>118</v>
      </c>
      <c r="K310" s="8"/>
      <c r="L310" s="122"/>
      <c r="M310" s="122"/>
      <c r="N310" s="1143"/>
      <c r="O310" s="1143"/>
      <c r="P310" s="1143"/>
      <c r="Q310" s="1143"/>
      <c r="R310" s="1144"/>
      <c r="S310" s="1144"/>
      <c r="T310" s="1144"/>
      <c r="U310" s="1144"/>
      <c r="V310" s="1144"/>
      <c r="W310" s="1144"/>
      <c r="X310" s="1144"/>
      <c r="Y310" s="1144"/>
      <c r="Z310" s="1144"/>
      <c r="AA310" s="1144"/>
      <c r="AB310" s="1144"/>
      <c r="AC310" s="1144"/>
      <c r="AD310" s="1144"/>
    </row>
    <row r="311" spans="1:30" ht="15.75">
      <c r="A311" s="8"/>
      <c r="C311" s="36"/>
      <c r="D311" s="8"/>
      <c r="E311" s="8"/>
      <c r="F311" s="43"/>
      <c r="G311" s="103"/>
      <c r="H311" s="103"/>
      <c r="J311" s="36"/>
      <c r="K311" s="8"/>
      <c r="L311" s="122"/>
      <c r="M311" s="122"/>
      <c r="N311" s="1143"/>
      <c r="O311" s="1143"/>
      <c r="P311" s="1143"/>
      <c r="Q311" s="1143"/>
      <c r="R311" s="1144"/>
      <c r="S311" s="1144"/>
      <c r="T311" s="1144"/>
      <c r="U311" s="1144"/>
      <c r="V311" s="1144"/>
      <c r="W311" s="1144"/>
      <c r="X311" s="1144"/>
      <c r="Y311" s="1144"/>
      <c r="Z311" s="1144"/>
      <c r="AA311" s="1144"/>
      <c r="AB311" s="1144"/>
      <c r="AC311" s="1144"/>
      <c r="AD311" s="1144"/>
    </row>
    <row r="312" spans="1:30" ht="15.75">
      <c r="A312" s="8"/>
      <c r="C312" s="36"/>
      <c r="D312" s="8"/>
      <c r="E312" s="8"/>
      <c r="F312" s="43"/>
      <c r="G312" s="103"/>
      <c r="H312" s="103"/>
      <c r="J312" s="36"/>
      <c r="K312" s="8"/>
      <c r="L312" s="122"/>
      <c r="M312" s="122"/>
      <c r="N312" s="1143"/>
      <c r="O312" s="1143"/>
      <c r="P312" s="1143"/>
      <c r="Q312" s="1143"/>
      <c r="R312" s="1143"/>
      <c r="S312" s="1143"/>
      <c r="T312" s="1143"/>
      <c r="U312" s="1143"/>
      <c r="V312" s="1143"/>
      <c r="W312" s="1143"/>
      <c r="X312" s="1143"/>
      <c r="Y312" s="1143"/>
      <c r="Z312" s="1143"/>
      <c r="AA312" s="1143"/>
      <c r="AB312" s="1143"/>
      <c r="AC312" s="1143"/>
      <c r="AD312" s="1143"/>
    </row>
    <row r="313" spans="1:30" ht="15.75">
      <c r="A313" s="8"/>
      <c r="C313" s="36"/>
      <c r="D313" s="8"/>
      <c r="E313" s="8"/>
      <c r="F313" s="43"/>
      <c r="G313" s="103"/>
      <c r="H313" s="103"/>
      <c r="J313" s="36"/>
      <c r="K313" s="8"/>
      <c r="L313" s="121"/>
      <c r="M313" s="121"/>
      <c r="N313" s="1143"/>
      <c r="O313" s="1143"/>
      <c r="P313" s="1145"/>
      <c r="Q313" s="1145"/>
      <c r="R313" s="1144"/>
      <c r="S313" s="1144"/>
      <c r="T313" s="1144"/>
      <c r="U313" s="1144"/>
      <c r="V313" s="1144"/>
      <c r="W313" s="1144"/>
      <c r="X313" s="1144"/>
      <c r="Y313" s="1144"/>
      <c r="Z313" s="1144"/>
      <c r="AA313" s="1144"/>
      <c r="AB313" s="1144"/>
      <c r="AC313" s="1144"/>
      <c r="AD313" s="1144"/>
    </row>
    <row r="314" spans="1:30" ht="15.75">
      <c r="A314" s="8"/>
      <c r="C314" s="37" t="s">
        <v>33</v>
      </c>
      <c r="D314" s="156"/>
      <c r="E314" s="8"/>
      <c r="F314" s="43"/>
      <c r="G314" s="8"/>
      <c r="H314" s="8"/>
      <c r="J314" s="37" t="s">
        <v>210</v>
      </c>
      <c r="K314" s="425"/>
      <c r="L314" s="121"/>
      <c r="M314" s="121"/>
      <c r="N314" s="1143"/>
      <c r="O314" s="1143"/>
      <c r="P314" s="1145"/>
      <c r="Q314" s="1145"/>
      <c r="R314" s="1144"/>
      <c r="S314" s="1144"/>
      <c r="T314" s="1144"/>
      <c r="U314" s="1144"/>
      <c r="V314" s="1144"/>
      <c r="W314" s="1144"/>
      <c r="X314" s="1144"/>
      <c r="Y314" s="1144"/>
      <c r="Z314" s="1144"/>
      <c r="AA314" s="1144"/>
      <c r="AB314" s="1144"/>
      <c r="AC314" s="1144"/>
      <c r="AD314" s="1144"/>
    </row>
    <row r="315" spans="1:30" ht="15.75">
      <c r="A315" s="8"/>
      <c r="C315" s="36" t="s">
        <v>34</v>
      </c>
      <c r="D315" s="8"/>
      <c r="E315" s="8"/>
      <c r="F315" s="43"/>
      <c r="G315" s="8"/>
      <c r="H315" s="8"/>
      <c r="J315" s="36" t="s">
        <v>211</v>
      </c>
      <c r="K315" s="426"/>
      <c r="L315" s="121"/>
      <c r="M315" s="121"/>
      <c r="N315" s="1143"/>
      <c r="O315" s="1143"/>
      <c r="P315" s="1145"/>
      <c r="Q315" s="1145"/>
      <c r="R315" s="1144"/>
      <c r="S315" s="1144"/>
      <c r="T315" s="1144"/>
      <c r="U315" s="1144"/>
      <c r="V315" s="1144"/>
      <c r="W315" s="1144"/>
      <c r="X315" s="1144"/>
      <c r="Y315" s="1144"/>
      <c r="Z315" s="1144"/>
      <c r="AA315" s="1144"/>
      <c r="AB315" s="1144"/>
      <c r="AC315" s="1144"/>
      <c r="AD315" s="1144"/>
    </row>
    <row r="316" spans="1:30">
      <c r="L316" s="160"/>
      <c r="M316" s="160"/>
      <c r="N316" s="1143"/>
      <c r="O316" s="1143"/>
      <c r="P316" s="1143"/>
      <c r="Q316" s="1143"/>
      <c r="R316" s="1143"/>
      <c r="S316" s="1143"/>
      <c r="T316" s="1143"/>
      <c r="U316" s="1143"/>
      <c r="V316" s="1143"/>
      <c r="W316" s="1143"/>
      <c r="X316" s="1143"/>
      <c r="Y316" s="1143"/>
      <c r="Z316" s="1143"/>
      <c r="AA316" s="1143"/>
      <c r="AB316" s="1143"/>
      <c r="AC316" s="1143"/>
      <c r="AD316" s="1143"/>
    </row>
    <row r="317" spans="1:30">
      <c r="L317" s="161"/>
      <c r="M317" s="161"/>
      <c r="N317" s="1143"/>
      <c r="O317" s="1143"/>
      <c r="P317" s="1143"/>
      <c r="Q317" s="1143"/>
      <c r="R317" s="1143"/>
      <c r="S317" s="1143"/>
      <c r="T317" s="1143"/>
      <c r="U317" s="1143"/>
      <c r="V317" s="1143"/>
      <c r="W317" s="1143"/>
      <c r="X317" s="1143"/>
      <c r="Y317" s="1143"/>
      <c r="Z317" s="1143"/>
      <c r="AA317" s="1143"/>
      <c r="AB317" s="1143"/>
      <c r="AC317" s="1143"/>
      <c r="AD317" s="1143"/>
    </row>
  </sheetData>
  <mergeCells count="49">
    <mergeCell ref="E8:F8"/>
    <mergeCell ref="L8:AD8"/>
    <mergeCell ref="A6:A7"/>
    <mergeCell ref="B6:B7"/>
    <mergeCell ref="C6:C7"/>
    <mergeCell ref="A3:K3"/>
    <mergeCell ref="M5:N5"/>
    <mergeCell ref="O5:AD5"/>
    <mergeCell ref="L6:AD6"/>
    <mergeCell ref="L7:AD7"/>
    <mergeCell ref="D6:D7"/>
    <mergeCell ref="G6:G7"/>
    <mergeCell ref="H6:H7"/>
    <mergeCell ref="I6:I7"/>
    <mergeCell ref="J6:J7"/>
    <mergeCell ref="E6:F7"/>
    <mergeCell ref="K6:K7"/>
    <mergeCell ref="L9:AD9"/>
    <mergeCell ref="A10:K10"/>
    <mergeCell ref="E305:F305"/>
    <mergeCell ref="L307:AD307"/>
    <mergeCell ref="N308:O308"/>
    <mergeCell ref="P308:Q308"/>
    <mergeCell ref="R308:AD308"/>
    <mergeCell ref="P313:Q313"/>
    <mergeCell ref="R313:AD313"/>
    <mergeCell ref="N316:R317"/>
    <mergeCell ref="N314:O314"/>
    <mergeCell ref="P314:Q314"/>
    <mergeCell ref="R314:AD314"/>
    <mergeCell ref="N315:O315"/>
    <mergeCell ref="P315:Q315"/>
    <mergeCell ref="R315:AD315"/>
    <mergeCell ref="N310:O310"/>
    <mergeCell ref="P310:Q310"/>
    <mergeCell ref="V316:X317"/>
    <mergeCell ref="N312:R312"/>
    <mergeCell ref="S312:U312"/>
    <mergeCell ref="V312:X312"/>
    <mergeCell ref="R311:AD311"/>
    <mergeCell ref="Y316:AA317"/>
    <mergeCell ref="AB316:AD317"/>
    <mergeCell ref="N311:O311"/>
    <mergeCell ref="P311:Q311"/>
    <mergeCell ref="S316:U317"/>
    <mergeCell ref="R310:AD310"/>
    <mergeCell ref="Y312:AA312"/>
    <mergeCell ref="AB312:AD312"/>
    <mergeCell ref="N313:O313"/>
  </mergeCells>
  <printOptions horizontalCentered="1"/>
  <pageMargins left="0.24" right="0.24" top="0.39" bottom="0.39" header="0.16" footer="0.67"/>
  <pageSetup paperSize="14" scale="85" orientation="landscape" verticalDpi="360" r:id="rId1"/>
  <headerFooter alignWithMargins="0"/>
  <rowBreaks count="1" manualBreakCount="1">
    <brk id="276" max="10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S1266"/>
  <sheetViews>
    <sheetView view="pageBreakPreview" zoomScale="80" workbookViewId="0">
      <selection activeCell="A298" sqref="A298:P305"/>
    </sheetView>
  </sheetViews>
  <sheetFormatPr defaultColWidth="9" defaultRowHeight="15"/>
  <cols>
    <col min="1" max="1" width="4.7109375" customWidth="1"/>
    <col min="2" max="2" width="11.7109375" customWidth="1"/>
    <col min="3" max="3" width="29.85546875" customWidth="1"/>
    <col min="4" max="4" width="12" customWidth="1"/>
    <col min="5" max="5" width="11" customWidth="1"/>
    <col min="6" max="6" width="9.140625" customWidth="1"/>
    <col min="7" max="7" width="7.5703125" style="41" customWidth="1"/>
    <col min="8" max="8" width="26.7109375" customWidth="1"/>
    <col min="9" max="9" width="13.7109375" customWidth="1"/>
    <col min="10" max="10" width="13.42578125" customWidth="1"/>
    <col min="11" max="11" width="12.7109375" customWidth="1"/>
    <col min="12" max="12" width="22.140625" customWidth="1"/>
    <col min="13" max="13" width="14" style="42" customWidth="1"/>
    <col min="14" max="14" width="7.85546875" customWidth="1"/>
    <col min="15" max="15" width="13.5703125" customWidth="1"/>
    <col min="16" max="16" width="12.5703125" customWidth="1"/>
  </cols>
  <sheetData>
    <row r="1" spans="1:17" ht="15.75">
      <c r="A1" s="8"/>
      <c r="B1" s="8"/>
      <c r="C1" s="8"/>
      <c r="D1" s="8"/>
      <c r="E1" s="8"/>
      <c r="F1" s="8"/>
      <c r="G1" s="43"/>
      <c r="H1" s="8"/>
      <c r="I1" s="8"/>
      <c r="J1" s="8"/>
      <c r="K1" s="8"/>
      <c r="L1" s="8"/>
      <c r="M1" s="66"/>
      <c r="N1" s="8"/>
      <c r="O1" s="8"/>
      <c r="P1" s="9" t="s">
        <v>46</v>
      </c>
    </row>
    <row r="2" spans="1:17" ht="15.75">
      <c r="A2" s="8"/>
      <c r="B2" s="8" t="s">
        <v>47</v>
      </c>
      <c r="C2" s="10" t="s">
        <v>48</v>
      </c>
      <c r="D2" s="8"/>
      <c r="E2" s="8"/>
      <c r="F2" s="8"/>
      <c r="G2" s="43"/>
      <c r="H2" s="8"/>
      <c r="K2" s="8"/>
      <c r="L2" s="8"/>
      <c r="M2" s="66"/>
      <c r="N2" s="8"/>
      <c r="O2" s="8"/>
      <c r="P2" s="11"/>
    </row>
    <row r="3" spans="1:17" ht="15.75">
      <c r="A3" s="8"/>
      <c r="B3" s="8" t="s">
        <v>49</v>
      </c>
      <c r="C3" s="10" t="s">
        <v>50</v>
      </c>
      <c r="D3" s="8"/>
      <c r="E3" s="8"/>
      <c r="F3" s="8"/>
      <c r="G3" s="43"/>
      <c r="H3" s="8"/>
      <c r="K3" s="8"/>
      <c r="L3" s="8"/>
      <c r="M3" s="66"/>
      <c r="N3" s="8"/>
      <c r="O3" s="8"/>
      <c r="P3" s="11"/>
    </row>
    <row r="4" spans="1:17" ht="15.75">
      <c r="A4" s="8"/>
      <c r="B4" s="8" t="s">
        <v>51</v>
      </c>
      <c r="C4" s="10" t="s">
        <v>52</v>
      </c>
      <c r="D4" s="8"/>
      <c r="E4" s="8"/>
      <c r="F4" s="8"/>
      <c r="G4" s="43"/>
      <c r="H4" s="8"/>
      <c r="K4" s="8"/>
      <c r="L4" s="8"/>
      <c r="M4" s="66"/>
      <c r="N4" s="8"/>
      <c r="O4" s="8"/>
      <c r="P4" s="11"/>
    </row>
    <row r="5" spans="1:17" ht="18.75">
      <c r="A5" s="1140" t="s">
        <v>53</v>
      </c>
      <c r="B5" s="1140"/>
      <c r="C5" s="1140"/>
      <c r="D5" s="1140"/>
      <c r="E5" s="1140"/>
      <c r="F5" s="1140"/>
      <c r="G5" s="1140"/>
      <c r="H5" s="1140"/>
      <c r="I5" s="1140"/>
      <c r="J5" s="1140"/>
      <c r="K5" s="1140"/>
      <c r="L5" s="1140"/>
      <c r="M5" s="1140"/>
      <c r="N5" s="1140"/>
      <c r="O5" s="1140"/>
      <c r="P5" s="1140"/>
    </row>
    <row r="6" spans="1:17" ht="15.75">
      <c r="A6" s="8"/>
      <c r="B6" s="8"/>
      <c r="C6" s="8"/>
      <c r="D6" s="8"/>
      <c r="E6" s="8"/>
      <c r="F6" s="8"/>
      <c r="G6" s="43"/>
      <c r="H6" s="8"/>
      <c r="I6" s="8"/>
      <c r="J6" s="8"/>
      <c r="K6" s="8"/>
      <c r="L6" s="8"/>
      <c r="M6" s="67"/>
      <c r="N6" s="8"/>
      <c r="O6" s="8"/>
      <c r="P6" s="8"/>
    </row>
    <row r="7" spans="1:17">
      <c r="A7" s="44"/>
      <c r="B7" s="1162" t="s">
        <v>54</v>
      </c>
      <c r="C7" s="1163"/>
      <c r="D7" s="1163"/>
      <c r="E7" s="1163"/>
      <c r="F7" s="1163"/>
      <c r="G7" s="1163"/>
      <c r="H7" s="1163"/>
      <c r="I7" s="1163"/>
      <c r="J7" s="1164"/>
      <c r="K7" s="1162" t="s">
        <v>55</v>
      </c>
      <c r="L7" s="1163"/>
      <c r="M7" s="1163"/>
      <c r="N7" s="1163"/>
      <c r="O7" s="1164"/>
      <c r="P7" s="44"/>
    </row>
    <row r="8" spans="1:17" ht="15" customHeight="1">
      <c r="A8" s="1133" t="s">
        <v>2</v>
      </c>
      <c r="B8" s="1136" t="s">
        <v>56</v>
      </c>
      <c r="C8" s="1136" t="s">
        <v>57</v>
      </c>
      <c r="D8" s="1136" t="s">
        <v>58</v>
      </c>
      <c r="E8" s="1136" t="s">
        <v>59</v>
      </c>
      <c r="F8" s="1169" t="s">
        <v>60</v>
      </c>
      <c r="G8" s="1170"/>
      <c r="H8" s="1136" t="s">
        <v>61</v>
      </c>
      <c r="I8" s="1165" t="s">
        <v>62</v>
      </c>
      <c r="J8" s="1166"/>
      <c r="K8" s="1136" t="s">
        <v>63</v>
      </c>
      <c r="L8" s="1136" t="s">
        <v>64</v>
      </c>
      <c r="M8" s="1169" t="s">
        <v>60</v>
      </c>
      <c r="N8" s="1170"/>
      <c r="O8" s="1136" t="s">
        <v>65</v>
      </c>
      <c r="P8" s="1133" t="s">
        <v>11</v>
      </c>
    </row>
    <row r="9" spans="1:17">
      <c r="A9" s="1135"/>
      <c r="B9" s="1138"/>
      <c r="C9" s="1138"/>
      <c r="D9" s="1138"/>
      <c r="E9" s="1138"/>
      <c r="F9" s="1171"/>
      <c r="G9" s="1172"/>
      <c r="H9" s="1138"/>
      <c r="I9" s="68" t="s">
        <v>3</v>
      </c>
      <c r="J9" s="69" t="s">
        <v>13</v>
      </c>
      <c r="K9" s="1138"/>
      <c r="L9" s="1138"/>
      <c r="M9" s="1171"/>
      <c r="N9" s="1172"/>
      <c r="O9" s="1138"/>
      <c r="P9" s="1135"/>
    </row>
    <row r="10" spans="1:17">
      <c r="A10" s="47">
        <v>1</v>
      </c>
      <c r="B10" s="48">
        <v>2</v>
      </c>
      <c r="C10" s="48">
        <v>3</v>
      </c>
      <c r="D10" s="48">
        <v>4</v>
      </c>
      <c r="E10" s="48">
        <v>5</v>
      </c>
      <c r="F10" s="1167">
        <v>6</v>
      </c>
      <c r="G10" s="1168"/>
      <c r="H10" s="48">
        <v>7</v>
      </c>
      <c r="I10" s="48">
        <v>8</v>
      </c>
      <c r="J10" s="47">
        <v>9</v>
      </c>
      <c r="K10" s="48">
        <v>10</v>
      </c>
      <c r="L10" s="48">
        <v>11</v>
      </c>
      <c r="M10" s="1167">
        <v>12</v>
      </c>
      <c r="N10" s="1168"/>
      <c r="O10" s="47">
        <v>13</v>
      </c>
      <c r="P10" s="47">
        <v>14</v>
      </c>
    </row>
    <row r="11" spans="1:17">
      <c r="A11" s="49"/>
      <c r="B11" s="50"/>
      <c r="C11" s="50"/>
      <c r="D11" s="50"/>
      <c r="E11" s="50"/>
      <c r="F11" s="51"/>
      <c r="G11" s="52"/>
      <c r="H11" s="50"/>
      <c r="I11" s="70"/>
      <c r="J11" s="23"/>
      <c r="K11" s="71"/>
      <c r="L11" s="71"/>
      <c r="M11" s="72"/>
      <c r="N11" s="73"/>
      <c r="O11" s="23"/>
      <c r="P11" s="23"/>
    </row>
    <row r="12" spans="1:17" ht="15.75" customHeight="1">
      <c r="A12" s="1159" t="str">
        <f>'LAMP.8 (I)'!A10:M10</f>
        <v>1. Alat Tulis Kantor</v>
      </c>
      <c r="B12" s="1160"/>
      <c r="C12" s="1160"/>
      <c r="D12" s="1160"/>
      <c r="E12" s="1160"/>
      <c r="F12" s="1160"/>
      <c r="G12" s="1160"/>
      <c r="H12" s="1160"/>
      <c r="I12" s="1160"/>
      <c r="J12" s="1160"/>
      <c r="K12" s="1160"/>
      <c r="L12" s="1160"/>
      <c r="M12" s="1160"/>
      <c r="N12" s="1160"/>
      <c r="O12" s="1160"/>
      <c r="P12" s="1161"/>
    </row>
    <row r="13" spans="1:17" ht="15.75" customHeight="1">
      <c r="A13" s="53"/>
      <c r="B13" s="54"/>
      <c r="C13" s="55"/>
      <c r="D13" s="56"/>
      <c r="E13" s="56"/>
      <c r="F13" s="57"/>
      <c r="G13" s="58"/>
      <c r="H13" s="56"/>
      <c r="I13" s="74"/>
      <c r="J13" s="75"/>
      <c r="K13" s="76"/>
      <c r="L13" s="77"/>
      <c r="M13" s="78"/>
      <c r="N13" s="79"/>
      <c r="O13" s="75"/>
      <c r="P13" s="75"/>
      <c r="Q13" s="84"/>
    </row>
    <row r="14" spans="1:17" ht="15.75" customHeight="1">
      <c r="A14" s="53"/>
      <c r="B14" s="54"/>
      <c r="C14" s="55"/>
      <c r="D14" s="56"/>
      <c r="E14" s="56"/>
      <c r="F14" s="57"/>
      <c r="G14" s="645"/>
      <c r="H14" s="56"/>
      <c r="I14" s="74"/>
      <c r="J14" s="75"/>
      <c r="K14" s="76"/>
      <c r="L14" s="77"/>
      <c r="M14" s="78"/>
      <c r="N14" s="646"/>
      <c r="O14" s="647"/>
      <c r="P14" s="75"/>
      <c r="Q14" s="84"/>
    </row>
    <row r="15" spans="1:17" ht="15.75" customHeight="1">
      <c r="A15" s="53"/>
      <c r="B15" s="54"/>
      <c r="C15" s="55"/>
      <c r="D15" s="56"/>
      <c r="E15" s="56"/>
      <c r="F15" s="57"/>
      <c r="G15" s="645"/>
      <c r="H15" s="56"/>
      <c r="I15" s="74"/>
      <c r="J15" s="75"/>
      <c r="K15" s="76"/>
      <c r="L15" s="77"/>
      <c r="M15" s="78"/>
      <c r="N15" s="646"/>
      <c r="O15" s="647"/>
      <c r="P15" s="75"/>
      <c r="Q15" s="84"/>
    </row>
    <row r="16" spans="1:17" ht="15.75" customHeight="1">
      <c r="A16" s="53"/>
      <c r="B16" s="54"/>
      <c r="C16" s="55"/>
      <c r="D16" s="56"/>
      <c r="E16" s="56"/>
      <c r="F16" s="57"/>
      <c r="G16" s="645"/>
      <c r="H16" s="56"/>
      <c r="I16" s="74"/>
      <c r="J16" s="75"/>
      <c r="K16" s="76"/>
      <c r="L16" s="77"/>
      <c r="M16" s="78"/>
      <c r="N16" s="646"/>
      <c r="O16" s="647"/>
      <c r="P16" s="75"/>
      <c r="Q16" s="84"/>
    </row>
    <row r="17" spans="1:17" ht="15.75" customHeight="1">
      <c r="A17" s="53"/>
      <c r="B17" s="54"/>
      <c r="C17" s="55"/>
      <c r="D17" s="56"/>
      <c r="E17" s="56"/>
      <c r="F17" s="57"/>
      <c r="G17" s="645"/>
      <c r="H17" s="56"/>
      <c r="I17" s="74"/>
      <c r="J17" s="75"/>
      <c r="K17" s="76"/>
      <c r="L17" s="77"/>
      <c r="M17" s="78"/>
      <c r="N17" s="646"/>
      <c r="O17" s="647"/>
      <c r="P17" s="75"/>
      <c r="Q17" s="84"/>
    </row>
    <row r="18" spans="1:17" ht="15.75" customHeight="1">
      <c r="A18" s="53"/>
      <c r="B18" s="54"/>
      <c r="C18" s="55"/>
      <c r="D18" s="56"/>
      <c r="E18" s="56"/>
      <c r="F18" s="57"/>
      <c r="G18" s="645"/>
      <c r="H18" s="56"/>
      <c r="I18" s="74"/>
      <c r="J18" s="75"/>
      <c r="K18" s="76"/>
      <c r="L18" s="77"/>
      <c r="M18" s="78"/>
      <c r="N18" s="646"/>
      <c r="O18" s="647"/>
      <c r="P18" s="75"/>
      <c r="Q18" s="84"/>
    </row>
    <row r="19" spans="1:17" ht="15.75" customHeight="1">
      <c r="A19" s="53"/>
      <c r="B19" s="54"/>
      <c r="C19" s="55"/>
      <c r="D19" s="56"/>
      <c r="E19" s="56"/>
      <c r="F19" s="57"/>
      <c r="G19" s="645"/>
      <c r="H19" s="56"/>
      <c r="I19" s="74"/>
      <c r="J19" s="75"/>
      <c r="K19" s="76"/>
      <c r="L19" s="77"/>
      <c r="M19" s="78"/>
      <c r="N19" s="646"/>
      <c r="O19" s="647"/>
      <c r="P19" s="75"/>
      <c r="Q19" s="84"/>
    </row>
    <row r="20" spans="1:17" ht="15.75" customHeight="1">
      <c r="A20" s="53"/>
      <c r="B20" s="54"/>
      <c r="C20" s="55"/>
      <c r="D20" s="56"/>
      <c r="E20" s="56"/>
      <c r="F20" s="57"/>
      <c r="G20" s="645"/>
      <c r="H20" s="56"/>
      <c r="I20" s="74"/>
      <c r="J20" s="75"/>
      <c r="K20" s="76"/>
      <c r="L20" s="77"/>
      <c r="M20" s="78"/>
      <c r="N20" s="646"/>
      <c r="O20" s="647"/>
      <c r="P20" s="75"/>
      <c r="Q20" s="84"/>
    </row>
    <row r="21" spans="1:17" ht="15.75" customHeight="1">
      <c r="A21" s="53"/>
      <c r="B21" s="54"/>
      <c r="C21" s="55"/>
      <c r="D21" s="56"/>
      <c r="E21" s="56"/>
      <c r="F21" s="57"/>
      <c r="G21" s="645"/>
      <c r="H21" s="56"/>
      <c r="I21" s="74"/>
      <c r="J21" s="75"/>
      <c r="K21" s="76"/>
      <c r="L21" s="77"/>
      <c r="M21" s="78"/>
      <c r="N21" s="646"/>
      <c r="O21" s="647"/>
      <c r="P21" s="75"/>
      <c r="Q21" s="84"/>
    </row>
    <row r="22" spans="1:17" ht="15.75" customHeight="1">
      <c r="A22" s="53"/>
      <c r="B22" s="54"/>
      <c r="C22" s="55"/>
      <c r="D22" s="56"/>
      <c r="E22" s="56"/>
      <c r="F22" s="57"/>
      <c r="G22" s="645"/>
      <c r="H22" s="56"/>
      <c r="I22" s="74"/>
      <c r="J22" s="75"/>
      <c r="K22" s="76"/>
      <c r="L22" s="77"/>
      <c r="M22" s="78"/>
      <c r="N22" s="646"/>
      <c r="O22" s="647"/>
      <c r="P22" s="75"/>
      <c r="Q22" s="84"/>
    </row>
    <row r="23" spans="1:17" ht="15.75" customHeight="1">
      <c r="A23" s="53"/>
      <c r="B23" s="54"/>
      <c r="C23" s="55"/>
      <c r="D23" s="56"/>
      <c r="E23" s="56"/>
      <c r="F23" s="57"/>
      <c r="G23" s="645"/>
      <c r="H23" s="56"/>
      <c r="I23" s="74"/>
      <c r="J23" s="75"/>
      <c r="K23" s="76"/>
      <c r="L23" s="77"/>
      <c r="M23" s="78"/>
      <c r="N23" s="646"/>
      <c r="O23" s="647"/>
      <c r="P23" s="75"/>
      <c r="Q23" s="84"/>
    </row>
    <row r="24" spans="1:17" ht="15.75" customHeight="1">
      <c r="A24" s="53"/>
      <c r="B24" s="54"/>
      <c r="C24" s="55"/>
      <c r="D24" s="56"/>
      <c r="E24" s="56"/>
      <c r="F24" s="57"/>
      <c r="G24" s="645"/>
      <c r="H24" s="56"/>
      <c r="I24" s="74"/>
      <c r="J24" s="75"/>
      <c r="K24" s="76"/>
      <c r="L24" s="77"/>
      <c r="M24" s="78"/>
      <c r="N24" s="646"/>
      <c r="O24" s="647"/>
      <c r="P24" s="75"/>
      <c r="Q24" s="84"/>
    </row>
    <row r="25" spans="1:17" ht="15.75" customHeight="1">
      <c r="A25" s="53"/>
      <c r="B25" s="54"/>
      <c r="C25" s="55"/>
      <c r="D25" s="56"/>
      <c r="E25" s="56"/>
      <c r="F25" s="57"/>
      <c r="G25" s="645"/>
      <c r="H25" s="56"/>
      <c r="I25" s="74"/>
      <c r="J25" s="75"/>
      <c r="K25" s="76"/>
      <c r="L25" s="77"/>
      <c r="M25" s="78"/>
      <c r="N25" s="646"/>
      <c r="O25" s="647"/>
      <c r="P25" s="75"/>
      <c r="Q25" s="84"/>
    </row>
    <row r="26" spans="1:17" ht="15.75" customHeight="1">
      <c r="A26" s="53"/>
      <c r="B26" s="54"/>
      <c r="C26" s="55"/>
      <c r="D26" s="56"/>
      <c r="E26" s="56"/>
      <c r="F26" s="57"/>
      <c r="G26" s="645"/>
      <c r="H26" s="56"/>
      <c r="I26" s="74"/>
      <c r="J26" s="75"/>
      <c r="K26" s="76"/>
      <c r="L26" s="77"/>
      <c r="M26" s="78"/>
      <c r="N26" s="646"/>
      <c r="O26" s="647"/>
      <c r="P26" s="75"/>
      <c r="Q26" s="84"/>
    </row>
    <row r="27" spans="1:17" ht="15.75" customHeight="1">
      <c r="A27" s="53"/>
      <c r="B27" s="54"/>
      <c r="C27" s="55"/>
      <c r="D27" s="56"/>
      <c r="E27" s="56"/>
      <c r="F27" s="57"/>
      <c r="G27" s="645"/>
      <c r="H27" s="56"/>
      <c r="I27" s="74"/>
      <c r="J27" s="75"/>
      <c r="K27" s="76"/>
      <c r="L27" s="77"/>
      <c r="M27" s="78"/>
      <c r="N27" s="646"/>
      <c r="O27" s="647"/>
      <c r="P27" s="75"/>
      <c r="Q27" s="84"/>
    </row>
    <row r="28" spans="1:17" ht="15.75" customHeight="1">
      <c r="A28" s="53"/>
      <c r="B28" s="54"/>
      <c r="C28" s="55"/>
      <c r="D28" s="56"/>
      <c r="E28" s="56"/>
      <c r="F28" s="57"/>
      <c r="G28" s="645"/>
      <c r="H28" s="56"/>
      <c r="I28" s="74"/>
      <c r="J28" s="75"/>
      <c r="K28" s="76"/>
      <c r="L28" s="77"/>
      <c r="M28" s="78"/>
      <c r="N28" s="646"/>
      <c r="O28" s="647"/>
      <c r="P28" s="75"/>
      <c r="Q28" s="84"/>
    </row>
    <row r="29" spans="1:17" ht="15.75" customHeight="1">
      <c r="A29" s="53"/>
      <c r="B29" s="54"/>
      <c r="C29" s="55"/>
      <c r="D29" s="56"/>
      <c r="E29" s="56"/>
      <c r="F29" s="57"/>
      <c r="G29" s="645"/>
      <c r="H29" s="56"/>
      <c r="I29" s="74"/>
      <c r="J29" s="75"/>
      <c r="K29" s="76"/>
      <c r="L29" s="77"/>
      <c r="M29" s="78"/>
      <c r="N29" s="646"/>
      <c r="O29" s="647"/>
      <c r="P29" s="75"/>
      <c r="Q29" s="84"/>
    </row>
    <row r="30" spans="1:17" ht="15.75" customHeight="1">
      <c r="A30" s="53"/>
      <c r="B30" s="54"/>
      <c r="C30" s="55"/>
      <c r="D30" s="56"/>
      <c r="E30" s="56"/>
      <c r="F30" s="57"/>
      <c r="G30" s="645"/>
      <c r="H30" s="56"/>
      <c r="I30" s="74"/>
      <c r="J30" s="75"/>
      <c r="K30" s="76"/>
      <c r="L30" s="77"/>
      <c r="M30" s="78"/>
      <c r="N30" s="646"/>
      <c r="O30" s="647"/>
      <c r="P30" s="75"/>
      <c r="Q30" s="84"/>
    </row>
    <row r="31" spans="1:17" ht="15.75" customHeight="1">
      <c r="A31" s="53"/>
      <c r="B31" s="54"/>
      <c r="C31" s="55"/>
      <c r="D31" s="56"/>
      <c r="E31" s="56"/>
      <c r="F31" s="57"/>
      <c r="G31" s="645"/>
      <c r="H31" s="56"/>
      <c r="I31" s="74"/>
      <c r="J31" s="75"/>
      <c r="K31" s="76"/>
      <c r="L31" s="77"/>
      <c r="M31" s="78"/>
      <c r="N31" s="646"/>
      <c r="O31" s="647"/>
      <c r="P31" s="75"/>
      <c r="Q31" s="84"/>
    </row>
    <row r="32" spans="1:17" ht="15.75" customHeight="1">
      <c r="A32" s="53"/>
      <c r="B32" s="54"/>
      <c r="C32" s="55"/>
      <c r="D32" s="56"/>
      <c r="E32" s="56"/>
      <c r="F32" s="57"/>
      <c r="G32" s="645"/>
      <c r="H32" s="56"/>
      <c r="I32" s="74"/>
      <c r="J32" s="75"/>
      <c r="K32" s="76"/>
      <c r="L32" s="77"/>
      <c r="M32" s="78"/>
      <c r="N32" s="646"/>
      <c r="O32" s="647"/>
      <c r="P32" s="75"/>
      <c r="Q32" s="84"/>
    </row>
    <row r="33" spans="1:17" ht="15.75" customHeight="1">
      <c r="A33" s="53"/>
      <c r="B33" s="54"/>
      <c r="C33" s="55"/>
      <c r="D33" s="56"/>
      <c r="E33" s="56"/>
      <c r="F33" s="57"/>
      <c r="G33" s="645"/>
      <c r="H33" s="56"/>
      <c r="I33" s="74"/>
      <c r="J33" s="75"/>
      <c r="K33" s="76"/>
      <c r="L33" s="77"/>
      <c r="M33" s="78"/>
      <c r="N33" s="646"/>
      <c r="O33" s="647"/>
      <c r="P33" s="75"/>
      <c r="Q33" s="84"/>
    </row>
    <row r="34" spans="1:17" ht="15.75" customHeight="1">
      <c r="A34" s="53"/>
      <c r="B34" s="54"/>
      <c r="C34" s="55"/>
      <c r="D34" s="56"/>
      <c r="E34" s="56"/>
      <c r="F34" s="57"/>
      <c r="G34" s="645"/>
      <c r="H34" s="56"/>
      <c r="I34" s="74"/>
      <c r="J34" s="75"/>
      <c r="K34" s="76"/>
      <c r="L34" s="77"/>
      <c r="M34" s="78"/>
      <c r="N34" s="646"/>
      <c r="O34" s="647"/>
      <c r="P34" s="75"/>
      <c r="Q34" s="84"/>
    </row>
    <row r="35" spans="1:17" ht="15.75" customHeight="1">
      <c r="A35" s="53"/>
      <c r="B35" s="54"/>
      <c r="C35" s="55"/>
      <c r="D35" s="56"/>
      <c r="E35" s="56"/>
      <c r="F35" s="57"/>
      <c r="G35" s="645"/>
      <c r="H35" s="56"/>
      <c r="I35" s="74"/>
      <c r="J35" s="75"/>
      <c r="K35" s="76"/>
      <c r="L35" s="77"/>
      <c r="M35" s="78"/>
      <c r="N35" s="646"/>
      <c r="O35" s="647"/>
      <c r="P35" s="75"/>
      <c r="Q35" s="84"/>
    </row>
    <row r="36" spans="1:17" ht="15.75" customHeight="1">
      <c r="A36" s="53"/>
      <c r="B36" s="54"/>
      <c r="C36" s="55"/>
      <c r="D36" s="56"/>
      <c r="E36" s="56"/>
      <c r="F36" s="57"/>
      <c r="G36" s="645"/>
      <c r="H36" s="56"/>
      <c r="I36" s="74"/>
      <c r="J36" s="75"/>
      <c r="K36" s="76"/>
      <c r="L36" s="77"/>
      <c r="M36" s="78"/>
      <c r="N36" s="646"/>
      <c r="O36" s="647"/>
      <c r="P36" s="75"/>
      <c r="Q36" s="84"/>
    </row>
    <row r="37" spans="1:17" ht="15.75" customHeight="1">
      <c r="A37" s="53"/>
      <c r="B37" s="54"/>
      <c r="C37" s="55"/>
      <c r="D37" s="56"/>
      <c r="E37" s="56"/>
      <c r="F37" s="57"/>
      <c r="G37" s="645"/>
      <c r="H37" s="56"/>
      <c r="I37" s="74"/>
      <c r="J37" s="75"/>
      <c r="K37" s="76"/>
      <c r="L37" s="77"/>
      <c r="M37" s="78"/>
      <c r="N37" s="646"/>
      <c r="O37" s="647"/>
      <c r="P37" s="75"/>
      <c r="Q37" s="84"/>
    </row>
    <row r="38" spans="1:17" ht="15.75" customHeight="1">
      <c r="A38" s="53"/>
      <c r="B38" s="54"/>
      <c r="C38" s="55"/>
      <c r="D38" s="56"/>
      <c r="E38" s="56"/>
      <c r="F38" s="57"/>
      <c r="G38" s="645"/>
      <c r="H38" s="56"/>
      <c r="I38" s="74"/>
      <c r="J38" s="75"/>
      <c r="K38" s="76"/>
      <c r="L38" s="77"/>
      <c r="M38" s="78"/>
      <c r="N38" s="646"/>
      <c r="O38" s="647"/>
      <c r="P38" s="75"/>
      <c r="Q38" s="84"/>
    </row>
    <row r="39" spans="1:17" ht="15.75" customHeight="1">
      <c r="A39" s="53"/>
      <c r="B39" s="54"/>
      <c r="C39" s="55"/>
      <c r="D39" s="56"/>
      <c r="E39" s="56"/>
      <c r="F39" s="57"/>
      <c r="G39" s="645"/>
      <c r="H39" s="56"/>
      <c r="I39" s="74"/>
      <c r="J39" s="75"/>
      <c r="K39" s="76"/>
      <c r="L39" s="77"/>
      <c r="M39" s="78"/>
      <c r="N39" s="646"/>
      <c r="O39" s="647"/>
      <c r="P39" s="75"/>
      <c r="Q39" s="84"/>
    </row>
    <row r="40" spans="1:17" ht="15.75" customHeight="1">
      <c r="A40" s="53"/>
      <c r="B40" s="54"/>
      <c r="C40" s="55"/>
      <c r="D40" s="56"/>
      <c r="E40" s="56"/>
      <c r="F40" s="57"/>
      <c r="G40" s="645"/>
      <c r="H40" s="56"/>
      <c r="I40" s="74"/>
      <c r="J40" s="75"/>
      <c r="K40" s="76"/>
      <c r="L40" s="77"/>
      <c r="M40" s="78"/>
      <c r="N40" s="646"/>
      <c r="O40" s="647"/>
      <c r="P40" s="75"/>
      <c r="Q40" s="84"/>
    </row>
    <row r="41" spans="1:17" ht="15.75" customHeight="1">
      <c r="A41" s="53"/>
      <c r="B41" s="54"/>
      <c r="C41" s="55"/>
      <c r="D41" s="56"/>
      <c r="E41" s="56"/>
      <c r="F41" s="57"/>
      <c r="G41" s="645"/>
      <c r="H41" s="56"/>
      <c r="I41" s="74"/>
      <c r="J41" s="75"/>
      <c r="K41" s="76"/>
      <c r="L41" s="77"/>
      <c r="M41" s="78"/>
      <c r="N41" s="646"/>
      <c r="O41" s="647"/>
      <c r="P41" s="75"/>
      <c r="Q41" s="84"/>
    </row>
    <row r="42" spans="1:17" ht="15.75" customHeight="1">
      <c r="A42" s="53"/>
      <c r="B42" s="54"/>
      <c r="C42" s="55"/>
      <c r="D42" s="56"/>
      <c r="E42" s="56"/>
      <c r="F42" s="57"/>
      <c r="G42" s="645"/>
      <c r="H42" s="56"/>
      <c r="I42" s="74"/>
      <c r="J42" s="75"/>
      <c r="K42" s="76"/>
      <c r="L42" s="77"/>
      <c r="M42" s="78"/>
      <c r="N42" s="646"/>
      <c r="O42" s="647"/>
      <c r="P42" s="75"/>
      <c r="Q42" s="84"/>
    </row>
    <row r="43" spans="1:17" ht="15.75" customHeight="1">
      <c r="A43" s="53"/>
      <c r="B43" s="54"/>
      <c r="C43" s="55"/>
      <c r="D43" s="56"/>
      <c r="E43" s="56"/>
      <c r="F43" s="57"/>
      <c r="G43" s="645"/>
      <c r="H43" s="56"/>
      <c r="I43" s="74"/>
      <c r="J43" s="75"/>
      <c r="K43" s="76"/>
      <c r="L43" s="77"/>
      <c r="M43" s="78"/>
      <c r="N43" s="646"/>
      <c r="O43" s="647"/>
      <c r="P43" s="75"/>
      <c r="Q43" s="84"/>
    </row>
    <row r="44" spans="1:17" ht="15.75" customHeight="1">
      <c r="A44" s="53"/>
      <c r="B44" s="54"/>
      <c r="C44" s="55"/>
      <c r="D44" s="56"/>
      <c r="E44" s="56"/>
      <c r="F44" s="57"/>
      <c r="G44" s="645"/>
      <c r="H44" s="56"/>
      <c r="I44" s="74"/>
      <c r="J44" s="75"/>
      <c r="K44" s="76"/>
      <c r="L44" s="77"/>
      <c r="M44" s="78"/>
      <c r="N44" s="646"/>
      <c r="O44" s="647"/>
      <c r="P44" s="75"/>
      <c r="Q44" s="84"/>
    </row>
    <row r="45" spans="1:17" ht="15.75" customHeight="1">
      <c r="A45" s="53"/>
      <c r="B45" s="54"/>
      <c r="C45" s="55"/>
      <c r="D45" s="56"/>
      <c r="E45" s="56"/>
      <c r="F45" s="57"/>
      <c r="G45" s="645"/>
      <c r="H45" s="56"/>
      <c r="I45" s="74"/>
      <c r="J45" s="75"/>
      <c r="K45" s="76"/>
      <c r="L45" s="77"/>
      <c r="M45" s="78"/>
      <c r="N45" s="646"/>
      <c r="O45" s="647"/>
      <c r="P45" s="75"/>
      <c r="Q45" s="84"/>
    </row>
    <row r="46" spans="1:17" ht="15.75" customHeight="1">
      <c r="A46" s="53"/>
      <c r="B46" s="54"/>
      <c r="C46" s="55"/>
      <c r="D46" s="56"/>
      <c r="E46" s="56"/>
      <c r="F46" s="57"/>
      <c r="G46" s="645"/>
      <c r="H46" s="56"/>
      <c r="I46" s="74"/>
      <c r="J46" s="75"/>
      <c r="K46" s="76"/>
      <c r="L46" s="77"/>
      <c r="M46" s="78"/>
      <c r="N46" s="646"/>
      <c r="O46" s="647"/>
      <c r="P46" s="75"/>
      <c r="Q46" s="84"/>
    </row>
    <row r="47" spans="1:17" ht="15.75" customHeight="1">
      <c r="A47" s="53"/>
      <c r="B47" s="54"/>
      <c r="C47" s="55"/>
      <c r="D47" s="56"/>
      <c r="E47" s="56"/>
      <c r="F47" s="57"/>
      <c r="G47" s="645"/>
      <c r="H47" s="56"/>
      <c r="I47" s="74"/>
      <c r="J47" s="75"/>
      <c r="K47" s="76"/>
      <c r="L47" s="77"/>
      <c r="M47" s="78"/>
      <c r="N47" s="646"/>
      <c r="O47" s="647"/>
      <c r="P47" s="75"/>
      <c r="Q47" s="84"/>
    </row>
    <row r="48" spans="1:17" ht="15.75" customHeight="1">
      <c r="A48" s="53"/>
      <c r="B48" s="54"/>
      <c r="C48" s="55"/>
      <c r="D48" s="56"/>
      <c r="E48" s="56"/>
      <c r="F48" s="57"/>
      <c r="G48" s="645"/>
      <c r="H48" s="56"/>
      <c r="I48" s="74"/>
      <c r="J48" s="75"/>
      <c r="K48" s="76"/>
      <c r="L48" s="77"/>
      <c r="M48" s="78"/>
      <c r="N48" s="646"/>
      <c r="O48" s="647"/>
      <c r="P48" s="75"/>
      <c r="Q48" s="84"/>
    </row>
    <row r="49" spans="1:17" ht="15.75" customHeight="1">
      <c r="A49" s="53"/>
      <c r="B49" s="54"/>
      <c r="C49" s="55"/>
      <c r="D49" s="56"/>
      <c r="E49" s="56"/>
      <c r="F49" s="57"/>
      <c r="G49" s="645"/>
      <c r="H49" s="56"/>
      <c r="I49" s="74"/>
      <c r="J49" s="75"/>
      <c r="K49" s="76"/>
      <c r="L49" s="77"/>
      <c r="M49" s="78"/>
      <c r="N49" s="646"/>
      <c r="O49" s="647"/>
      <c r="P49" s="75"/>
      <c r="Q49" s="84"/>
    </row>
    <row r="50" spans="1:17" ht="15.75" customHeight="1">
      <c r="A50" s="53"/>
      <c r="B50" s="54"/>
      <c r="C50" s="55"/>
      <c r="D50" s="56"/>
      <c r="E50" s="56"/>
      <c r="F50" s="57"/>
      <c r="G50" s="645"/>
      <c r="H50" s="56"/>
      <c r="I50" s="74"/>
      <c r="J50" s="75"/>
      <c r="K50" s="76"/>
      <c r="L50" s="77"/>
      <c r="M50" s="78"/>
      <c r="N50" s="646"/>
      <c r="O50" s="647"/>
      <c r="P50" s="75"/>
      <c r="Q50" s="84"/>
    </row>
    <row r="51" spans="1:17" ht="15.75" customHeight="1">
      <c r="A51" s="53"/>
      <c r="B51" s="54"/>
      <c r="C51" s="55"/>
      <c r="D51" s="56"/>
      <c r="E51" s="56"/>
      <c r="F51" s="57"/>
      <c r="G51" s="645"/>
      <c r="H51" s="56"/>
      <c r="I51" s="74"/>
      <c r="J51" s="75"/>
      <c r="K51" s="76"/>
      <c r="L51" s="77"/>
      <c r="M51" s="78"/>
      <c r="N51" s="646"/>
      <c r="O51" s="647"/>
      <c r="P51" s="75"/>
      <c r="Q51" s="84"/>
    </row>
    <row r="52" spans="1:17" ht="15.75" customHeight="1">
      <c r="A52" s="53"/>
      <c r="B52" s="54"/>
      <c r="C52" s="55"/>
      <c r="D52" s="56"/>
      <c r="E52" s="56"/>
      <c r="F52" s="57"/>
      <c r="G52" s="645"/>
      <c r="H52" s="56"/>
      <c r="I52" s="74"/>
      <c r="J52" s="75"/>
      <c r="K52" s="76"/>
      <c r="L52" s="77"/>
      <c r="M52" s="78"/>
      <c r="N52" s="646"/>
      <c r="O52" s="647"/>
      <c r="P52" s="75"/>
      <c r="Q52" s="84"/>
    </row>
    <row r="53" spans="1:17" ht="15.75" customHeight="1">
      <c r="A53" s="53"/>
      <c r="B53" s="54"/>
      <c r="C53" s="55"/>
      <c r="D53" s="56"/>
      <c r="E53" s="56"/>
      <c r="F53" s="57"/>
      <c r="G53" s="645"/>
      <c r="H53" s="56"/>
      <c r="I53" s="74"/>
      <c r="J53" s="75"/>
      <c r="K53" s="76"/>
      <c r="L53" s="77"/>
      <c r="M53" s="78"/>
      <c r="N53" s="646"/>
      <c r="O53" s="647"/>
      <c r="P53" s="75"/>
      <c r="Q53" s="84"/>
    </row>
    <row r="54" spans="1:17" ht="15.75" customHeight="1">
      <c r="A54" s="53"/>
      <c r="B54" s="54"/>
      <c r="C54" s="55"/>
      <c r="D54" s="56"/>
      <c r="E54" s="56"/>
      <c r="F54" s="57"/>
      <c r="G54" s="645"/>
      <c r="H54" s="56"/>
      <c r="I54" s="74"/>
      <c r="J54" s="75"/>
      <c r="K54" s="76"/>
      <c r="L54" s="77"/>
      <c r="M54" s="78"/>
      <c r="N54" s="646"/>
      <c r="O54" s="647"/>
      <c r="P54" s="75"/>
      <c r="Q54" s="84"/>
    </row>
    <row r="55" spans="1:17" ht="15.75" customHeight="1">
      <c r="A55" s="53"/>
      <c r="B55" s="54"/>
      <c r="C55" s="55"/>
      <c r="D55" s="56"/>
      <c r="E55" s="56"/>
      <c r="F55" s="57"/>
      <c r="G55" s="645"/>
      <c r="H55" s="56"/>
      <c r="I55" s="74"/>
      <c r="J55" s="75"/>
      <c r="K55" s="76"/>
      <c r="L55" s="77"/>
      <c r="M55" s="78"/>
      <c r="N55" s="646"/>
      <c r="O55" s="647"/>
      <c r="P55" s="75"/>
      <c r="Q55" s="84"/>
    </row>
    <row r="56" spans="1:17" ht="15.75" customHeight="1">
      <c r="A56" s="53"/>
      <c r="B56" s="54"/>
      <c r="C56" s="55"/>
      <c r="D56" s="56"/>
      <c r="E56" s="56"/>
      <c r="F56" s="57"/>
      <c r="G56" s="645"/>
      <c r="H56" s="56"/>
      <c r="I56" s="74"/>
      <c r="J56" s="75"/>
      <c r="K56" s="76"/>
      <c r="L56" s="77"/>
      <c r="M56" s="78"/>
      <c r="N56" s="646"/>
      <c r="O56" s="647"/>
      <c r="P56" s="75"/>
      <c r="Q56" s="84"/>
    </row>
    <row r="57" spans="1:17" ht="15.75" customHeight="1">
      <c r="A57" s="53"/>
      <c r="B57" s="54"/>
      <c r="C57" s="55"/>
      <c r="D57" s="56"/>
      <c r="E57" s="56"/>
      <c r="F57" s="57"/>
      <c r="G57" s="645"/>
      <c r="H57" s="56"/>
      <c r="I57" s="74"/>
      <c r="J57" s="75"/>
      <c r="K57" s="76"/>
      <c r="L57" s="77"/>
      <c r="M57" s="78"/>
      <c r="N57" s="646"/>
      <c r="O57" s="647"/>
      <c r="P57" s="75"/>
      <c r="Q57" s="84"/>
    </row>
    <row r="58" spans="1:17" ht="15.75" customHeight="1">
      <c r="A58" s="53"/>
      <c r="B58" s="54"/>
      <c r="C58" s="55"/>
      <c r="D58" s="56"/>
      <c r="E58" s="56"/>
      <c r="F58" s="57"/>
      <c r="G58" s="645"/>
      <c r="H58" s="56"/>
      <c r="I58" s="74"/>
      <c r="J58" s="75"/>
      <c r="K58" s="76"/>
      <c r="L58" s="77"/>
      <c r="M58" s="78"/>
      <c r="N58" s="646"/>
      <c r="O58" s="647"/>
      <c r="P58" s="75"/>
      <c r="Q58" s="84"/>
    </row>
    <row r="59" spans="1:17" ht="15.75" customHeight="1">
      <c r="A59" s="53"/>
      <c r="B59" s="54"/>
      <c r="C59" s="55"/>
      <c r="D59" s="56"/>
      <c r="E59" s="56"/>
      <c r="F59" s="57"/>
      <c r="G59" s="645"/>
      <c r="H59" s="56"/>
      <c r="I59" s="74"/>
      <c r="J59" s="75"/>
      <c r="K59" s="76"/>
      <c r="L59" s="77"/>
      <c r="M59" s="78"/>
      <c r="N59" s="646"/>
      <c r="O59" s="647"/>
      <c r="P59" s="75"/>
      <c r="Q59" s="84"/>
    </row>
    <row r="60" spans="1:17" ht="15.75" customHeight="1">
      <c r="A60" s="53"/>
      <c r="B60" s="54"/>
      <c r="C60" s="55"/>
      <c r="D60" s="56"/>
      <c r="E60" s="56"/>
      <c r="F60" s="57"/>
      <c r="G60" s="645"/>
      <c r="H60" s="56"/>
      <c r="I60" s="74"/>
      <c r="J60" s="75"/>
      <c r="K60" s="76"/>
      <c r="L60" s="77"/>
      <c r="M60" s="78"/>
      <c r="N60" s="646"/>
      <c r="O60" s="647"/>
      <c r="P60" s="75"/>
      <c r="Q60" s="84"/>
    </row>
    <row r="61" spans="1:17" ht="15.75" customHeight="1">
      <c r="A61" s="53"/>
      <c r="B61" s="54"/>
      <c r="C61" s="55"/>
      <c r="D61" s="56"/>
      <c r="E61" s="56"/>
      <c r="F61" s="57"/>
      <c r="G61" s="645"/>
      <c r="H61" s="56"/>
      <c r="I61" s="74"/>
      <c r="J61" s="75"/>
      <c r="K61" s="76"/>
      <c r="L61" s="77"/>
      <c r="M61" s="78"/>
      <c r="N61" s="646"/>
      <c r="O61" s="647"/>
      <c r="P61" s="75"/>
      <c r="Q61" s="84"/>
    </row>
    <row r="62" spans="1:17" ht="15.75" customHeight="1">
      <c r="A62" s="53"/>
      <c r="B62" s="54"/>
      <c r="C62" s="55"/>
      <c r="D62" s="56"/>
      <c r="E62" s="56"/>
      <c r="F62" s="57"/>
      <c r="G62" s="645"/>
      <c r="H62" s="56"/>
      <c r="I62" s="74"/>
      <c r="J62" s="75"/>
      <c r="K62" s="76"/>
      <c r="L62" s="77"/>
      <c r="M62" s="78"/>
      <c r="N62" s="646"/>
      <c r="O62" s="647"/>
      <c r="P62" s="75"/>
      <c r="Q62" s="84"/>
    </row>
    <row r="63" spans="1:17" ht="15.75" customHeight="1">
      <c r="A63" s="53"/>
      <c r="B63" s="54"/>
      <c r="C63" s="55"/>
      <c r="D63" s="56"/>
      <c r="E63" s="56"/>
      <c r="F63" s="57"/>
      <c r="G63" s="645"/>
      <c r="H63" s="56"/>
      <c r="I63" s="74"/>
      <c r="J63" s="75"/>
      <c r="K63" s="76"/>
      <c r="L63" s="77"/>
      <c r="M63" s="78"/>
      <c r="N63" s="646"/>
      <c r="O63" s="647"/>
      <c r="P63" s="75"/>
      <c r="Q63" s="84"/>
    </row>
    <row r="64" spans="1:17" ht="15.75" customHeight="1">
      <c r="A64" s="53"/>
      <c r="B64" s="54"/>
      <c r="C64" s="55"/>
      <c r="D64" s="56"/>
      <c r="E64" s="56"/>
      <c r="F64" s="57"/>
      <c r="G64" s="645"/>
      <c r="H64" s="56"/>
      <c r="I64" s="74"/>
      <c r="J64" s="75"/>
      <c r="K64" s="76"/>
      <c r="L64" s="77"/>
      <c r="M64" s="78"/>
      <c r="N64" s="646"/>
      <c r="O64" s="647"/>
      <c r="P64" s="75"/>
      <c r="Q64" s="84"/>
    </row>
    <row r="65" spans="1:17" ht="15.75" customHeight="1">
      <c r="A65" s="53"/>
      <c r="B65" s="54"/>
      <c r="C65" s="55"/>
      <c r="D65" s="56"/>
      <c r="E65" s="56"/>
      <c r="F65" s="57"/>
      <c r="G65" s="645"/>
      <c r="H65" s="56"/>
      <c r="I65" s="74"/>
      <c r="J65" s="75"/>
      <c r="K65" s="76"/>
      <c r="L65" s="77"/>
      <c r="M65" s="78"/>
      <c r="N65" s="646"/>
      <c r="O65" s="647"/>
      <c r="P65" s="75"/>
      <c r="Q65" s="84"/>
    </row>
    <row r="66" spans="1:17" ht="15.75" customHeight="1">
      <c r="A66" s="53"/>
      <c r="B66" s="54"/>
      <c r="C66" s="55"/>
      <c r="D66" s="56"/>
      <c r="E66" s="56"/>
      <c r="F66" s="57"/>
      <c r="G66" s="645"/>
      <c r="H66" s="56"/>
      <c r="I66" s="74"/>
      <c r="J66" s="75"/>
      <c r="K66" s="76"/>
      <c r="L66" s="77"/>
      <c r="M66" s="78"/>
      <c r="N66" s="646"/>
      <c r="O66" s="647"/>
      <c r="P66" s="75"/>
      <c r="Q66" s="84"/>
    </row>
    <row r="67" spans="1:17" ht="15.75" customHeight="1">
      <c r="A67" s="53"/>
      <c r="B67" s="54"/>
      <c r="C67" s="55"/>
      <c r="D67" s="56"/>
      <c r="E67" s="56"/>
      <c r="F67" s="57"/>
      <c r="G67" s="645"/>
      <c r="H67" s="56"/>
      <c r="I67" s="74"/>
      <c r="J67" s="75"/>
      <c r="K67" s="76"/>
      <c r="L67" s="77"/>
      <c r="M67" s="78"/>
      <c r="N67" s="646"/>
      <c r="O67" s="647"/>
      <c r="P67" s="75"/>
      <c r="Q67" s="84"/>
    </row>
    <row r="68" spans="1:17" ht="15.75" customHeight="1">
      <c r="A68" s="53"/>
      <c r="B68" s="54"/>
      <c r="C68" s="55"/>
      <c r="D68" s="56"/>
      <c r="E68" s="56"/>
      <c r="F68" s="57"/>
      <c r="G68" s="645"/>
      <c r="H68" s="56"/>
      <c r="I68" s="74"/>
      <c r="J68" s="75"/>
      <c r="K68" s="76"/>
      <c r="L68" s="77"/>
      <c r="M68" s="78"/>
      <c r="N68" s="646"/>
      <c r="O68" s="647"/>
      <c r="P68" s="75"/>
      <c r="Q68" s="84"/>
    </row>
    <row r="69" spans="1:17" ht="15.75" customHeight="1">
      <c r="A69" s="53"/>
      <c r="B69" s="54"/>
      <c r="C69" s="55"/>
      <c r="D69" s="56"/>
      <c r="E69" s="56"/>
      <c r="F69" s="57"/>
      <c r="G69" s="645"/>
      <c r="H69" s="56"/>
      <c r="I69" s="74"/>
      <c r="J69" s="75"/>
      <c r="K69" s="76"/>
      <c r="L69" s="77"/>
      <c r="M69" s="78"/>
      <c r="N69" s="646"/>
      <c r="O69" s="647"/>
      <c r="P69" s="75"/>
      <c r="Q69" s="84"/>
    </row>
    <row r="70" spans="1:17" ht="15.75" customHeight="1">
      <c r="A70" s="53"/>
      <c r="B70" s="54"/>
      <c r="C70" s="55"/>
      <c r="D70" s="56"/>
      <c r="E70" s="56"/>
      <c r="F70" s="57"/>
      <c r="G70" s="645"/>
      <c r="H70" s="56"/>
      <c r="I70" s="74"/>
      <c r="J70" s="75"/>
      <c r="K70" s="76"/>
      <c r="L70" s="77"/>
      <c r="M70" s="78"/>
      <c r="N70" s="646"/>
      <c r="O70" s="647"/>
      <c r="P70" s="75"/>
      <c r="Q70" s="84"/>
    </row>
    <row r="71" spans="1:17" ht="15.75" customHeight="1">
      <c r="A71" s="53"/>
      <c r="B71" s="54"/>
      <c r="C71" s="55"/>
      <c r="D71" s="56"/>
      <c r="E71" s="56"/>
      <c r="F71" s="57"/>
      <c r="G71" s="645"/>
      <c r="H71" s="56"/>
      <c r="I71" s="74"/>
      <c r="J71" s="75"/>
      <c r="K71" s="76"/>
      <c r="L71" s="77"/>
      <c r="M71" s="78"/>
      <c r="N71" s="646"/>
      <c r="O71" s="647"/>
      <c r="P71" s="75"/>
      <c r="Q71" s="84"/>
    </row>
    <row r="72" spans="1:17" ht="15.75" customHeight="1">
      <c r="A72" s="53"/>
      <c r="B72" s="54"/>
      <c r="C72" s="55"/>
      <c r="D72" s="56"/>
      <c r="E72" s="56"/>
      <c r="F72" s="57"/>
      <c r="G72" s="645"/>
      <c r="H72" s="56"/>
      <c r="I72" s="74"/>
      <c r="J72" s="75"/>
      <c r="K72" s="76"/>
      <c r="L72" s="77"/>
      <c r="M72" s="78"/>
      <c r="N72" s="646"/>
      <c r="O72" s="647"/>
      <c r="P72" s="75"/>
      <c r="Q72" s="84"/>
    </row>
    <row r="73" spans="1:17" ht="15.75" customHeight="1">
      <c r="A73" s="53"/>
      <c r="B73" s="54"/>
      <c r="C73" s="55"/>
      <c r="D73" s="56"/>
      <c r="E73" s="56"/>
      <c r="F73" s="57"/>
      <c r="G73" s="645"/>
      <c r="H73" s="56"/>
      <c r="I73" s="74"/>
      <c r="J73" s="75"/>
      <c r="K73" s="76"/>
      <c r="L73" s="77"/>
      <c r="M73" s="78"/>
      <c r="N73" s="646"/>
      <c r="O73" s="647"/>
      <c r="P73" s="75"/>
      <c r="Q73" s="84"/>
    </row>
    <row r="74" spans="1:17" ht="15.75" customHeight="1">
      <c r="A74" s="53"/>
      <c r="B74" s="54"/>
      <c r="C74" s="55"/>
      <c r="D74" s="56"/>
      <c r="E74" s="56"/>
      <c r="F74" s="57"/>
      <c r="G74" s="645"/>
      <c r="H74" s="56"/>
      <c r="I74" s="74"/>
      <c r="J74" s="75"/>
      <c r="K74" s="76"/>
      <c r="L74" s="77"/>
      <c r="M74" s="78"/>
      <c r="N74" s="646"/>
      <c r="O74" s="647"/>
      <c r="P74" s="75"/>
      <c r="Q74" s="84"/>
    </row>
    <row r="75" spans="1:17" ht="15.75" customHeight="1">
      <c r="A75" s="53"/>
      <c r="B75" s="54"/>
      <c r="C75" s="55"/>
      <c r="D75" s="56"/>
      <c r="E75" s="56"/>
      <c r="F75" s="57"/>
      <c r="G75" s="645"/>
      <c r="H75" s="56"/>
      <c r="I75" s="74"/>
      <c r="J75" s="75"/>
      <c r="K75" s="76"/>
      <c r="L75" s="77"/>
      <c r="M75" s="78"/>
      <c r="N75" s="646"/>
      <c r="O75" s="647"/>
      <c r="P75" s="75"/>
      <c r="Q75" s="84"/>
    </row>
    <row r="76" spans="1:17" ht="15.75" customHeight="1">
      <c r="A76" s="53"/>
      <c r="B76" s="54"/>
      <c r="C76" s="55"/>
      <c r="D76" s="56"/>
      <c r="E76" s="56"/>
      <c r="F76" s="57"/>
      <c r="G76" s="645"/>
      <c r="H76" s="56"/>
      <c r="I76" s="74"/>
      <c r="J76" s="75"/>
      <c r="K76" s="76"/>
      <c r="L76" s="77"/>
      <c r="M76" s="78"/>
      <c r="N76" s="646"/>
      <c r="O76" s="647"/>
      <c r="P76" s="75"/>
      <c r="Q76" s="84"/>
    </row>
    <row r="77" spans="1:17" ht="15.75" customHeight="1">
      <c r="A77" s="53"/>
      <c r="B77" s="54"/>
      <c r="C77" s="55"/>
      <c r="D77" s="56"/>
      <c r="E77" s="56"/>
      <c r="F77" s="57"/>
      <c r="G77" s="645"/>
      <c r="H77" s="56"/>
      <c r="I77" s="74"/>
      <c r="J77" s="75"/>
      <c r="K77" s="76"/>
      <c r="L77" s="77"/>
      <c r="M77" s="78"/>
      <c r="N77" s="646"/>
      <c r="O77" s="647"/>
      <c r="P77" s="75"/>
      <c r="Q77" s="84"/>
    </row>
    <row r="78" spans="1:17" ht="15.75" customHeight="1">
      <c r="A78" s="53"/>
      <c r="B78" s="54"/>
      <c r="C78" s="55"/>
      <c r="D78" s="56"/>
      <c r="E78" s="56"/>
      <c r="F78" s="57"/>
      <c r="G78" s="645"/>
      <c r="H78" s="56"/>
      <c r="I78" s="74"/>
      <c r="J78" s="75"/>
      <c r="K78" s="76"/>
      <c r="L78" s="77"/>
      <c r="M78" s="78"/>
      <c r="N78" s="646"/>
      <c r="O78" s="647"/>
      <c r="P78" s="75"/>
      <c r="Q78" s="84"/>
    </row>
    <row r="79" spans="1:17" ht="15.75" customHeight="1">
      <c r="A79" s="53"/>
      <c r="B79" s="54"/>
      <c r="C79" s="55"/>
      <c r="D79" s="56"/>
      <c r="E79" s="56"/>
      <c r="F79" s="57"/>
      <c r="G79" s="645"/>
      <c r="H79" s="56"/>
      <c r="I79" s="74"/>
      <c r="J79" s="75"/>
      <c r="K79" s="76"/>
      <c r="L79" s="77"/>
      <c r="M79" s="78"/>
      <c r="N79" s="646"/>
      <c r="O79" s="647"/>
      <c r="P79" s="75"/>
      <c r="Q79" s="84"/>
    </row>
    <row r="80" spans="1:17" ht="15.75" customHeight="1">
      <c r="A80" s="53"/>
      <c r="B80" s="54"/>
      <c r="C80" s="55"/>
      <c r="D80" s="56"/>
      <c r="E80" s="56"/>
      <c r="F80" s="57"/>
      <c r="G80" s="645"/>
      <c r="H80" s="56"/>
      <c r="I80" s="74"/>
      <c r="J80" s="75"/>
      <c r="K80" s="76"/>
      <c r="L80" s="77"/>
      <c r="M80" s="78"/>
      <c r="N80" s="646"/>
      <c r="O80" s="647"/>
      <c r="P80" s="75"/>
      <c r="Q80" s="84"/>
    </row>
    <row r="81" spans="1:17" ht="15.75" customHeight="1">
      <c r="A81" s="53"/>
      <c r="B81" s="54"/>
      <c r="C81" s="55"/>
      <c r="D81" s="56"/>
      <c r="E81" s="56"/>
      <c r="F81" s="57"/>
      <c r="G81" s="645"/>
      <c r="H81" s="56"/>
      <c r="I81" s="74"/>
      <c r="J81" s="75"/>
      <c r="K81" s="76"/>
      <c r="L81" s="77"/>
      <c r="M81" s="78"/>
      <c r="N81" s="646"/>
      <c r="O81" s="647"/>
      <c r="P81" s="75"/>
      <c r="Q81" s="84"/>
    </row>
    <row r="82" spans="1:17" ht="15.75" customHeight="1">
      <c r="A82" s="53"/>
      <c r="B82" s="54"/>
      <c r="C82" s="55"/>
      <c r="D82" s="56"/>
      <c r="E82" s="56"/>
      <c r="F82" s="57"/>
      <c r="G82" s="645"/>
      <c r="H82" s="56"/>
      <c r="I82" s="74"/>
      <c r="J82" s="75"/>
      <c r="K82" s="76"/>
      <c r="L82" s="77"/>
      <c r="M82" s="78"/>
      <c r="N82" s="646"/>
      <c r="O82" s="647"/>
      <c r="P82" s="75"/>
      <c r="Q82" s="84"/>
    </row>
    <row r="83" spans="1:17" ht="15.75" customHeight="1">
      <c r="A83" s="53"/>
      <c r="B83" s="54"/>
      <c r="C83" s="55"/>
      <c r="D83" s="56"/>
      <c r="E83" s="56"/>
      <c r="F83" s="57"/>
      <c r="G83" s="645"/>
      <c r="H83" s="56"/>
      <c r="I83" s="74"/>
      <c r="J83" s="75"/>
      <c r="K83" s="76"/>
      <c r="L83" s="77"/>
      <c r="M83" s="78"/>
      <c r="N83" s="646"/>
      <c r="O83" s="647"/>
      <c r="P83" s="75"/>
      <c r="Q83" s="84"/>
    </row>
    <row r="84" spans="1:17" ht="15.75" customHeight="1">
      <c r="A84" s="53"/>
      <c r="B84" s="54"/>
      <c r="C84" s="55"/>
      <c r="D84" s="56"/>
      <c r="E84" s="56"/>
      <c r="F84" s="57"/>
      <c r="G84" s="645"/>
      <c r="H84" s="56"/>
      <c r="I84" s="74"/>
      <c r="J84" s="75"/>
      <c r="K84" s="76"/>
      <c r="L84" s="77"/>
      <c r="M84" s="78"/>
      <c r="N84" s="646"/>
      <c r="O84" s="647"/>
      <c r="P84" s="75"/>
      <c r="Q84" s="84"/>
    </row>
    <row r="85" spans="1:17" ht="15.75" customHeight="1">
      <c r="A85" s="53"/>
      <c r="B85" s="54"/>
      <c r="C85" s="55"/>
      <c r="D85" s="56"/>
      <c r="E85" s="56"/>
      <c r="F85" s="57"/>
      <c r="G85" s="645"/>
      <c r="H85" s="56"/>
      <c r="I85" s="74"/>
      <c r="J85" s="75"/>
      <c r="K85" s="76"/>
      <c r="L85" s="77"/>
      <c r="M85" s="78"/>
      <c r="N85" s="646"/>
      <c r="O85" s="647"/>
      <c r="P85" s="75"/>
      <c r="Q85" s="84"/>
    </row>
    <row r="86" spans="1:17" ht="15.75" customHeight="1">
      <c r="A86" s="53"/>
      <c r="B86" s="54"/>
      <c r="C86" s="55"/>
      <c r="D86" s="56"/>
      <c r="E86" s="56"/>
      <c r="F86" s="57"/>
      <c r="G86" s="645"/>
      <c r="H86" s="56"/>
      <c r="I86" s="74"/>
      <c r="J86" s="75"/>
      <c r="K86" s="76"/>
      <c r="L86" s="77"/>
      <c r="M86" s="78"/>
      <c r="N86" s="646"/>
      <c r="O86" s="647"/>
      <c r="P86" s="75"/>
      <c r="Q86" s="84"/>
    </row>
    <row r="87" spans="1:17" ht="15.75" customHeight="1">
      <c r="A87" s="53"/>
      <c r="B87" s="54"/>
      <c r="C87" s="55"/>
      <c r="D87" s="56"/>
      <c r="E87" s="56"/>
      <c r="F87" s="57"/>
      <c r="G87" s="645"/>
      <c r="H87" s="56"/>
      <c r="I87" s="74"/>
      <c r="J87" s="75"/>
      <c r="K87" s="76"/>
      <c r="L87" s="77"/>
      <c r="M87" s="78"/>
      <c r="N87" s="646"/>
      <c r="O87" s="647"/>
      <c r="P87" s="75"/>
      <c r="Q87" s="84"/>
    </row>
    <row r="88" spans="1:17" ht="15.75" customHeight="1">
      <c r="A88" s="53"/>
      <c r="B88" s="54"/>
      <c r="C88" s="55"/>
      <c r="D88" s="56"/>
      <c r="E88" s="56"/>
      <c r="F88" s="57"/>
      <c r="G88" s="645"/>
      <c r="H88" s="56"/>
      <c r="I88" s="74"/>
      <c r="J88" s="75"/>
      <c r="K88" s="76"/>
      <c r="L88" s="77"/>
      <c r="M88" s="78"/>
      <c r="N88" s="646"/>
      <c r="O88" s="647"/>
      <c r="P88" s="75"/>
      <c r="Q88" s="84"/>
    </row>
    <row r="89" spans="1:17" ht="15.75" customHeight="1">
      <c r="A89" s="53"/>
      <c r="B89" s="54"/>
      <c r="C89" s="55"/>
      <c r="D89" s="56"/>
      <c r="E89" s="56"/>
      <c r="F89" s="57"/>
      <c r="G89" s="645"/>
      <c r="H89" s="56"/>
      <c r="I89" s="74"/>
      <c r="J89" s="75"/>
      <c r="K89" s="76"/>
      <c r="L89" s="77"/>
      <c r="M89" s="78"/>
      <c r="N89" s="646"/>
      <c r="O89" s="647"/>
      <c r="P89" s="75"/>
      <c r="Q89" s="84"/>
    </row>
    <row r="90" spans="1:17" ht="15.75" customHeight="1">
      <c r="A90" s="53"/>
      <c r="B90" s="54"/>
      <c r="C90" s="55"/>
      <c r="D90" s="56"/>
      <c r="E90" s="56"/>
      <c r="F90" s="57"/>
      <c r="G90" s="645"/>
      <c r="H90" s="56"/>
      <c r="I90" s="74"/>
      <c r="J90" s="75"/>
      <c r="K90" s="76"/>
      <c r="L90" s="77"/>
      <c r="M90" s="78"/>
      <c r="N90" s="646"/>
      <c r="O90" s="647"/>
      <c r="P90" s="75"/>
      <c r="Q90" s="84"/>
    </row>
    <row r="91" spans="1:17" ht="15.75" customHeight="1">
      <c r="A91" s="53"/>
      <c r="B91" s="54"/>
      <c r="C91" s="55"/>
      <c r="D91" s="56"/>
      <c r="E91" s="56"/>
      <c r="F91" s="57"/>
      <c r="G91" s="645"/>
      <c r="H91" s="56"/>
      <c r="I91" s="74"/>
      <c r="J91" s="75"/>
      <c r="K91" s="76"/>
      <c r="L91" s="77"/>
      <c r="M91" s="78"/>
      <c r="N91" s="646"/>
      <c r="O91" s="647"/>
      <c r="P91" s="75"/>
      <c r="Q91" s="84"/>
    </row>
    <row r="92" spans="1:17" ht="15.75" customHeight="1">
      <c r="A92" s="53"/>
      <c r="B92" s="54"/>
      <c r="C92" s="55"/>
      <c r="D92" s="56"/>
      <c r="E92" s="56"/>
      <c r="F92" s="57"/>
      <c r="G92" s="645"/>
      <c r="H92" s="56"/>
      <c r="I92" s="74"/>
      <c r="J92" s="75"/>
      <c r="K92" s="76"/>
      <c r="L92" s="77"/>
      <c r="M92" s="78"/>
      <c r="N92" s="646"/>
      <c r="O92" s="647"/>
      <c r="P92" s="75"/>
      <c r="Q92" s="84"/>
    </row>
    <row r="93" spans="1:17" ht="15.75" customHeight="1">
      <c r="A93" s="53"/>
      <c r="B93" s="54"/>
      <c r="C93" s="55"/>
      <c r="D93" s="56"/>
      <c r="E93" s="56"/>
      <c r="F93" s="57"/>
      <c r="G93" s="645"/>
      <c r="H93" s="56"/>
      <c r="I93" s="74"/>
      <c r="J93" s="75"/>
      <c r="K93" s="76"/>
      <c r="L93" s="77"/>
      <c r="M93" s="78"/>
      <c r="N93" s="646"/>
      <c r="O93" s="647"/>
      <c r="P93" s="75"/>
      <c r="Q93" s="84"/>
    </row>
    <row r="94" spans="1:17" ht="15.75" customHeight="1">
      <c r="A94" s="53"/>
      <c r="B94" s="54"/>
      <c r="C94" s="55"/>
      <c r="D94" s="56"/>
      <c r="E94" s="56"/>
      <c r="F94" s="57"/>
      <c r="G94" s="645"/>
      <c r="H94" s="56"/>
      <c r="I94" s="74"/>
      <c r="J94" s="75"/>
      <c r="K94" s="76"/>
      <c r="L94" s="77"/>
      <c r="M94" s="78"/>
      <c r="N94" s="646"/>
      <c r="O94" s="647"/>
      <c r="P94" s="75"/>
      <c r="Q94" s="84"/>
    </row>
    <row r="95" spans="1:17" ht="15.75" customHeight="1">
      <c r="A95" s="53"/>
      <c r="B95" s="54"/>
      <c r="C95" s="55"/>
      <c r="D95" s="56"/>
      <c r="E95" s="56"/>
      <c r="F95" s="57"/>
      <c r="G95" s="645"/>
      <c r="H95" s="56"/>
      <c r="I95" s="74"/>
      <c r="J95" s="75"/>
      <c r="K95" s="76"/>
      <c r="L95" s="77"/>
      <c r="M95" s="78"/>
      <c r="N95" s="646"/>
      <c r="O95" s="647"/>
      <c r="P95" s="75"/>
      <c r="Q95" s="84"/>
    </row>
    <row r="96" spans="1:17" ht="15.75" customHeight="1">
      <c r="A96" s="53"/>
      <c r="B96" s="54"/>
      <c r="C96" s="55"/>
      <c r="D96" s="56"/>
      <c r="E96" s="56"/>
      <c r="F96" s="57"/>
      <c r="G96" s="645"/>
      <c r="H96" s="56"/>
      <c r="I96" s="74"/>
      <c r="J96" s="75"/>
      <c r="K96" s="76"/>
      <c r="L96" s="77"/>
      <c r="M96" s="78"/>
      <c r="N96" s="646"/>
      <c r="O96" s="647"/>
      <c r="P96" s="75"/>
      <c r="Q96" s="84"/>
    </row>
    <row r="97" spans="1:17" ht="15.75" customHeight="1">
      <c r="A97" s="53"/>
      <c r="B97" s="54"/>
      <c r="C97" s="55"/>
      <c r="D97" s="56"/>
      <c r="E97" s="56"/>
      <c r="F97" s="57"/>
      <c r="G97" s="645"/>
      <c r="H97" s="56"/>
      <c r="I97" s="74"/>
      <c r="J97" s="75"/>
      <c r="K97" s="76"/>
      <c r="L97" s="77"/>
      <c r="M97" s="78"/>
      <c r="N97" s="646"/>
      <c r="O97" s="647"/>
      <c r="P97" s="75"/>
      <c r="Q97" s="84"/>
    </row>
    <row r="98" spans="1:17" ht="15.75" customHeight="1">
      <c r="A98" s="53"/>
      <c r="B98" s="54"/>
      <c r="C98" s="55"/>
      <c r="D98" s="56"/>
      <c r="E98" s="56"/>
      <c r="F98" s="57"/>
      <c r="G98" s="645"/>
      <c r="H98" s="56"/>
      <c r="I98" s="74"/>
      <c r="J98" s="75"/>
      <c r="K98" s="76"/>
      <c r="L98" s="77"/>
      <c r="M98" s="78"/>
      <c r="N98" s="646"/>
      <c r="O98" s="647"/>
      <c r="P98" s="75"/>
      <c r="Q98" s="84"/>
    </row>
    <row r="99" spans="1:17" ht="15.75" customHeight="1">
      <c r="A99" s="53"/>
      <c r="B99" s="54"/>
      <c r="C99" s="55"/>
      <c r="D99" s="56"/>
      <c r="E99" s="56"/>
      <c r="F99" s="57"/>
      <c r="G99" s="645"/>
      <c r="H99" s="56"/>
      <c r="I99" s="74"/>
      <c r="J99" s="75"/>
      <c r="K99" s="76"/>
      <c r="L99" s="77"/>
      <c r="M99" s="78"/>
      <c r="N99" s="646"/>
      <c r="O99" s="647"/>
      <c r="P99" s="75"/>
      <c r="Q99" s="84"/>
    </row>
    <row r="100" spans="1:17" ht="15.75" customHeight="1">
      <c r="A100" s="53"/>
      <c r="B100" s="54"/>
      <c r="C100" s="55"/>
      <c r="D100" s="56"/>
      <c r="E100" s="56"/>
      <c r="F100" s="57"/>
      <c r="G100" s="645"/>
      <c r="H100" s="56"/>
      <c r="I100" s="74"/>
      <c r="J100" s="75"/>
      <c r="K100" s="76"/>
      <c r="L100" s="77"/>
      <c r="M100" s="78"/>
      <c r="N100" s="646"/>
      <c r="O100" s="647"/>
      <c r="P100" s="75"/>
      <c r="Q100" s="84"/>
    </row>
    <row r="101" spans="1:17" ht="15.75" customHeight="1">
      <c r="A101" s="53"/>
      <c r="B101" s="54"/>
      <c r="C101" s="55"/>
      <c r="D101" s="56"/>
      <c r="E101" s="56"/>
      <c r="F101" s="57"/>
      <c r="G101" s="645"/>
      <c r="H101" s="56"/>
      <c r="I101" s="74"/>
      <c r="J101" s="75"/>
      <c r="K101" s="76"/>
      <c r="L101" s="77"/>
      <c r="M101" s="78"/>
      <c r="N101" s="646"/>
      <c r="O101" s="647"/>
      <c r="P101" s="75"/>
      <c r="Q101" s="84"/>
    </row>
    <row r="102" spans="1:17" ht="15.75" customHeight="1">
      <c r="A102" s="53"/>
      <c r="B102" s="54"/>
      <c r="C102" s="55"/>
      <c r="D102" s="56"/>
      <c r="E102" s="56"/>
      <c r="F102" s="57"/>
      <c r="G102" s="645"/>
      <c r="H102" s="56"/>
      <c r="I102" s="74"/>
      <c r="J102" s="75"/>
      <c r="K102" s="76"/>
      <c r="L102" s="77"/>
      <c r="M102" s="78"/>
      <c r="N102" s="646"/>
      <c r="O102" s="647"/>
      <c r="P102" s="75"/>
      <c r="Q102" s="84"/>
    </row>
    <row r="103" spans="1:17" ht="15.75" customHeight="1">
      <c r="A103" s="53"/>
      <c r="B103" s="54"/>
      <c r="C103" s="55"/>
      <c r="D103" s="56"/>
      <c r="E103" s="56"/>
      <c r="F103" s="57"/>
      <c r="G103" s="645"/>
      <c r="H103" s="56"/>
      <c r="I103" s="74"/>
      <c r="J103" s="75"/>
      <c r="K103" s="76"/>
      <c r="L103" s="77"/>
      <c r="M103" s="78"/>
      <c r="N103" s="646"/>
      <c r="O103" s="647"/>
      <c r="P103" s="75"/>
      <c r="Q103" s="84"/>
    </row>
    <row r="104" spans="1:17" ht="15.75" customHeight="1">
      <c r="A104" s="53"/>
      <c r="B104" s="54"/>
      <c r="C104" s="55"/>
      <c r="D104" s="56"/>
      <c r="E104" s="56"/>
      <c r="F104" s="57"/>
      <c r="G104" s="645"/>
      <c r="H104" s="56"/>
      <c r="I104" s="74"/>
      <c r="J104" s="75"/>
      <c r="K104" s="76"/>
      <c r="L104" s="77"/>
      <c r="M104" s="78"/>
      <c r="N104" s="646"/>
      <c r="O104" s="647"/>
      <c r="P104" s="75"/>
      <c r="Q104" s="84"/>
    </row>
    <row r="105" spans="1:17" ht="15.75" customHeight="1">
      <c r="A105" s="53"/>
      <c r="B105" s="54"/>
      <c r="C105" s="55"/>
      <c r="D105" s="56"/>
      <c r="E105" s="56"/>
      <c r="F105" s="57"/>
      <c r="G105" s="645"/>
      <c r="H105" s="56"/>
      <c r="I105" s="74"/>
      <c r="J105" s="75"/>
      <c r="K105" s="76"/>
      <c r="L105" s="77"/>
      <c r="M105" s="78"/>
      <c r="N105" s="646"/>
      <c r="O105" s="647"/>
      <c r="P105" s="75"/>
      <c r="Q105" s="84"/>
    </row>
    <row r="106" spans="1:17" ht="15.75" customHeight="1">
      <c r="A106" s="53"/>
      <c r="B106" s="54"/>
      <c r="C106" s="55"/>
      <c r="D106" s="56"/>
      <c r="E106" s="56"/>
      <c r="F106" s="57"/>
      <c r="G106" s="645"/>
      <c r="H106" s="56"/>
      <c r="I106" s="74"/>
      <c r="J106" s="75"/>
      <c r="K106" s="76"/>
      <c r="L106" s="77"/>
      <c r="M106" s="78"/>
      <c r="N106" s="646"/>
      <c r="O106" s="647"/>
      <c r="P106" s="75"/>
      <c r="Q106" s="84"/>
    </row>
    <row r="107" spans="1:17" ht="15.75" customHeight="1">
      <c r="A107" s="53"/>
      <c r="B107" s="54"/>
      <c r="C107" s="55"/>
      <c r="D107" s="62"/>
      <c r="E107" s="62"/>
      <c r="F107" s="57"/>
      <c r="G107" s="645"/>
      <c r="H107" s="56"/>
      <c r="I107" s="27"/>
      <c r="J107" s="26"/>
      <c r="K107" s="76"/>
      <c r="L107" s="77"/>
      <c r="M107" s="78"/>
      <c r="N107" s="646"/>
      <c r="O107" s="647"/>
      <c r="P107" s="26"/>
    </row>
    <row r="108" spans="1:17" ht="15.75" customHeight="1">
      <c r="A108" s="53"/>
      <c r="B108" s="54"/>
      <c r="C108" s="55"/>
      <c r="D108" s="62"/>
      <c r="E108" s="62"/>
      <c r="F108" s="57"/>
      <c r="G108" s="645"/>
      <c r="H108" s="56"/>
      <c r="I108" s="27"/>
      <c r="J108" s="26"/>
      <c r="K108" s="76"/>
      <c r="L108" s="77"/>
      <c r="M108" s="78"/>
      <c r="N108" s="646"/>
      <c r="O108" s="647"/>
      <c r="P108" s="26"/>
    </row>
    <row r="109" spans="1:17" ht="15.75" customHeight="1">
      <c r="A109" s="53"/>
      <c r="B109" s="54"/>
      <c r="C109" s="55"/>
      <c r="D109" s="62"/>
      <c r="E109" s="62"/>
      <c r="F109" s="57"/>
      <c r="G109" s="645"/>
      <c r="H109" s="56"/>
      <c r="I109" s="27"/>
      <c r="J109" s="26"/>
      <c r="K109" s="76"/>
      <c r="L109" s="77"/>
      <c r="M109" s="78"/>
      <c r="N109" s="646"/>
      <c r="O109" s="647"/>
      <c r="P109" s="26"/>
    </row>
    <row r="110" spans="1:17" ht="15.75" customHeight="1">
      <c r="A110" s="53"/>
      <c r="B110" s="54"/>
      <c r="C110" s="55"/>
      <c r="D110" s="62"/>
      <c r="E110" s="62"/>
      <c r="F110" s="57"/>
      <c r="G110" s="645"/>
      <c r="H110" s="56"/>
      <c r="I110" s="27"/>
      <c r="J110" s="26"/>
      <c r="K110" s="76"/>
      <c r="L110" s="77"/>
      <c r="M110" s="78"/>
      <c r="N110" s="646"/>
      <c r="O110" s="647"/>
      <c r="P110" s="26"/>
    </row>
    <row r="111" spans="1:17" ht="15.75" customHeight="1">
      <c r="A111" s="53"/>
      <c r="B111" s="54"/>
      <c r="C111" s="55"/>
      <c r="D111" s="62"/>
      <c r="E111" s="62"/>
      <c r="F111" s="57"/>
      <c r="G111" s="645"/>
      <c r="H111" s="56"/>
      <c r="I111" s="27"/>
      <c r="J111" s="26"/>
      <c r="K111" s="76"/>
      <c r="L111" s="77"/>
      <c r="M111" s="78"/>
      <c r="N111" s="646"/>
      <c r="O111" s="647"/>
      <c r="P111" s="26"/>
    </row>
    <row r="112" spans="1:17" ht="15.75" customHeight="1">
      <c r="A112" s="53"/>
      <c r="B112" s="54"/>
      <c r="C112" s="55"/>
      <c r="D112" s="62"/>
      <c r="E112" s="62"/>
      <c r="F112" s="57"/>
      <c r="G112" s="645"/>
      <c r="H112" s="56"/>
      <c r="I112" s="27"/>
      <c r="J112" s="26"/>
      <c r="K112" s="76"/>
      <c r="L112" s="77"/>
      <c r="M112" s="78"/>
      <c r="N112" s="646"/>
      <c r="O112" s="647"/>
      <c r="P112" s="26"/>
    </row>
    <row r="113" spans="1:16" ht="15.75" customHeight="1">
      <c r="A113" s="53"/>
      <c r="B113" s="54"/>
      <c r="C113" s="55"/>
      <c r="D113" s="62"/>
      <c r="E113" s="62"/>
      <c r="F113" s="57"/>
      <c r="G113" s="645"/>
      <c r="H113" s="56"/>
      <c r="I113" s="27"/>
      <c r="J113" s="26"/>
      <c r="K113" s="76"/>
      <c r="L113" s="77"/>
      <c r="M113" s="78"/>
      <c r="N113" s="646"/>
      <c r="O113" s="647"/>
      <c r="P113" s="26"/>
    </row>
    <row r="114" spans="1:16" ht="15.75" customHeight="1">
      <c r="A114" s="53"/>
      <c r="B114" s="54"/>
      <c r="C114" s="55"/>
      <c r="D114" s="62"/>
      <c r="E114" s="62"/>
      <c r="F114" s="57"/>
      <c r="G114" s="645"/>
      <c r="H114" s="56"/>
      <c r="I114" s="27"/>
      <c r="J114" s="26"/>
      <c r="K114" s="76"/>
      <c r="L114" s="77"/>
      <c r="M114" s="78"/>
      <c r="N114" s="646"/>
      <c r="O114" s="647"/>
      <c r="P114" s="26"/>
    </row>
    <row r="115" spans="1:16" ht="15.75" customHeight="1">
      <c r="A115" s="53"/>
      <c r="B115" s="54"/>
      <c r="C115" s="55"/>
      <c r="D115" s="62"/>
      <c r="E115" s="62"/>
      <c r="F115" s="57"/>
      <c r="G115" s="645"/>
      <c r="H115" s="56"/>
      <c r="I115" s="27"/>
      <c r="J115" s="26"/>
      <c r="K115" s="76"/>
      <c r="L115" s="77"/>
      <c r="M115" s="78"/>
      <c r="N115" s="646"/>
      <c r="O115" s="647"/>
      <c r="P115" s="26"/>
    </row>
    <row r="116" spans="1:16" ht="15.75" customHeight="1">
      <c r="A116" s="53"/>
      <c r="B116" s="54"/>
      <c r="C116" s="55"/>
      <c r="D116" s="62"/>
      <c r="E116" s="62"/>
      <c r="F116" s="57"/>
      <c r="G116" s="645"/>
      <c r="H116" s="56"/>
      <c r="I116" s="27"/>
      <c r="J116" s="26"/>
      <c r="K116" s="76"/>
      <c r="L116" s="77"/>
      <c r="M116" s="78"/>
      <c r="N116" s="646"/>
      <c r="O116" s="647"/>
      <c r="P116" s="26"/>
    </row>
    <row r="117" spans="1:16" ht="15.75" customHeight="1">
      <c r="A117" s="53"/>
      <c r="B117" s="54"/>
      <c r="C117" s="55"/>
      <c r="D117" s="62"/>
      <c r="E117" s="62"/>
      <c r="F117" s="57"/>
      <c r="G117" s="645"/>
      <c r="H117" s="56"/>
      <c r="I117" s="27"/>
      <c r="J117" s="26"/>
      <c r="K117" s="76"/>
      <c r="L117" s="77"/>
      <c r="M117" s="78"/>
      <c r="N117" s="646"/>
      <c r="O117" s="647"/>
      <c r="P117" s="26"/>
    </row>
    <row r="118" spans="1:16" ht="15.75" customHeight="1">
      <c r="A118" s="53"/>
      <c r="B118" s="54"/>
      <c r="C118" s="55"/>
      <c r="D118" s="62"/>
      <c r="E118" s="62"/>
      <c r="F118" s="57"/>
      <c r="G118" s="645"/>
      <c r="H118" s="56"/>
      <c r="I118" s="27"/>
      <c r="J118" s="26"/>
      <c r="K118" s="76"/>
      <c r="L118" s="77"/>
      <c r="M118" s="78"/>
      <c r="N118" s="646"/>
      <c r="O118" s="647"/>
      <c r="P118" s="26"/>
    </row>
    <row r="119" spans="1:16" ht="15.75" customHeight="1">
      <c r="A119" s="53"/>
      <c r="B119" s="54"/>
      <c r="C119" s="55"/>
      <c r="D119" s="62"/>
      <c r="E119" s="62"/>
      <c r="F119" s="57"/>
      <c r="G119" s="645"/>
      <c r="H119" s="56"/>
      <c r="I119" s="27"/>
      <c r="J119" s="26"/>
      <c r="K119" s="76"/>
      <c r="L119" s="77"/>
      <c r="M119" s="78"/>
      <c r="N119" s="646"/>
      <c r="O119" s="647"/>
      <c r="P119" s="26"/>
    </row>
    <row r="120" spans="1:16" ht="15.75" customHeight="1">
      <c r="A120" s="53"/>
      <c r="B120" s="54"/>
      <c r="C120" s="55"/>
      <c r="D120" s="62"/>
      <c r="E120" s="62"/>
      <c r="F120" s="57"/>
      <c r="G120" s="645"/>
      <c r="H120" s="56"/>
      <c r="I120" s="27"/>
      <c r="J120" s="26"/>
      <c r="K120" s="76"/>
      <c r="L120" s="77"/>
      <c r="M120" s="78"/>
      <c r="N120" s="646"/>
      <c r="O120" s="647"/>
      <c r="P120" s="26"/>
    </row>
    <row r="121" spans="1:16" ht="15.75" customHeight="1">
      <c r="A121" s="53"/>
      <c r="B121" s="54"/>
      <c r="C121" s="55"/>
      <c r="D121" s="62"/>
      <c r="E121" s="62"/>
      <c r="F121" s="57"/>
      <c r="G121" s="645"/>
      <c r="H121" s="56"/>
      <c r="I121" s="27"/>
      <c r="J121" s="26"/>
      <c r="K121" s="76"/>
      <c r="L121" s="77"/>
      <c r="M121" s="78"/>
      <c r="N121" s="646"/>
      <c r="O121" s="647"/>
      <c r="P121" s="26"/>
    </row>
    <row r="122" spans="1:16" ht="15.75" customHeight="1">
      <c r="A122" s="53"/>
      <c r="B122" s="54"/>
      <c r="C122" s="55"/>
      <c r="D122" s="62"/>
      <c r="E122" s="62"/>
      <c r="F122" s="57"/>
      <c r="G122" s="645"/>
      <c r="H122" s="56"/>
      <c r="I122" s="27"/>
      <c r="J122" s="26"/>
      <c r="K122" s="76"/>
      <c r="L122" s="77"/>
      <c r="M122" s="78"/>
      <c r="N122" s="646"/>
      <c r="O122" s="647"/>
      <c r="P122" s="26"/>
    </row>
    <row r="123" spans="1:16" ht="15.75" customHeight="1">
      <c r="A123" s="53"/>
      <c r="B123" s="54"/>
      <c r="C123" s="55"/>
      <c r="D123" s="62"/>
      <c r="E123" s="62"/>
      <c r="F123" s="57"/>
      <c r="G123" s="645"/>
      <c r="H123" s="56"/>
      <c r="I123" s="27"/>
      <c r="J123" s="26"/>
      <c r="K123" s="76"/>
      <c r="L123" s="77"/>
      <c r="M123" s="78"/>
      <c r="N123" s="646"/>
      <c r="O123" s="647"/>
      <c r="P123" s="26"/>
    </row>
    <row r="124" spans="1:16" ht="15.75" customHeight="1">
      <c r="A124" s="53"/>
      <c r="B124" s="54"/>
      <c r="C124" s="55"/>
      <c r="D124" s="62"/>
      <c r="E124" s="62"/>
      <c r="F124" s="57"/>
      <c r="G124" s="645"/>
      <c r="H124" s="56"/>
      <c r="I124" s="27"/>
      <c r="J124" s="26"/>
      <c r="K124" s="76"/>
      <c r="L124" s="77"/>
      <c r="M124" s="78"/>
      <c r="N124" s="646"/>
      <c r="O124" s="647"/>
      <c r="P124" s="26"/>
    </row>
    <row r="125" spans="1:16" ht="15.75" customHeight="1">
      <c r="A125" s="53"/>
      <c r="B125" s="54"/>
      <c r="C125" s="55"/>
      <c r="D125" s="62"/>
      <c r="E125" s="62"/>
      <c r="F125" s="57"/>
      <c r="G125" s="645"/>
      <c r="H125" s="56"/>
      <c r="I125" s="27"/>
      <c r="J125" s="26"/>
      <c r="K125" s="76"/>
      <c r="L125" s="77"/>
      <c r="M125" s="78"/>
      <c r="N125" s="646"/>
      <c r="O125" s="647"/>
      <c r="P125" s="26"/>
    </row>
    <row r="126" spans="1:16" ht="15.75" customHeight="1">
      <c r="A126" s="53"/>
      <c r="B126" s="54"/>
      <c r="C126" s="55"/>
      <c r="D126" s="62"/>
      <c r="E126" s="62"/>
      <c r="F126" s="57"/>
      <c r="G126" s="645"/>
      <c r="H126" s="56"/>
      <c r="I126" s="27"/>
      <c r="J126" s="26"/>
      <c r="K126" s="76"/>
      <c r="L126" s="77"/>
      <c r="M126" s="78"/>
      <c r="N126" s="646"/>
      <c r="O126" s="647"/>
      <c r="P126" s="26"/>
    </row>
    <row r="127" spans="1:16" ht="15.75" customHeight="1">
      <c r="A127" s="53"/>
      <c r="B127" s="54"/>
      <c r="C127" s="55"/>
      <c r="D127" s="62"/>
      <c r="E127" s="62"/>
      <c r="F127" s="57"/>
      <c r="G127" s="645"/>
      <c r="H127" s="56"/>
      <c r="I127" s="27"/>
      <c r="J127" s="26"/>
      <c r="K127" s="76"/>
      <c r="L127" s="77"/>
      <c r="M127" s="78"/>
      <c r="N127" s="646"/>
      <c r="O127" s="647"/>
      <c r="P127" s="26"/>
    </row>
    <row r="128" spans="1:16" ht="15.75" customHeight="1">
      <c r="A128" s="53"/>
      <c r="B128" s="54"/>
      <c r="C128" s="55"/>
      <c r="D128" s="62"/>
      <c r="E128" s="62"/>
      <c r="F128" s="57"/>
      <c r="G128" s="645"/>
      <c r="H128" s="56"/>
      <c r="I128" s="27"/>
      <c r="J128" s="26"/>
      <c r="K128" s="76"/>
      <c r="L128" s="77"/>
      <c r="M128" s="78"/>
      <c r="N128" s="646"/>
      <c r="O128" s="647"/>
      <c r="P128" s="26"/>
    </row>
    <row r="129" spans="1:16" ht="15.75" customHeight="1">
      <c r="A129" s="53"/>
      <c r="B129" s="54"/>
      <c r="C129" s="55"/>
      <c r="D129" s="62"/>
      <c r="E129" s="62"/>
      <c r="F129" s="57"/>
      <c r="G129" s="645"/>
      <c r="H129" s="56"/>
      <c r="I129" s="27"/>
      <c r="J129" s="26"/>
      <c r="K129" s="76"/>
      <c r="L129" s="77"/>
      <c r="M129" s="78"/>
      <c r="N129" s="646"/>
      <c r="O129" s="647"/>
      <c r="P129" s="26"/>
    </row>
    <row r="130" spans="1:16" ht="15.75" customHeight="1">
      <c r="A130" s="53"/>
      <c r="B130" s="54"/>
      <c r="C130" s="55"/>
      <c r="D130" s="62"/>
      <c r="E130" s="62"/>
      <c r="F130" s="57"/>
      <c r="G130" s="645"/>
      <c r="H130" s="56"/>
      <c r="I130" s="27"/>
      <c r="J130" s="26"/>
      <c r="K130" s="76"/>
      <c r="L130" s="77"/>
      <c r="M130" s="78"/>
      <c r="N130" s="646"/>
      <c r="O130" s="647"/>
      <c r="P130" s="26"/>
    </row>
    <row r="131" spans="1:16" ht="15.75" customHeight="1">
      <c r="A131" s="53"/>
      <c r="B131" s="54"/>
      <c r="C131" s="55"/>
      <c r="D131" s="62"/>
      <c r="E131" s="62"/>
      <c r="F131" s="57"/>
      <c r="G131" s="645"/>
      <c r="H131" s="56"/>
      <c r="I131" s="27"/>
      <c r="J131" s="26"/>
      <c r="K131" s="76"/>
      <c r="L131" s="77"/>
      <c r="M131" s="78"/>
      <c r="N131" s="646"/>
      <c r="O131" s="647"/>
      <c r="P131" s="26"/>
    </row>
    <row r="132" spans="1:16" ht="15.75" customHeight="1">
      <c r="A132" s="53"/>
      <c r="B132" s="54"/>
      <c r="C132" s="55"/>
      <c r="D132" s="62"/>
      <c r="E132" s="62"/>
      <c r="F132" s="57"/>
      <c r="G132" s="645"/>
      <c r="H132" s="56"/>
      <c r="I132" s="27"/>
      <c r="J132" s="26"/>
      <c r="K132" s="76"/>
      <c r="L132" s="77"/>
      <c r="M132" s="78"/>
      <c r="N132" s="646"/>
      <c r="O132" s="647"/>
      <c r="P132" s="26"/>
    </row>
    <row r="133" spans="1:16" ht="15.75" customHeight="1">
      <c r="A133" s="53"/>
      <c r="B133" s="54"/>
      <c r="C133" s="55"/>
      <c r="D133" s="62"/>
      <c r="E133" s="62"/>
      <c r="F133" s="57"/>
      <c r="G133" s="645"/>
      <c r="H133" s="56"/>
      <c r="I133" s="27"/>
      <c r="J133" s="26"/>
      <c r="K133" s="76"/>
      <c r="L133" s="77"/>
      <c r="M133" s="78"/>
      <c r="N133" s="646"/>
      <c r="O133" s="647"/>
      <c r="P133" s="26"/>
    </row>
    <row r="134" spans="1:16" ht="15.75" customHeight="1">
      <c r="A134" s="53"/>
      <c r="B134" s="54"/>
      <c r="C134" s="55"/>
      <c r="D134" s="62"/>
      <c r="E134" s="62"/>
      <c r="F134" s="57"/>
      <c r="G134" s="645"/>
      <c r="H134" s="56"/>
      <c r="I134" s="27"/>
      <c r="J134" s="26"/>
      <c r="K134" s="76"/>
      <c r="L134" s="77"/>
      <c r="M134" s="78"/>
      <c r="N134" s="646"/>
      <c r="O134" s="647"/>
      <c r="P134" s="26"/>
    </row>
    <row r="135" spans="1:16" ht="15.75" customHeight="1">
      <c r="A135" s="53"/>
      <c r="B135" s="54"/>
      <c r="C135" s="55"/>
      <c r="D135" s="62"/>
      <c r="E135" s="62"/>
      <c r="F135" s="57"/>
      <c r="G135" s="645"/>
      <c r="H135" s="56"/>
      <c r="I135" s="27"/>
      <c r="J135" s="26"/>
      <c r="K135" s="76"/>
      <c r="L135" s="77"/>
      <c r="M135" s="78"/>
      <c r="N135" s="646"/>
      <c r="O135" s="647"/>
      <c r="P135" s="26"/>
    </row>
    <row r="136" spans="1:16" ht="15.75" customHeight="1">
      <c r="A136" s="53"/>
      <c r="B136" s="54"/>
      <c r="C136" s="55"/>
      <c r="D136" s="62"/>
      <c r="E136" s="62"/>
      <c r="F136" s="57"/>
      <c r="G136" s="645"/>
      <c r="H136" s="56"/>
      <c r="I136" s="27"/>
      <c r="J136" s="26"/>
      <c r="K136" s="76"/>
      <c r="L136" s="77"/>
      <c r="M136" s="78"/>
      <c r="N136" s="646"/>
      <c r="O136" s="647"/>
      <c r="P136" s="26"/>
    </row>
    <row r="137" spans="1:16" ht="15.75" customHeight="1">
      <c r="A137" s="53"/>
      <c r="B137" s="54"/>
      <c r="C137" s="55"/>
      <c r="D137" s="62"/>
      <c r="E137" s="62"/>
      <c r="F137" s="57"/>
      <c r="G137" s="645"/>
      <c r="H137" s="56"/>
      <c r="I137" s="27"/>
      <c r="J137" s="26"/>
      <c r="K137" s="76"/>
      <c r="L137" s="77"/>
      <c r="M137" s="78"/>
      <c r="N137" s="646"/>
      <c r="O137" s="647"/>
      <c r="P137" s="26"/>
    </row>
    <row r="138" spans="1:16" ht="15.75" customHeight="1">
      <c r="A138" s="53"/>
      <c r="B138" s="54"/>
      <c r="C138" s="55"/>
      <c r="D138" s="62"/>
      <c r="E138" s="62"/>
      <c r="F138" s="57"/>
      <c r="G138" s="645"/>
      <c r="H138" s="56"/>
      <c r="I138" s="27"/>
      <c r="J138" s="26"/>
      <c r="K138" s="76"/>
      <c r="L138" s="77"/>
      <c r="M138" s="78"/>
      <c r="N138" s="646"/>
      <c r="O138" s="647"/>
      <c r="P138" s="26"/>
    </row>
    <row r="139" spans="1:16" ht="15.75" customHeight="1">
      <c r="A139" s="53"/>
      <c r="B139" s="54"/>
      <c r="C139" s="55"/>
      <c r="D139" s="62"/>
      <c r="E139" s="62"/>
      <c r="F139" s="57"/>
      <c r="G139" s="645"/>
      <c r="H139" s="56"/>
      <c r="I139" s="27"/>
      <c r="J139" s="26"/>
      <c r="K139" s="76"/>
      <c r="L139" s="77"/>
      <c r="M139" s="78"/>
      <c r="N139" s="646"/>
      <c r="O139" s="647"/>
      <c r="P139" s="26"/>
    </row>
    <row r="140" spans="1:16" ht="15.75" customHeight="1">
      <c r="A140" s="53"/>
      <c r="B140" s="54"/>
      <c r="C140" s="55"/>
      <c r="D140" s="62"/>
      <c r="E140" s="62"/>
      <c r="F140" s="57"/>
      <c r="G140" s="645"/>
      <c r="H140" s="56"/>
      <c r="I140" s="27"/>
      <c r="J140" s="26"/>
      <c r="K140" s="76"/>
      <c r="L140" s="77"/>
      <c r="M140" s="78"/>
      <c r="N140" s="646"/>
      <c r="O140" s="647"/>
      <c r="P140" s="26"/>
    </row>
    <row r="141" spans="1:16" ht="15.75" customHeight="1">
      <c r="A141" s="53"/>
      <c r="B141" s="54"/>
      <c r="C141" s="55"/>
      <c r="D141" s="62"/>
      <c r="E141" s="62"/>
      <c r="F141" s="57"/>
      <c r="G141" s="645"/>
      <c r="H141" s="56"/>
      <c r="I141" s="27"/>
      <c r="J141" s="26"/>
      <c r="K141" s="76"/>
      <c r="L141" s="77"/>
      <c r="M141" s="78"/>
      <c r="N141" s="646"/>
      <c r="O141" s="647"/>
      <c r="P141" s="26"/>
    </row>
    <row r="142" spans="1:16" ht="15.75" customHeight="1">
      <c r="A142" s="53"/>
      <c r="B142" s="54"/>
      <c r="C142" s="55"/>
      <c r="D142" s="62"/>
      <c r="E142" s="62"/>
      <c r="F142" s="57"/>
      <c r="G142" s="645"/>
      <c r="H142" s="56"/>
      <c r="I142" s="27"/>
      <c r="J142" s="26"/>
      <c r="K142" s="76"/>
      <c r="L142" s="77"/>
      <c r="M142" s="78"/>
      <c r="N142" s="646"/>
      <c r="O142" s="647"/>
      <c r="P142" s="26"/>
    </row>
    <row r="143" spans="1:16" ht="15.75" customHeight="1">
      <c r="A143" s="53"/>
      <c r="B143" s="54"/>
      <c r="C143" s="55"/>
      <c r="D143" s="62"/>
      <c r="E143" s="62"/>
      <c r="F143" s="57"/>
      <c r="G143" s="645"/>
      <c r="H143" s="56"/>
      <c r="I143" s="27"/>
      <c r="J143" s="26"/>
      <c r="K143" s="76"/>
      <c r="L143" s="77"/>
      <c r="M143" s="78"/>
      <c r="N143" s="646"/>
      <c r="O143" s="647"/>
      <c r="P143" s="26"/>
    </row>
    <row r="144" spans="1:16" ht="15.75" customHeight="1">
      <c r="A144" s="53"/>
      <c r="B144" s="54"/>
      <c r="C144" s="55"/>
      <c r="D144" s="62"/>
      <c r="E144" s="62"/>
      <c r="F144" s="57"/>
      <c r="G144" s="645"/>
      <c r="H144" s="56"/>
      <c r="I144" s="27"/>
      <c r="J144" s="26"/>
      <c r="K144" s="76"/>
      <c r="L144" s="77"/>
      <c r="M144" s="78"/>
      <c r="N144" s="646"/>
      <c r="O144" s="647"/>
      <c r="P144" s="26"/>
    </row>
    <row r="145" spans="1:16" ht="15.75" customHeight="1">
      <c r="A145" s="53"/>
      <c r="B145" s="54"/>
      <c r="C145" s="55"/>
      <c r="D145" s="62"/>
      <c r="E145" s="62"/>
      <c r="F145" s="57"/>
      <c r="G145" s="645"/>
      <c r="H145" s="56"/>
      <c r="I145" s="27"/>
      <c r="J145" s="26"/>
      <c r="K145" s="76"/>
      <c r="L145" s="77"/>
      <c r="M145" s="78"/>
      <c r="N145" s="646"/>
      <c r="O145" s="647"/>
      <c r="P145" s="26"/>
    </row>
    <row r="146" spans="1:16" ht="15.75" customHeight="1">
      <c r="A146" s="53"/>
      <c r="B146" s="54"/>
      <c r="C146" s="55"/>
      <c r="D146" s="62"/>
      <c r="E146" s="62"/>
      <c r="F146" s="57"/>
      <c r="G146" s="645"/>
      <c r="H146" s="56"/>
      <c r="I146" s="27"/>
      <c r="J146" s="26"/>
      <c r="K146" s="76"/>
      <c r="L146" s="77"/>
      <c r="M146" s="78"/>
      <c r="N146" s="646"/>
      <c r="O146" s="647"/>
      <c r="P146" s="26"/>
    </row>
    <row r="147" spans="1:16" ht="15.75" customHeight="1">
      <c r="A147" s="53"/>
      <c r="B147" s="54"/>
      <c r="C147" s="55"/>
      <c r="D147" s="62"/>
      <c r="E147" s="62"/>
      <c r="F147" s="57"/>
      <c r="G147" s="645"/>
      <c r="H147" s="56"/>
      <c r="I147" s="27"/>
      <c r="J147" s="26"/>
      <c r="K147" s="76"/>
      <c r="L147" s="77"/>
      <c r="M147" s="78"/>
      <c r="N147" s="646"/>
      <c r="O147" s="647"/>
      <c r="P147" s="26"/>
    </row>
    <row r="148" spans="1:16" ht="15.75" customHeight="1">
      <c r="A148" s="53"/>
      <c r="B148" s="54"/>
      <c r="C148" s="55"/>
      <c r="D148" s="62"/>
      <c r="E148" s="62"/>
      <c r="F148" s="57"/>
      <c r="G148" s="645"/>
      <c r="H148" s="56"/>
      <c r="I148" s="27"/>
      <c r="J148" s="26"/>
      <c r="K148" s="76"/>
      <c r="L148" s="77"/>
      <c r="M148" s="78"/>
      <c r="N148" s="646"/>
      <c r="O148" s="647"/>
      <c r="P148" s="26"/>
    </row>
    <row r="149" spans="1:16" ht="15.75" customHeight="1">
      <c r="A149" s="53"/>
      <c r="B149" s="54"/>
      <c r="C149" s="55"/>
      <c r="D149" s="62"/>
      <c r="E149" s="62"/>
      <c r="F149" s="57"/>
      <c r="G149" s="645"/>
      <c r="H149" s="56"/>
      <c r="I149" s="27"/>
      <c r="J149" s="26"/>
      <c r="K149" s="76"/>
      <c r="L149" s="77"/>
      <c r="M149" s="78"/>
      <c r="N149" s="646"/>
      <c r="O149" s="647"/>
      <c r="P149" s="26"/>
    </row>
    <row r="150" spans="1:16" ht="15.75" customHeight="1">
      <c r="A150" s="53"/>
      <c r="B150" s="54"/>
      <c r="C150" s="55"/>
      <c r="D150" s="62"/>
      <c r="E150" s="62"/>
      <c r="F150" s="57"/>
      <c r="G150" s="645"/>
      <c r="H150" s="56"/>
      <c r="I150" s="27"/>
      <c r="J150" s="26"/>
      <c r="K150" s="76"/>
      <c r="L150" s="77"/>
      <c r="M150" s="78"/>
      <c r="N150" s="646"/>
      <c r="O150" s="647"/>
      <c r="P150" s="26"/>
    </row>
    <row r="151" spans="1:16" ht="15.75" customHeight="1">
      <c r="A151" s="53"/>
      <c r="B151" s="54"/>
      <c r="C151" s="55"/>
      <c r="D151" s="62"/>
      <c r="E151" s="62"/>
      <c r="F151" s="57"/>
      <c r="G151" s="645"/>
      <c r="H151" s="56"/>
      <c r="I151" s="27"/>
      <c r="J151" s="26"/>
      <c r="K151" s="76"/>
      <c r="L151" s="77"/>
      <c r="M151" s="78"/>
      <c r="N151" s="646"/>
      <c r="O151" s="647"/>
      <c r="P151" s="26"/>
    </row>
    <row r="152" spans="1:16" ht="15.75" customHeight="1">
      <c r="A152" s="53"/>
      <c r="B152" s="54"/>
      <c r="C152" s="55"/>
      <c r="D152" s="62"/>
      <c r="E152" s="62"/>
      <c r="F152" s="57"/>
      <c r="G152" s="645"/>
      <c r="H152" s="56"/>
      <c r="I152" s="27"/>
      <c r="J152" s="26"/>
      <c r="K152" s="76"/>
      <c r="L152" s="77"/>
      <c r="M152" s="78"/>
      <c r="N152" s="646"/>
      <c r="O152" s="647"/>
      <c r="P152" s="26"/>
    </row>
    <row r="153" spans="1:16" ht="15.75" customHeight="1">
      <c r="A153" s="53"/>
      <c r="B153" s="54"/>
      <c r="C153" s="55"/>
      <c r="D153" s="62"/>
      <c r="E153" s="62"/>
      <c r="F153" s="57"/>
      <c r="G153" s="645"/>
      <c r="H153" s="56"/>
      <c r="I153" s="27"/>
      <c r="J153" s="26"/>
      <c r="K153" s="76"/>
      <c r="L153" s="77"/>
      <c r="M153" s="78"/>
      <c r="N153" s="646"/>
      <c r="O153" s="647"/>
      <c r="P153" s="26"/>
    </row>
    <row r="154" spans="1:16" ht="15.75" customHeight="1">
      <c r="A154" s="53"/>
      <c r="B154" s="54"/>
      <c r="C154" s="55"/>
      <c r="D154" s="62"/>
      <c r="E154" s="62"/>
      <c r="F154" s="57"/>
      <c r="G154" s="645"/>
      <c r="H154" s="56"/>
      <c r="I154" s="27"/>
      <c r="J154" s="26"/>
      <c r="K154" s="76"/>
      <c r="L154" s="77"/>
      <c r="M154" s="78"/>
      <c r="N154" s="646"/>
      <c r="O154" s="647"/>
      <c r="P154" s="26"/>
    </row>
    <row r="155" spans="1:16" ht="15.75" customHeight="1">
      <c r="A155" s="53"/>
      <c r="B155" s="54"/>
      <c r="C155" s="55"/>
      <c r="D155" s="62"/>
      <c r="E155" s="62"/>
      <c r="F155" s="57"/>
      <c r="G155" s="645"/>
      <c r="H155" s="56"/>
      <c r="I155" s="27"/>
      <c r="J155" s="26"/>
      <c r="K155" s="76"/>
      <c r="L155" s="77"/>
      <c r="M155" s="78"/>
      <c r="N155" s="646"/>
      <c r="O155" s="647"/>
      <c r="P155" s="26"/>
    </row>
    <row r="156" spans="1:16" ht="15.75" customHeight="1">
      <c r="A156" s="53"/>
      <c r="B156" s="54"/>
      <c r="C156" s="55"/>
      <c r="D156" s="62"/>
      <c r="E156" s="62"/>
      <c r="F156" s="57"/>
      <c r="G156" s="645"/>
      <c r="H156" s="56"/>
      <c r="I156" s="27"/>
      <c r="J156" s="26"/>
      <c r="K156" s="76"/>
      <c r="L156" s="77"/>
      <c r="M156" s="78"/>
      <c r="N156" s="646"/>
      <c r="O156" s="647"/>
      <c r="P156" s="26"/>
    </row>
    <row r="157" spans="1:16" ht="15.75" customHeight="1">
      <c r="A157" s="53"/>
      <c r="B157" s="54"/>
      <c r="C157" s="55"/>
      <c r="D157" s="62"/>
      <c r="E157" s="62"/>
      <c r="F157" s="57"/>
      <c r="G157" s="645"/>
      <c r="H157" s="56"/>
      <c r="I157" s="27"/>
      <c r="J157" s="26"/>
      <c r="K157" s="76"/>
      <c r="L157" s="77"/>
      <c r="M157" s="78"/>
      <c r="N157" s="646"/>
      <c r="O157" s="647"/>
      <c r="P157" s="26"/>
    </row>
    <row r="158" spans="1:16" ht="15.75" customHeight="1">
      <c r="A158" s="53"/>
      <c r="B158" s="54"/>
      <c r="C158" s="55"/>
      <c r="D158" s="62"/>
      <c r="E158" s="62"/>
      <c r="F158" s="57"/>
      <c r="G158" s="645"/>
      <c r="H158" s="56"/>
      <c r="I158" s="27"/>
      <c r="J158" s="26"/>
      <c r="K158" s="76"/>
      <c r="L158" s="77"/>
      <c r="M158" s="78"/>
      <c r="N158" s="646"/>
      <c r="O158" s="647"/>
      <c r="P158" s="26"/>
    </row>
    <row r="159" spans="1:16" ht="15.75" customHeight="1">
      <c r="A159" s="53"/>
      <c r="B159" s="54"/>
      <c r="C159" s="55"/>
      <c r="D159" s="62"/>
      <c r="E159" s="62"/>
      <c r="F159" s="57"/>
      <c r="G159" s="645"/>
      <c r="H159" s="56"/>
      <c r="I159" s="27"/>
      <c r="J159" s="26"/>
      <c r="K159" s="76"/>
      <c r="L159" s="77"/>
      <c r="M159" s="78"/>
      <c r="N159" s="646"/>
      <c r="O159" s="647"/>
      <c r="P159" s="26"/>
    </row>
    <row r="160" spans="1:16" ht="15.75" customHeight="1">
      <c r="A160" s="53"/>
      <c r="B160" s="54"/>
      <c r="C160" s="55"/>
      <c r="D160" s="62"/>
      <c r="E160" s="62"/>
      <c r="F160" s="57"/>
      <c r="G160" s="645"/>
      <c r="H160" s="56"/>
      <c r="I160" s="27"/>
      <c r="J160" s="26"/>
      <c r="K160" s="76"/>
      <c r="L160" s="77"/>
      <c r="M160" s="78"/>
      <c r="N160" s="646"/>
      <c r="O160" s="647"/>
      <c r="P160" s="26"/>
    </row>
    <row r="161" spans="1:16" ht="15.75" customHeight="1">
      <c r="A161" s="53"/>
      <c r="B161" s="54"/>
      <c r="C161" s="55"/>
      <c r="D161" s="62"/>
      <c r="E161" s="62"/>
      <c r="F161" s="57"/>
      <c r="G161" s="645"/>
      <c r="H161" s="56"/>
      <c r="I161" s="27"/>
      <c r="J161" s="26"/>
      <c r="K161" s="76"/>
      <c r="L161" s="77"/>
      <c r="M161" s="78"/>
      <c r="N161" s="646"/>
      <c r="O161" s="647"/>
      <c r="P161" s="26"/>
    </row>
    <row r="162" spans="1:16" ht="15.75" customHeight="1">
      <c r="A162" s="53"/>
      <c r="B162" s="54"/>
      <c r="C162" s="55"/>
      <c r="D162" s="62"/>
      <c r="E162" s="62"/>
      <c r="F162" s="57"/>
      <c r="G162" s="645"/>
      <c r="H162" s="56"/>
      <c r="I162" s="27"/>
      <c r="J162" s="26"/>
      <c r="K162" s="76"/>
      <c r="L162" s="77"/>
      <c r="M162" s="78"/>
      <c r="N162" s="646"/>
      <c r="O162" s="647"/>
      <c r="P162" s="26"/>
    </row>
    <row r="163" spans="1:16" ht="15.75" customHeight="1">
      <c r="A163" s="53"/>
      <c r="B163" s="54"/>
      <c r="C163" s="55"/>
      <c r="D163" s="62"/>
      <c r="E163" s="62"/>
      <c r="F163" s="57"/>
      <c r="G163" s="645"/>
      <c r="H163" s="56"/>
      <c r="I163" s="27"/>
      <c r="J163" s="26"/>
      <c r="K163" s="76"/>
      <c r="L163" s="77"/>
      <c r="M163" s="78"/>
      <c r="N163" s="646"/>
      <c r="O163" s="647"/>
      <c r="P163" s="26"/>
    </row>
    <row r="164" spans="1:16" ht="15.75" customHeight="1">
      <c r="A164" s="53"/>
      <c r="B164" s="54"/>
      <c r="C164" s="55"/>
      <c r="D164" s="62"/>
      <c r="E164" s="62"/>
      <c r="F164" s="57"/>
      <c r="G164" s="645"/>
      <c r="H164" s="56"/>
      <c r="I164" s="27"/>
      <c r="J164" s="26"/>
      <c r="K164" s="76"/>
      <c r="L164" s="77"/>
      <c r="M164" s="78"/>
      <c r="N164" s="646"/>
      <c r="O164" s="647"/>
      <c r="P164" s="26"/>
    </row>
    <row r="165" spans="1:16" ht="15.75" customHeight="1">
      <c r="A165" s="53"/>
      <c r="B165" s="54"/>
      <c r="C165" s="55"/>
      <c r="D165" s="62"/>
      <c r="E165" s="62"/>
      <c r="F165" s="57"/>
      <c r="G165" s="645"/>
      <c r="H165" s="56"/>
      <c r="I165" s="27"/>
      <c r="J165" s="26"/>
      <c r="K165" s="76"/>
      <c r="L165" s="77"/>
      <c r="M165" s="78"/>
      <c r="N165" s="646"/>
      <c r="O165" s="647"/>
      <c r="P165" s="26"/>
    </row>
    <row r="166" spans="1:16" ht="15.75" customHeight="1">
      <c r="A166" s="53"/>
      <c r="B166" s="54"/>
      <c r="C166" s="55"/>
      <c r="D166" s="62"/>
      <c r="E166" s="62"/>
      <c r="F166" s="57"/>
      <c r="G166" s="645"/>
      <c r="H166" s="56"/>
      <c r="I166" s="27"/>
      <c r="J166" s="26"/>
      <c r="K166" s="76"/>
      <c r="L166" s="77"/>
      <c r="M166" s="78"/>
      <c r="N166" s="646"/>
      <c r="O166" s="647"/>
      <c r="P166" s="26"/>
    </row>
    <row r="167" spans="1:16" ht="15.75" customHeight="1">
      <c r="A167" s="53"/>
      <c r="B167" s="54"/>
      <c r="C167" s="55"/>
      <c r="D167" s="62"/>
      <c r="E167" s="62"/>
      <c r="F167" s="57"/>
      <c r="G167" s="645"/>
      <c r="H167" s="56"/>
      <c r="I167" s="27"/>
      <c r="J167" s="26"/>
      <c r="K167" s="76"/>
      <c r="L167" s="77"/>
      <c r="M167" s="78"/>
      <c r="N167" s="646"/>
      <c r="O167" s="647"/>
      <c r="P167" s="26"/>
    </row>
    <row r="168" spans="1:16" ht="15.75" customHeight="1">
      <c r="A168" s="53"/>
      <c r="B168" s="54"/>
      <c r="C168" s="55"/>
      <c r="D168" s="62"/>
      <c r="E168" s="62"/>
      <c r="F168" s="57"/>
      <c r="G168" s="645"/>
      <c r="H168" s="56"/>
      <c r="I168" s="27"/>
      <c r="J168" s="26"/>
      <c r="K168" s="76"/>
      <c r="L168" s="77"/>
      <c r="M168" s="78"/>
      <c r="N168" s="646"/>
      <c r="O168" s="647"/>
      <c r="P168" s="26"/>
    </row>
    <row r="169" spans="1:16" ht="15.75" customHeight="1">
      <c r="A169" s="53"/>
      <c r="B169" s="54"/>
      <c r="C169" s="55"/>
      <c r="D169" s="62"/>
      <c r="E169" s="62"/>
      <c r="F169" s="57"/>
      <c r="G169" s="645"/>
      <c r="H169" s="56"/>
      <c r="I169" s="27"/>
      <c r="J169" s="26"/>
      <c r="K169" s="76"/>
      <c r="L169" s="77"/>
      <c r="M169" s="78"/>
      <c r="N169" s="646"/>
      <c r="O169" s="647"/>
      <c r="P169" s="26"/>
    </row>
    <row r="170" spans="1:16" ht="15.75" customHeight="1">
      <c r="A170" s="53"/>
      <c r="B170" s="54"/>
      <c r="C170" s="55"/>
      <c r="D170" s="62"/>
      <c r="E170" s="62"/>
      <c r="F170" s="57"/>
      <c r="G170" s="645"/>
      <c r="H170" s="56"/>
      <c r="I170" s="27"/>
      <c r="J170" s="26"/>
      <c r="K170" s="76"/>
      <c r="L170" s="77"/>
      <c r="M170" s="78"/>
      <c r="N170" s="646"/>
      <c r="O170" s="647"/>
      <c r="P170" s="26"/>
    </row>
    <row r="171" spans="1:16" ht="15.75" customHeight="1">
      <c r="A171" s="53"/>
      <c r="B171" s="54"/>
      <c r="C171" s="55"/>
      <c r="D171" s="62"/>
      <c r="E171" s="62"/>
      <c r="F171" s="57"/>
      <c r="G171" s="645"/>
      <c r="H171" s="56"/>
      <c r="I171" s="27"/>
      <c r="J171" s="26"/>
      <c r="K171" s="76"/>
      <c r="L171" s="77"/>
      <c r="M171" s="78"/>
      <c r="N171" s="646"/>
      <c r="O171" s="647"/>
      <c r="P171" s="26"/>
    </row>
    <row r="172" spans="1:16" ht="15.75" customHeight="1">
      <c r="A172" s="53"/>
      <c r="B172" s="54"/>
      <c r="C172" s="55"/>
      <c r="D172" s="62"/>
      <c r="E172" s="62"/>
      <c r="F172" s="57"/>
      <c r="G172" s="645"/>
      <c r="H172" s="56"/>
      <c r="I172" s="27"/>
      <c r="J172" s="26"/>
      <c r="K172" s="76"/>
      <c r="L172" s="77"/>
      <c r="M172" s="78"/>
      <c r="N172" s="646"/>
      <c r="O172" s="647"/>
      <c r="P172" s="26"/>
    </row>
    <row r="173" spans="1:16" ht="15.75" customHeight="1">
      <c r="A173" s="53"/>
      <c r="B173" s="54"/>
      <c r="C173" s="55"/>
      <c r="D173" s="62"/>
      <c r="E173" s="62"/>
      <c r="F173" s="57"/>
      <c r="G173" s="645"/>
      <c r="H173" s="56"/>
      <c r="I173" s="27"/>
      <c r="J173" s="26"/>
      <c r="K173" s="76"/>
      <c r="L173" s="77"/>
      <c r="M173" s="78"/>
      <c r="N173" s="646"/>
      <c r="O173" s="647"/>
      <c r="P173" s="26"/>
    </row>
    <row r="174" spans="1:16" ht="15.75" customHeight="1">
      <c r="A174" s="53"/>
      <c r="B174" s="54"/>
      <c r="C174" s="55"/>
      <c r="D174" s="62"/>
      <c r="E174" s="62"/>
      <c r="F174" s="57"/>
      <c r="G174" s="645"/>
      <c r="H174" s="56"/>
      <c r="I174" s="27"/>
      <c r="J174" s="26"/>
      <c r="K174" s="76"/>
      <c r="L174" s="77"/>
      <c r="M174" s="78"/>
      <c r="N174" s="646"/>
      <c r="O174" s="647"/>
      <c r="P174" s="26"/>
    </row>
    <row r="175" spans="1:16" ht="15.75" customHeight="1">
      <c r="A175" s="53"/>
      <c r="B175" s="54"/>
      <c r="C175" s="55"/>
      <c r="D175" s="62"/>
      <c r="E175" s="62"/>
      <c r="F175" s="57"/>
      <c r="G175" s="645"/>
      <c r="H175" s="56"/>
      <c r="I175" s="27"/>
      <c r="J175" s="26"/>
      <c r="K175" s="76"/>
      <c r="L175" s="77"/>
      <c r="M175" s="78"/>
      <c r="N175" s="646"/>
      <c r="O175" s="647"/>
      <c r="P175" s="26"/>
    </row>
    <row r="176" spans="1:16" ht="15.75" customHeight="1">
      <c r="A176" s="53"/>
      <c r="B176" s="54"/>
      <c r="C176" s="55"/>
      <c r="D176" s="62"/>
      <c r="E176" s="62"/>
      <c r="F176" s="57"/>
      <c r="G176" s="645"/>
      <c r="H176" s="56"/>
      <c r="I176" s="27"/>
      <c r="J176" s="26"/>
      <c r="K176" s="76"/>
      <c r="L176" s="77"/>
      <c r="M176" s="78"/>
      <c r="N176" s="646"/>
      <c r="O176" s="647"/>
      <c r="P176" s="26"/>
    </row>
    <row r="177" spans="1:16" ht="15.75" customHeight="1">
      <c r="A177" s="53"/>
      <c r="B177" s="54"/>
      <c r="C177" s="55"/>
      <c r="D177" s="62"/>
      <c r="E177" s="62"/>
      <c r="F177" s="57"/>
      <c r="G177" s="645"/>
      <c r="H177" s="56"/>
      <c r="I177" s="27"/>
      <c r="J177" s="26"/>
      <c r="K177" s="76"/>
      <c r="L177" s="77"/>
      <c r="M177" s="78"/>
      <c r="N177" s="646"/>
      <c r="O177" s="647"/>
      <c r="P177" s="26"/>
    </row>
    <row r="178" spans="1:16" ht="15.75" customHeight="1">
      <c r="A178" s="53"/>
      <c r="B178" s="54"/>
      <c r="C178" s="55"/>
      <c r="D178" s="62"/>
      <c r="E178" s="62"/>
      <c r="F178" s="57"/>
      <c r="G178" s="645"/>
      <c r="H178" s="56"/>
      <c r="I178" s="27"/>
      <c r="J178" s="26"/>
      <c r="K178" s="76"/>
      <c r="L178" s="77"/>
      <c r="M178" s="78"/>
      <c r="N178" s="646"/>
      <c r="O178" s="647"/>
      <c r="P178" s="26"/>
    </row>
    <row r="179" spans="1:16" ht="15.75" customHeight="1">
      <c r="A179" s="53"/>
      <c r="B179" s="54"/>
      <c r="C179" s="55"/>
      <c r="D179" s="62"/>
      <c r="E179" s="62"/>
      <c r="F179" s="57"/>
      <c r="G179" s="645"/>
      <c r="H179" s="56"/>
      <c r="I179" s="27"/>
      <c r="J179" s="26"/>
      <c r="K179" s="76"/>
      <c r="L179" s="77"/>
      <c r="M179" s="78"/>
      <c r="N179" s="646"/>
      <c r="O179" s="647"/>
      <c r="P179" s="26"/>
    </row>
    <row r="180" spans="1:16" ht="15.75" customHeight="1">
      <c r="A180" s="53"/>
      <c r="B180" s="54"/>
      <c r="C180" s="55"/>
      <c r="D180" s="62"/>
      <c r="E180" s="62"/>
      <c r="F180" s="57"/>
      <c r="G180" s="645"/>
      <c r="H180" s="56"/>
      <c r="I180" s="27"/>
      <c r="J180" s="26"/>
      <c r="K180" s="76"/>
      <c r="L180" s="77"/>
      <c r="M180" s="78"/>
      <c r="N180" s="646"/>
      <c r="O180" s="647"/>
      <c r="P180" s="26"/>
    </row>
    <row r="181" spans="1:16" ht="15.75" customHeight="1">
      <c r="A181" s="53"/>
      <c r="B181" s="54"/>
      <c r="C181" s="55"/>
      <c r="D181" s="62"/>
      <c r="E181" s="62"/>
      <c r="F181" s="57"/>
      <c r="G181" s="645"/>
      <c r="H181" s="56"/>
      <c r="I181" s="27"/>
      <c r="J181" s="26"/>
      <c r="K181" s="76"/>
      <c r="L181" s="77"/>
      <c r="M181" s="78"/>
      <c r="N181" s="646"/>
      <c r="O181" s="647"/>
      <c r="P181" s="26"/>
    </row>
    <row r="182" spans="1:16" ht="15.75" customHeight="1">
      <c r="A182" s="53"/>
      <c r="B182" s="54"/>
      <c r="C182" s="55"/>
      <c r="D182" s="62"/>
      <c r="E182" s="62"/>
      <c r="F182" s="57"/>
      <c r="G182" s="645"/>
      <c r="H182" s="56"/>
      <c r="I182" s="27"/>
      <c r="J182" s="26"/>
      <c r="K182" s="76"/>
      <c r="L182" s="77"/>
      <c r="M182" s="78"/>
      <c r="N182" s="646"/>
      <c r="O182" s="647"/>
      <c r="P182" s="26"/>
    </row>
    <row r="183" spans="1:16" ht="15.75" customHeight="1">
      <c r="A183" s="53"/>
      <c r="B183" s="54"/>
      <c r="C183" s="55"/>
      <c r="D183" s="62"/>
      <c r="E183" s="62"/>
      <c r="F183" s="57"/>
      <c r="G183" s="645"/>
      <c r="H183" s="56"/>
      <c r="I183" s="27"/>
      <c r="J183" s="26"/>
      <c r="K183" s="76"/>
      <c r="L183" s="77"/>
      <c r="M183" s="78"/>
      <c r="N183" s="646"/>
      <c r="O183" s="647"/>
      <c r="P183" s="26"/>
    </row>
    <row r="184" spans="1:16" ht="15.75" customHeight="1">
      <c r="A184" s="53"/>
      <c r="B184" s="54"/>
      <c r="C184" s="55"/>
      <c r="D184" s="62"/>
      <c r="E184" s="62"/>
      <c r="F184" s="57"/>
      <c r="G184" s="645"/>
      <c r="H184" s="56"/>
      <c r="I184" s="27"/>
      <c r="J184" s="26"/>
      <c r="K184" s="76"/>
      <c r="L184" s="77"/>
      <c r="M184" s="78"/>
      <c r="N184" s="646"/>
      <c r="O184" s="647"/>
      <c r="P184" s="26"/>
    </row>
    <row r="185" spans="1:16" ht="15.75" customHeight="1">
      <c r="A185" s="53"/>
      <c r="B185" s="54"/>
      <c r="C185" s="55"/>
      <c r="D185" s="62"/>
      <c r="E185" s="62"/>
      <c r="F185" s="57"/>
      <c r="G185" s="645"/>
      <c r="H185" s="56"/>
      <c r="I185" s="27"/>
      <c r="J185" s="26"/>
      <c r="K185" s="76"/>
      <c r="L185" s="77"/>
      <c r="M185" s="78"/>
      <c r="N185" s="646"/>
      <c r="O185" s="647"/>
      <c r="P185" s="26"/>
    </row>
    <row r="186" spans="1:16" ht="15.75" customHeight="1">
      <c r="A186" s="53"/>
      <c r="B186" s="54"/>
      <c r="C186" s="55"/>
      <c r="D186" s="62"/>
      <c r="E186" s="62"/>
      <c r="F186" s="57"/>
      <c r="G186" s="645"/>
      <c r="H186" s="56"/>
      <c r="I186" s="27"/>
      <c r="J186" s="26"/>
      <c r="K186" s="76"/>
      <c r="L186" s="77"/>
      <c r="M186" s="78"/>
      <c r="N186" s="646"/>
      <c r="O186" s="647"/>
      <c r="P186" s="26"/>
    </row>
    <row r="187" spans="1:16" ht="15.75" customHeight="1">
      <c r="A187" s="53"/>
      <c r="B187" s="54"/>
      <c r="C187" s="55"/>
      <c r="D187" s="62"/>
      <c r="E187" s="62"/>
      <c r="F187" s="57"/>
      <c r="G187" s="645"/>
      <c r="H187" s="56"/>
      <c r="I187" s="27"/>
      <c r="J187" s="26"/>
      <c r="K187" s="76"/>
      <c r="L187" s="77"/>
      <c r="M187" s="78"/>
      <c r="N187" s="646"/>
      <c r="O187" s="647"/>
      <c r="P187" s="26"/>
    </row>
    <row r="188" spans="1:16" ht="15.75" customHeight="1">
      <c r="A188" s="53"/>
      <c r="B188" s="54"/>
      <c r="C188" s="55"/>
      <c r="D188" s="62"/>
      <c r="E188" s="62"/>
      <c r="F188" s="57"/>
      <c r="G188" s="645"/>
      <c r="H188" s="56"/>
      <c r="I188" s="27"/>
      <c r="J188" s="26"/>
      <c r="K188" s="76"/>
      <c r="L188" s="77"/>
      <c r="M188" s="78"/>
      <c r="N188" s="646"/>
      <c r="O188" s="647"/>
      <c r="P188" s="26"/>
    </row>
    <row r="189" spans="1:16" ht="15.75" customHeight="1">
      <c r="A189" s="53"/>
      <c r="B189" s="54"/>
      <c r="C189" s="55"/>
      <c r="D189" s="62"/>
      <c r="E189" s="62"/>
      <c r="F189" s="57"/>
      <c r="G189" s="645"/>
      <c r="H189" s="56"/>
      <c r="I189" s="27"/>
      <c r="J189" s="26"/>
      <c r="K189" s="76"/>
      <c r="L189" s="77"/>
      <c r="M189" s="78"/>
      <c r="N189" s="646"/>
      <c r="O189" s="647"/>
      <c r="P189" s="26"/>
    </row>
    <row r="190" spans="1:16" ht="15.75" customHeight="1">
      <c r="A190" s="53"/>
      <c r="B190" s="54"/>
      <c r="C190" s="55"/>
      <c r="D190" s="62"/>
      <c r="E190" s="62"/>
      <c r="F190" s="57"/>
      <c r="G190" s="645"/>
      <c r="H190" s="56"/>
      <c r="I190" s="27"/>
      <c r="J190" s="26"/>
      <c r="K190" s="76"/>
      <c r="L190" s="77"/>
      <c r="M190" s="78"/>
      <c r="N190" s="646"/>
      <c r="O190" s="647"/>
      <c r="P190" s="26"/>
    </row>
    <row r="191" spans="1:16" ht="15.75" customHeight="1">
      <c r="A191" s="53"/>
      <c r="B191" s="54"/>
      <c r="C191" s="55"/>
      <c r="D191" s="62"/>
      <c r="E191" s="62"/>
      <c r="F191" s="57"/>
      <c r="G191" s="645"/>
      <c r="H191" s="56"/>
      <c r="I191" s="27"/>
      <c r="J191" s="26"/>
      <c r="K191" s="76"/>
      <c r="L191" s="77"/>
      <c r="M191" s="78"/>
      <c r="N191" s="646"/>
      <c r="O191" s="647"/>
      <c r="P191" s="26"/>
    </row>
    <row r="192" spans="1:16" ht="15.75" customHeight="1">
      <c r="A192" s="53"/>
      <c r="B192" s="54"/>
      <c r="C192" s="55"/>
      <c r="D192" s="62"/>
      <c r="E192" s="62"/>
      <c r="F192" s="57"/>
      <c r="G192" s="645"/>
      <c r="H192" s="56"/>
      <c r="I192" s="27"/>
      <c r="J192" s="26"/>
      <c r="K192" s="76"/>
      <c r="L192" s="77"/>
      <c r="M192" s="78"/>
      <c r="N192" s="646"/>
      <c r="O192" s="647"/>
      <c r="P192" s="26"/>
    </row>
    <row r="193" spans="1:16" ht="15.75" customHeight="1">
      <c r="A193" s="53"/>
      <c r="B193" s="54"/>
      <c r="C193" s="55"/>
      <c r="D193" s="62"/>
      <c r="E193" s="62"/>
      <c r="F193" s="57"/>
      <c r="G193" s="645"/>
      <c r="H193" s="56"/>
      <c r="I193" s="27"/>
      <c r="J193" s="26"/>
      <c r="K193" s="76"/>
      <c r="L193" s="77"/>
      <c r="M193" s="78"/>
      <c r="N193" s="646"/>
      <c r="O193" s="647"/>
      <c r="P193" s="26"/>
    </row>
    <row r="194" spans="1:16" ht="15.75" customHeight="1">
      <c r="A194" s="53"/>
      <c r="B194" s="54"/>
      <c r="C194" s="55"/>
      <c r="D194" s="62"/>
      <c r="E194" s="62"/>
      <c r="F194" s="57"/>
      <c r="G194" s="645"/>
      <c r="H194" s="56"/>
      <c r="I194" s="27"/>
      <c r="J194" s="26"/>
      <c r="K194" s="76"/>
      <c r="L194" s="77"/>
      <c r="M194" s="78"/>
      <c r="N194" s="646"/>
      <c r="O194" s="647"/>
      <c r="P194" s="26"/>
    </row>
    <row r="195" spans="1:16" ht="15.75" customHeight="1">
      <c r="A195" s="53"/>
      <c r="B195" s="54"/>
      <c r="C195" s="55"/>
      <c r="D195" s="62"/>
      <c r="E195" s="62"/>
      <c r="F195" s="57"/>
      <c r="G195" s="645"/>
      <c r="H195" s="56"/>
      <c r="I195" s="27"/>
      <c r="J195" s="26"/>
      <c r="K195" s="76"/>
      <c r="L195" s="77"/>
      <c r="M195" s="78"/>
      <c r="N195" s="646"/>
      <c r="O195" s="647"/>
      <c r="P195" s="26"/>
    </row>
    <row r="196" spans="1:16" ht="15.75" customHeight="1">
      <c r="A196" s="53"/>
      <c r="B196" s="54"/>
      <c r="C196" s="55"/>
      <c r="D196" s="62"/>
      <c r="E196" s="62"/>
      <c r="F196" s="57"/>
      <c r="G196" s="645"/>
      <c r="H196" s="56"/>
      <c r="I196" s="27"/>
      <c r="J196" s="26"/>
      <c r="K196" s="76"/>
      <c r="L196" s="77"/>
      <c r="M196" s="78"/>
      <c r="N196" s="646"/>
      <c r="O196" s="647"/>
      <c r="P196" s="26"/>
    </row>
    <row r="197" spans="1:16" ht="15.75" customHeight="1">
      <c r="A197" s="53"/>
      <c r="B197" s="54"/>
      <c r="C197" s="55"/>
      <c r="D197" s="62"/>
      <c r="E197" s="62"/>
      <c r="F197" s="57"/>
      <c r="G197" s="645"/>
      <c r="H197" s="56"/>
      <c r="I197" s="27"/>
      <c r="J197" s="26"/>
      <c r="K197" s="76"/>
      <c r="L197" s="77"/>
      <c r="M197" s="78"/>
      <c r="N197" s="646"/>
      <c r="O197" s="647"/>
      <c r="P197" s="26"/>
    </row>
    <row r="198" spans="1:16" ht="15.75" customHeight="1">
      <c r="A198" s="53"/>
      <c r="B198" s="54"/>
      <c r="C198" s="55"/>
      <c r="D198" s="62"/>
      <c r="E198" s="62"/>
      <c r="F198" s="57"/>
      <c r="G198" s="645"/>
      <c r="H198" s="56"/>
      <c r="I198" s="27"/>
      <c r="J198" s="26"/>
      <c r="K198" s="76"/>
      <c r="L198" s="77"/>
      <c r="M198" s="78"/>
      <c r="N198" s="646"/>
      <c r="O198" s="647"/>
      <c r="P198" s="26"/>
    </row>
    <row r="199" spans="1:16" ht="15.75" customHeight="1">
      <c r="A199" s="53"/>
      <c r="B199" s="54"/>
      <c r="C199" s="55"/>
      <c r="D199" s="62"/>
      <c r="E199" s="62"/>
      <c r="F199" s="57"/>
      <c r="G199" s="645"/>
      <c r="H199" s="56"/>
      <c r="I199" s="27"/>
      <c r="J199" s="26"/>
      <c r="K199" s="76"/>
      <c r="L199" s="77"/>
      <c r="M199" s="78"/>
      <c r="N199" s="646"/>
      <c r="O199" s="647"/>
      <c r="P199" s="26"/>
    </row>
    <row r="200" spans="1:16" ht="15.75" customHeight="1">
      <c r="A200" s="53"/>
      <c r="B200" s="54"/>
      <c r="C200" s="55"/>
      <c r="D200" s="62"/>
      <c r="E200" s="62"/>
      <c r="F200" s="57"/>
      <c r="G200" s="645"/>
      <c r="H200" s="56"/>
      <c r="I200" s="27"/>
      <c r="J200" s="26"/>
      <c r="K200" s="76"/>
      <c r="L200" s="77"/>
      <c r="M200" s="78"/>
      <c r="N200" s="646"/>
      <c r="O200" s="647"/>
      <c r="P200" s="26"/>
    </row>
    <row r="201" spans="1:16" ht="15.75" customHeight="1">
      <c r="A201" s="53"/>
      <c r="B201" s="54"/>
      <c r="C201" s="55"/>
      <c r="D201" s="62"/>
      <c r="E201" s="62"/>
      <c r="F201" s="57"/>
      <c r="G201" s="645"/>
      <c r="H201" s="56"/>
      <c r="I201" s="27"/>
      <c r="J201" s="26"/>
      <c r="K201" s="76"/>
      <c r="L201" s="77"/>
      <c r="M201" s="78"/>
      <c r="N201" s="646"/>
      <c r="O201" s="647"/>
      <c r="P201" s="26"/>
    </row>
    <row r="202" spans="1:16" ht="15.75" customHeight="1">
      <c r="A202" s="53"/>
      <c r="B202" s="54"/>
      <c r="C202" s="55"/>
      <c r="D202" s="62"/>
      <c r="E202" s="62"/>
      <c r="F202" s="57"/>
      <c r="G202" s="645"/>
      <c r="H202" s="56"/>
      <c r="I202" s="27"/>
      <c r="J202" s="26"/>
      <c r="K202" s="76"/>
      <c r="L202" s="77"/>
      <c r="M202" s="78"/>
      <c r="N202" s="646"/>
      <c r="O202" s="647"/>
      <c r="P202" s="26"/>
    </row>
    <row r="203" spans="1:16" ht="15.75" customHeight="1">
      <c r="A203" s="53"/>
      <c r="B203" s="54"/>
      <c r="C203" s="55"/>
      <c r="D203" s="62"/>
      <c r="E203" s="62"/>
      <c r="F203" s="57"/>
      <c r="G203" s="645"/>
      <c r="H203" s="56"/>
      <c r="I203" s="27"/>
      <c r="J203" s="26"/>
      <c r="K203" s="76"/>
      <c r="L203" s="77"/>
      <c r="M203" s="78"/>
      <c r="N203" s="646"/>
      <c r="O203" s="647"/>
      <c r="P203" s="26"/>
    </row>
    <row r="204" spans="1:16" ht="15.75" customHeight="1">
      <c r="A204" s="53"/>
      <c r="B204" s="54"/>
      <c r="C204" s="55"/>
      <c r="D204" s="62"/>
      <c r="E204" s="62"/>
      <c r="F204" s="57"/>
      <c r="G204" s="645"/>
      <c r="H204" s="56"/>
      <c r="I204" s="27"/>
      <c r="J204" s="26"/>
      <c r="K204" s="76"/>
      <c r="L204" s="77"/>
      <c r="M204" s="78"/>
      <c r="N204" s="646"/>
      <c r="O204" s="647"/>
      <c r="P204" s="26"/>
    </row>
    <row r="205" spans="1:16" ht="15.75" customHeight="1">
      <c r="A205" s="53"/>
      <c r="B205" s="54"/>
      <c r="C205" s="55"/>
      <c r="D205" s="62"/>
      <c r="E205" s="62"/>
      <c r="F205" s="57"/>
      <c r="G205" s="645"/>
      <c r="H205" s="56"/>
      <c r="I205" s="27"/>
      <c r="J205" s="26"/>
      <c r="K205" s="76"/>
      <c r="L205" s="77"/>
      <c r="M205" s="78"/>
      <c r="N205" s="646"/>
      <c r="O205" s="647"/>
      <c r="P205" s="26"/>
    </row>
    <row r="206" spans="1:16" ht="15.75" customHeight="1">
      <c r="A206" s="53"/>
      <c r="B206" s="54"/>
      <c r="C206" s="55"/>
      <c r="D206" s="62"/>
      <c r="E206" s="62"/>
      <c r="F206" s="57"/>
      <c r="G206" s="645"/>
      <c r="H206" s="56"/>
      <c r="I206" s="27"/>
      <c r="J206" s="26"/>
      <c r="K206" s="76"/>
      <c r="L206" s="77"/>
      <c r="M206" s="78"/>
      <c r="N206" s="646"/>
      <c r="O206" s="647"/>
      <c r="P206" s="26"/>
    </row>
    <row r="207" spans="1:16" ht="15.75" customHeight="1">
      <c r="A207" s="53"/>
      <c r="B207" s="54"/>
      <c r="C207" s="55"/>
      <c r="D207" s="62"/>
      <c r="E207" s="62"/>
      <c r="F207" s="57"/>
      <c r="G207" s="645"/>
      <c r="H207" s="56"/>
      <c r="I207" s="27"/>
      <c r="J207" s="26"/>
      <c r="K207" s="76"/>
      <c r="L207" s="77"/>
      <c r="M207" s="78"/>
      <c r="N207" s="646"/>
      <c r="O207" s="647"/>
      <c r="P207" s="26"/>
    </row>
    <row r="208" spans="1:16" ht="15.75" customHeight="1">
      <c r="A208" s="53"/>
      <c r="B208" s="54"/>
      <c r="C208" s="55"/>
      <c r="D208" s="62"/>
      <c r="E208" s="62"/>
      <c r="F208" s="57"/>
      <c r="G208" s="645"/>
      <c r="H208" s="56"/>
      <c r="I208" s="27"/>
      <c r="J208" s="26"/>
      <c r="K208" s="76"/>
      <c r="L208" s="77"/>
      <c r="M208" s="78"/>
      <c r="N208" s="646"/>
      <c r="O208" s="647"/>
      <c r="P208" s="26"/>
    </row>
    <row r="209" spans="1:16" ht="15.75" customHeight="1">
      <c r="A209" s="53"/>
      <c r="B209" s="54"/>
      <c r="C209" s="55"/>
      <c r="D209" s="62"/>
      <c r="E209" s="62"/>
      <c r="F209" s="57"/>
      <c r="G209" s="645"/>
      <c r="H209" s="56"/>
      <c r="I209" s="27"/>
      <c r="J209" s="26"/>
      <c r="K209" s="76"/>
      <c r="L209" s="77"/>
      <c r="M209" s="78"/>
      <c r="N209" s="646"/>
      <c r="O209" s="647"/>
      <c r="P209" s="26"/>
    </row>
    <row r="210" spans="1:16" ht="15.75" customHeight="1">
      <c r="A210" s="53"/>
      <c r="B210" s="54"/>
      <c r="C210" s="55"/>
      <c r="D210" s="62"/>
      <c r="E210" s="62"/>
      <c r="F210" s="57"/>
      <c r="G210" s="645"/>
      <c r="H210" s="56"/>
      <c r="I210" s="27"/>
      <c r="J210" s="26"/>
      <c r="K210" s="76"/>
      <c r="L210" s="77"/>
      <c r="M210" s="78"/>
      <c r="N210" s="646"/>
      <c r="O210" s="647"/>
      <c r="P210" s="26"/>
    </row>
    <row r="211" spans="1:16" ht="15.75" customHeight="1">
      <c r="A211" s="53"/>
      <c r="B211" s="54"/>
      <c r="C211" s="55"/>
      <c r="D211" s="62"/>
      <c r="E211" s="62"/>
      <c r="F211" s="57"/>
      <c r="G211" s="645"/>
      <c r="H211" s="56"/>
      <c r="I211" s="27"/>
      <c r="J211" s="26"/>
      <c r="K211" s="76"/>
      <c r="L211" s="77"/>
      <c r="M211" s="78"/>
      <c r="N211" s="646"/>
      <c r="O211" s="647"/>
      <c r="P211" s="26"/>
    </row>
    <row r="212" spans="1:16" ht="15.75" customHeight="1">
      <c r="A212" s="53"/>
      <c r="B212" s="54"/>
      <c r="C212" s="55"/>
      <c r="D212" s="62"/>
      <c r="E212" s="62"/>
      <c r="F212" s="57"/>
      <c r="G212" s="645"/>
      <c r="H212" s="56"/>
      <c r="I212" s="27"/>
      <c r="J212" s="26"/>
      <c r="K212" s="76"/>
      <c r="L212" s="77"/>
      <c r="M212" s="78"/>
      <c r="N212" s="646"/>
      <c r="O212" s="647"/>
      <c r="P212" s="26"/>
    </row>
    <row r="213" spans="1:16" ht="15.75" customHeight="1">
      <c r="A213" s="53"/>
      <c r="B213" s="54"/>
      <c r="C213" s="55"/>
      <c r="D213" s="62"/>
      <c r="E213" s="62"/>
      <c r="F213" s="57"/>
      <c r="G213" s="645"/>
      <c r="H213" s="56"/>
      <c r="I213" s="27"/>
      <c r="J213" s="26"/>
      <c r="K213" s="76"/>
      <c r="L213" s="77"/>
      <c r="M213" s="78"/>
      <c r="N213" s="646"/>
      <c r="O213" s="647"/>
      <c r="P213" s="26"/>
    </row>
    <row r="214" spans="1:16" ht="15.75" customHeight="1">
      <c r="A214" s="53"/>
      <c r="B214" s="54"/>
      <c r="C214" s="55"/>
      <c r="D214" s="62"/>
      <c r="E214" s="62"/>
      <c r="F214" s="57"/>
      <c r="G214" s="645"/>
      <c r="H214" s="56"/>
      <c r="I214" s="27"/>
      <c r="J214" s="26"/>
      <c r="K214" s="76"/>
      <c r="L214" s="77"/>
      <c r="M214" s="78"/>
      <c r="N214" s="646"/>
      <c r="O214" s="647"/>
      <c r="P214" s="26"/>
    </row>
    <row r="215" spans="1:16" ht="15.75" customHeight="1">
      <c r="A215" s="53"/>
      <c r="B215" s="54"/>
      <c r="C215" s="55"/>
      <c r="D215" s="62"/>
      <c r="E215" s="62"/>
      <c r="F215" s="57"/>
      <c r="G215" s="645"/>
      <c r="H215" s="56"/>
      <c r="I215" s="27"/>
      <c r="J215" s="26"/>
      <c r="K215" s="76"/>
      <c r="L215" s="77"/>
      <c r="M215" s="78"/>
      <c r="N215" s="646"/>
      <c r="O215" s="647"/>
      <c r="P215" s="26"/>
    </row>
    <row r="216" spans="1:16" ht="15.75" customHeight="1">
      <c r="A216" s="53"/>
      <c r="B216" s="54"/>
      <c r="C216" s="55"/>
      <c r="D216" s="62"/>
      <c r="E216" s="62"/>
      <c r="F216" s="57"/>
      <c r="G216" s="645"/>
      <c r="H216" s="56"/>
      <c r="I216" s="27"/>
      <c r="J216" s="26"/>
      <c r="K216" s="76"/>
      <c r="L216" s="77"/>
      <c r="M216" s="78"/>
      <c r="N216" s="646"/>
      <c r="O216" s="647"/>
      <c r="P216" s="26"/>
    </row>
    <row r="217" spans="1:16" ht="15.75" customHeight="1">
      <c r="A217" s="53"/>
      <c r="B217" s="54"/>
      <c r="C217" s="55"/>
      <c r="D217" s="62"/>
      <c r="E217" s="62"/>
      <c r="F217" s="57"/>
      <c r="G217" s="645"/>
      <c r="H217" s="56"/>
      <c r="I217" s="27"/>
      <c r="J217" s="26"/>
      <c r="K217" s="76"/>
      <c r="L217" s="77"/>
      <c r="M217" s="78"/>
      <c r="N217" s="646"/>
      <c r="O217" s="647"/>
      <c r="P217" s="26"/>
    </row>
    <row r="218" spans="1:16" ht="15.75" customHeight="1">
      <c r="A218" s="53"/>
      <c r="B218" s="54"/>
      <c r="C218" s="55"/>
      <c r="D218" s="62"/>
      <c r="E218" s="62"/>
      <c r="F218" s="57"/>
      <c r="G218" s="645"/>
      <c r="H218" s="56"/>
      <c r="I218" s="27"/>
      <c r="J218" s="26"/>
      <c r="K218" s="76"/>
      <c r="L218" s="77"/>
      <c r="M218" s="78"/>
      <c r="N218" s="646"/>
      <c r="O218" s="647"/>
      <c r="P218" s="26"/>
    </row>
    <row r="219" spans="1:16" ht="15.75" customHeight="1">
      <c r="A219" s="53"/>
      <c r="B219" s="54"/>
      <c r="C219" s="55"/>
      <c r="D219" s="62"/>
      <c r="E219" s="62"/>
      <c r="F219" s="57"/>
      <c r="G219" s="645"/>
      <c r="H219" s="56"/>
      <c r="I219" s="27"/>
      <c r="J219" s="26"/>
      <c r="K219" s="76"/>
      <c r="L219" s="77"/>
      <c r="M219" s="78"/>
      <c r="N219" s="646"/>
      <c r="O219" s="647"/>
      <c r="P219" s="26"/>
    </row>
    <row r="220" spans="1:16" ht="15.75" customHeight="1">
      <c r="A220" s="53"/>
      <c r="B220" s="54"/>
      <c r="C220" s="55"/>
      <c r="D220" s="62"/>
      <c r="E220" s="62"/>
      <c r="F220" s="57"/>
      <c r="G220" s="645"/>
      <c r="H220" s="56"/>
      <c r="I220" s="27"/>
      <c r="J220" s="26"/>
      <c r="K220" s="76"/>
      <c r="L220" s="77"/>
      <c r="M220" s="78"/>
      <c r="N220" s="646"/>
      <c r="O220" s="647"/>
      <c r="P220" s="26"/>
    </row>
    <row r="221" spans="1:16" ht="15.75" customHeight="1">
      <c r="A221" s="53"/>
      <c r="B221" s="54"/>
      <c r="C221" s="55"/>
      <c r="D221" s="62"/>
      <c r="E221" s="62"/>
      <c r="F221" s="57"/>
      <c r="G221" s="645"/>
      <c r="H221" s="56"/>
      <c r="I221" s="27"/>
      <c r="J221" s="26"/>
      <c r="K221" s="76"/>
      <c r="L221" s="77"/>
      <c r="M221" s="78"/>
      <c r="N221" s="646"/>
      <c r="O221" s="647"/>
      <c r="P221" s="26"/>
    </row>
    <row r="222" spans="1:16" ht="15.75" customHeight="1">
      <c r="A222" s="53"/>
      <c r="B222" s="54"/>
      <c r="C222" s="55"/>
      <c r="D222" s="62"/>
      <c r="E222" s="62"/>
      <c r="F222" s="57"/>
      <c r="G222" s="645"/>
      <c r="H222" s="56"/>
      <c r="I222" s="27"/>
      <c r="J222" s="26"/>
      <c r="K222" s="76"/>
      <c r="L222" s="77"/>
      <c r="M222" s="78"/>
      <c r="N222" s="646"/>
      <c r="O222" s="647"/>
      <c r="P222" s="26"/>
    </row>
    <row r="223" spans="1:16" ht="15.75" customHeight="1">
      <c r="A223" s="53"/>
      <c r="B223" s="54"/>
      <c r="C223" s="55"/>
      <c r="D223" s="62"/>
      <c r="E223" s="62"/>
      <c r="F223" s="57"/>
      <c r="G223" s="645"/>
      <c r="H223" s="56"/>
      <c r="I223" s="27"/>
      <c r="J223" s="26"/>
      <c r="K223" s="76"/>
      <c r="L223" s="77"/>
      <c r="M223" s="78"/>
      <c r="N223" s="646"/>
      <c r="O223" s="647"/>
      <c r="P223" s="26"/>
    </row>
    <row r="224" spans="1:16" ht="15.75" customHeight="1">
      <c r="A224" s="53"/>
      <c r="B224" s="54"/>
      <c r="C224" s="55"/>
      <c r="D224" s="62"/>
      <c r="E224" s="62"/>
      <c r="F224" s="57"/>
      <c r="G224" s="645"/>
      <c r="H224" s="56"/>
      <c r="I224" s="27"/>
      <c r="J224" s="26"/>
      <c r="K224" s="76"/>
      <c r="L224" s="77"/>
      <c r="M224" s="78"/>
      <c r="N224" s="646"/>
      <c r="O224" s="647"/>
      <c r="P224" s="26"/>
    </row>
    <row r="225" spans="1:16" ht="15.75" customHeight="1">
      <c r="A225" s="53"/>
      <c r="B225" s="54"/>
      <c r="C225" s="55"/>
      <c r="D225" s="62"/>
      <c r="E225" s="62"/>
      <c r="F225" s="57"/>
      <c r="G225" s="645"/>
      <c r="H225" s="56"/>
      <c r="I225" s="27"/>
      <c r="J225" s="26"/>
      <c r="K225" s="76"/>
      <c r="L225" s="77"/>
      <c r="M225" s="78"/>
      <c r="N225" s="646"/>
      <c r="O225" s="647"/>
      <c r="P225" s="26"/>
    </row>
    <row r="226" spans="1:16" ht="15.75" customHeight="1">
      <c r="A226" s="53"/>
      <c r="B226" s="54"/>
      <c r="C226" s="55"/>
      <c r="D226" s="62"/>
      <c r="E226" s="62"/>
      <c r="F226" s="57"/>
      <c r="G226" s="645"/>
      <c r="H226" s="56"/>
      <c r="I226" s="27"/>
      <c r="J226" s="26"/>
      <c r="K226" s="76"/>
      <c r="L226" s="77"/>
      <c r="M226" s="78"/>
      <c r="N226" s="646"/>
      <c r="O226" s="647"/>
      <c r="P226" s="26"/>
    </row>
    <row r="227" spans="1:16" ht="15.75" customHeight="1">
      <c r="A227" s="53"/>
      <c r="B227" s="54"/>
      <c r="C227" s="55"/>
      <c r="D227" s="62"/>
      <c r="E227" s="62"/>
      <c r="F227" s="57"/>
      <c r="G227" s="645"/>
      <c r="H227" s="56"/>
      <c r="I227" s="27"/>
      <c r="J227" s="26"/>
      <c r="K227" s="76"/>
      <c r="L227" s="77"/>
      <c r="M227" s="78"/>
      <c r="N227" s="646"/>
      <c r="O227" s="647"/>
      <c r="P227" s="26"/>
    </row>
    <row r="228" spans="1:16" ht="15.75" customHeight="1">
      <c r="A228" s="53"/>
      <c r="B228" s="54"/>
      <c r="C228" s="55"/>
      <c r="D228" s="62"/>
      <c r="E228" s="62"/>
      <c r="F228" s="57"/>
      <c r="G228" s="645"/>
      <c r="H228" s="56"/>
      <c r="I228" s="27"/>
      <c r="J228" s="26"/>
      <c r="K228" s="76"/>
      <c r="L228" s="77"/>
      <c r="M228" s="78"/>
      <c r="N228" s="646"/>
      <c r="O228" s="647"/>
      <c r="P228" s="26"/>
    </row>
    <row r="229" spans="1:16" ht="15.75" customHeight="1">
      <c r="A229" s="53"/>
      <c r="B229" s="54"/>
      <c r="C229" s="55"/>
      <c r="D229" s="62"/>
      <c r="E229" s="62"/>
      <c r="F229" s="57"/>
      <c r="G229" s="645"/>
      <c r="H229" s="56"/>
      <c r="I229" s="27"/>
      <c r="J229" s="26"/>
      <c r="K229" s="76"/>
      <c r="L229" s="77"/>
      <c r="M229" s="78"/>
      <c r="N229" s="646"/>
      <c r="O229" s="647"/>
      <c r="P229" s="26"/>
    </row>
    <row r="230" spans="1:16" ht="15.75" customHeight="1">
      <c r="A230" s="53"/>
      <c r="B230" s="54"/>
      <c r="C230" s="55"/>
      <c r="D230" s="62"/>
      <c r="E230" s="62"/>
      <c r="F230" s="57"/>
      <c r="G230" s="645"/>
      <c r="H230" s="56"/>
      <c r="I230" s="27"/>
      <c r="J230" s="26"/>
      <c r="K230" s="76"/>
      <c r="L230" s="77"/>
      <c r="M230" s="78"/>
      <c r="N230" s="646"/>
      <c r="O230" s="647"/>
      <c r="P230" s="26"/>
    </row>
    <row r="231" spans="1:16" ht="15.75" customHeight="1">
      <c r="A231" s="53"/>
      <c r="B231" s="54"/>
      <c r="C231" s="55"/>
      <c r="D231" s="62"/>
      <c r="E231" s="62"/>
      <c r="F231" s="57"/>
      <c r="G231" s="645"/>
      <c r="H231" s="56"/>
      <c r="I231" s="27"/>
      <c r="J231" s="26"/>
      <c r="K231" s="76"/>
      <c r="L231" s="77"/>
      <c r="M231" s="78"/>
      <c r="N231" s="646"/>
      <c r="O231" s="647"/>
      <c r="P231" s="582"/>
    </row>
    <row r="232" spans="1:16" ht="15.75" customHeight="1">
      <c r="A232" s="53"/>
      <c r="B232" s="54"/>
      <c r="C232" s="55"/>
      <c r="D232" s="62"/>
      <c r="E232" s="62"/>
      <c r="F232" s="57"/>
      <c r="G232" s="645"/>
      <c r="H232" s="56"/>
      <c r="I232" s="27"/>
      <c r="J232" s="26"/>
      <c r="K232" s="76"/>
      <c r="L232" s="77"/>
      <c r="M232" s="78"/>
      <c r="N232" s="646"/>
      <c r="O232" s="647"/>
      <c r="P232" s="26"/>
    </row>
    <row r="233" spans="1:16" ht="15.75" customHeight="1">
      <c r="A233" s="53"/>
      <c r="B233" s="54"/>
      <c r="C233" s="55"/>
      <c r="D233" s="62"/>
      <c r="E233" s="62"/>
      <c r="F233" s="57"/>
      <c r="G233" s="645"/>
      <c r="H233" s="56"/>
      <c r="I233" s="27"/>
      <c r="J233" s="26"/>
      <c r="K233" s="76"/>
      <c r="L233" s="77"/>
      <c r="M233" s="78"/>
      <c r="N233" s="646"/>
      <c r="O233" s="647"/>
      <c r="P233" s="26"/>
    </row>
    <row r="234" spans="1:16" ht="15.75" customHeight="1">
      <c r="A234" s="53"/>
      <c r="B234" s="54"/>
      <c r="C234" s="55"/>
      <c r="D234" s="62"/>
      <c r="E234" s="62"/>
      <c r="F234" s="57"/>
      <c r="G234" s="645"/>
      <c r="H234" s="56"/>
      <c r="I234" s="27"/>
      <c r="J234" s="26"/>
      <c r="K234" s="76"/>
      <c r="L234" s="77"/>
      <c r="M234" s="78"/>
      <c r="N234" s="646"/>
      <c r="O234" s="647"/>
      <c r="P234" s="26"/>
    </row>
    <row r="235" spans="1:16" ht="15.75" customHeight="1">
      <c r="A235" s="53"/>
      <c r="B235" s="54"/>
      <c r="C235" s="55"/>
      <c r="D235" s="62"/>
      <c r="E235" s="62"/>
      <c r="F235" s="57"/>
      <c r="G235" s="645"/>
      <c r="H235" s="56"/>
      <c r="I235" s="27"/>
      <c r="J235" s="26"/>
      <c r="K235" s="76"/>
      <c r="L235" s="77"/>
      <c r="M235" s="78"/>
      <c r="N235" s="646"/>
      <c r="O235" s="647"/>
      <c r="P235" s="26"/>
    </row>
    <row r="236" spans="1:16" ht="15.75" customHeight="1">
      <c r="A236" s="53"/>
      <c r="B236" s="54"/>
      <c r="C236" s="55"/>
      <c r="D236" s="62"/>
      <c r="E236" s="62"/>
      <c r="F236" s="57"/>
      <c r="G236" s="645"/>
      <c r="H236" s="56"/>
      <c r="I236" s="27"/>
      <c r="J236" s="26"/>
      <c r="K236" s="76"/>
      <c r="L236" s="77"/>
      <c r="M236" s="78"/>
      <c r="N236" s="646"/>
      <c r="O236" s="647"/>
      <c r="P236" s="26"/>
    </row>
    <row r="237" spans="1:16" ht="15.75" customHeight="1">
      <c r="A237" s="53"/>
      <c r="B237" s="54"/>
      <c r="C237" s="55"/>
      <c r="D237" s="62"/>
      <c r="E237" s="62"/>
      <c r="F237" s="57"/>
      <c r="G237" s="645"/>
      <c r="H237" s="56"/>
      <c r="I237" s="27"/>
      <c r="J237" s="26"/>
      <c r="K237" s="76"/>
      <c r="L237" s="77"/>
      <c r="M237" s="78"/>
      <c r="N237" s="646"/>
      <c r="O237" s="647"/>
      <c r="P237" s="26"/>
    </row>
    <row r="238" spans="1:16" ht="15.75" customHeight="1">
      <c r="A238" s="53"/>
      <c r="B238" s="54"/>
      <c r="C238" s="55"/>
      <c r="D238" s="62"/>
      <c r="E238" s="62"/>
      <c r="F238" s="57"/>
      <c r="G238" s="645"/>
      <c r="H238" s="56"/>
      <c r="I238" s="27"/>
      <c r="J238" s="26"/>
      <c r="K238" s="76"/>
      <c r="L238" s="77"/>
      <c r="M238" s="78"/>
      <c r="N238" s="646"/>
      <c r="O238" s="647"/>
      <c r="P238" s="26"/>
    </row>
    <row r="239" spans="1:16" ht="15.75" customHeight="1">
      <c r="A239" s="53"/>
      <c r="B239" s="54"/>
      <c r="C239" s="55"/>
      <c r="D239" s="62"/>
      <c r="E239" s="62"/>
      <c r="F239" s="57"/>
      <c r="G239" s="645"/>
      <c r="H239" s="56"/>
      <c r="I239" s="27"/>
      <c r="J239" s="26"/>
      <c r="K239" s="76"/>
      <c r="L239" s="77"/>
      <c r="M239" s="78"/>
      <c r="N239" s="646"/>
      <c r="O239" s="647"/>
      <c r="P239" s="26"/>
    </row>
    <row r="240" spans="1:16" ht="15.75" customHeight="1">
      <c r="A240" s="53"/>
      <c r="B240" s="54"/>
      <c r="C240" s="55"/>
      <c r="D240" s="62"/>
      <c r="E240" s="62"/>
      <c r="F240" s="57"/>
      <c r="G240" s="645"/>
      <c r="H240" s="56"/>
      <c r="I240" s="27"/>
      <c r="J240" s="26"/>
      <c r="K240" s="76"/>
      <c r="L240" s="77"/>
      <c r="M240" s="78"/>
      <c r="N240" s="646"/>
      <c r="O240" s="647"/>
      <c r="P240" s="26"/>
    </row>
    <row r="241" spans="1:16" ht="15.75" customHeight="1">
      <c r="A241" s="53"/>
      <c r="B241" s="54"/>
      <c r="C241" s="55"/>
      <c r="D241" s="62"/>
      <c r="E241" s="62"/>
      <c r="F241" s="57"/>
      <c r="G241" s="645"/>
      <c r="H241" s="56"/>
      <c r="I241" s="27"/>
      <c r="J241" s="26"/>
      <c r="K241" s="76"/>
      <c r="L241" s="77"/>
      <c r="M241" s="78"/>
      <c r="N241" s="646"/>
      <c r="O241" s="647"/>
      <c r="P241" s="26"/>
    </row>
    <row r="242" spans="1:16" ht="15.75" customHeight="1">
      <c r="A242" s="53"/>
      <c r="B242" s="54"/>
      <c r="C242" s="55"/>
      <c r="D242" s="62"/>
      <c r="E242" s="62"/>
      <c r="F242" s="57"/>
      <c r="G242" s="645"/>
      <c r="H242" s="56"/>
      <c r="I242" s="27"/>
      <c r="J242" s="26"/>
      <c r="K242" s="76"/>
      <c r="L242" s="77"/>
      <c r="M242" s="78"/>
      <c r="N242" s="646"/>
      <c r="O242" s="647"/>
      <c r="P242" s="26"/>
    </row>
    <row r="243" spans="1:16" ht="15.75" customHeight="1">
      <c r="A243" s="53"/>
      <c r="B243" s="54"/>
      <c r="C243" s="55"/>
      <c r="D243" s="62"/>
      <c r="E243" s="62"/>
      <c r="F243" s="57"/>
      <c r="G243" s="645"/>
      <c r="H243" s="56"/>
      <c r="I243" s="27"/>
      <c r="J243" s="26"/>
      <c r="K243" s="76"/>
      <c r="L243" s="77"/>
      <c r="M243" s="78"/>
      <c r="N243" s="646"/>
      <c r="O243" s="647"/>
      <c r="P243" s="26"/>
    </row>
    <row r="244" spans="1:16" ht="15.75" customHeight="1">
      <c r="A244" s="53"/>
      <c r="B244" s="54"/>
      <c r="C244" s="55"/>
      <c r="D244" s="62"/>
      <c r="E244" s="62"/>
      <c r="F244" s="57"/>
      <c r="G244" s="645"/>
      <c r="H244" s="56"/>
      <c r="I244" s="27"/>
      <c r="J244" s="26"/>
      <c r="K244" s="76"/>
      <c r="L244" s="77"/>
      <c r="M244" s="78"/>
      <c r="N244" s="646"/>
      <c r="O244" s="647"/>
      <c r="P244" s="26"/>
    </row>
    <row r="245" spans="1:16" ht="15.75" customHeight="1">
      <c r="A245" s="53"/>
      <c r="B245" s="54"/>
      <c r="C245" s="55"/>
      <c r="D245" s="62"/>
      <c r="E245" s="62"/>
      <c r="F245" s="57"/>
      <c r="G245" s="645"/>
      <c r="H245" s="56"/>
      <c r="I245" s="27"/>
      <c r="J245" s="26"/>
      <c r="K245" s="76"/>
      <c r="L245" s="77"/>
      <c r="M245" s="78"/>
      <c r="N245" s="646"/>
      <c r="O245" s="647"/>
      <c r="P245" s="26"/>
    </row>
    <row r="246" spans="1:16" ht="15.75" customHeight="1">
      <c r="A246" s="53"/>
      <c r="B246" s="54"/>
      <c r="C246" s="55"/>
      <c r="D246" s="62"/>
      <c r="E246" s="62"/>
      <c r="F246" s="57"/>
      <c r="G246" s="645"/>
      <c r="H246" s="56"/>
      <c r="I246" s="27"/>
      <c r="J246" s="26"/>
      <c r="K246" s="76"/>
      <c r="L246" s="77"/>
      <c r="M246" s="78"/>
      <c r="N246" s="646"/>
      <c r="O246" s="647"/>
      <c r="P246" s="26"/>
    </row>
    <row r="247" spans="1:16" ht="15.75" customHeight="1">
      <c r="A247" s="53"/>
      <c r="B247" s="54"/>
      <c r="C247" s="55"/>
      <c r="D247" s="62"/>
      <c r="E247" s="62"/>
      <c r="F247" s="57"/>
      <c r="G247" s="645"/>
      <c r="H247" s="56"/>
      <c r="I247" s="27"/>
      <c r="J247" s="26"/>
      <c r="K247" s="76"/>
      <c r="L247" s="77"/>
      <c r="M247" s="78"/>
      <c r="N247" s="646"/>
      <c r="O247" s="647"/>
      <c r="P247" s="26"/>
    </row>
    <row r="248" spans="1:16" ht="15.75" customHeight="1">
      <c r="A248" s="53"/>
      <c r="B248" s="54"/>
      <c r="C248" s="55"/>
      <c r="D248" s="62"/>
      <c r="E248" s="62"/>
      <c r="F248" s="57"/>
      <c r="G248" s="645"/>
      <c r="H248" s="56"/>
      <c r="I248" s="27"/>
      <c r="J248" s="26"/>
      <c r="K248" s="76"/>
      <c r="L248" s="77"/>
      <c r="M248" s="78"/>
      <c r="N248" s="646"/>
      <c r="O248" s="647"/>
      <c r="P248" s="26"/>
    </row>
    <row r="249" spans="1:16" ht="15.75" customHeight="1">
      <c r="A249" s="53"/>
      <c r="B249" s="54"/>
      <c r="C249" s="55"/>
      <c r="D249" s="62"/>
      <c r="E249" s="62"/>
      <c r="F249" s="57"/>
      <c r="G249" s="645"/>
      <c r="H249" s="56"/>
      <c r="I249" s="27"/>
      <c r="J249" s="26"/>
      <c r="K249" s="76"/>
      <c r="L249" s="77"/>
      <c r="M249" s="78"/>
      <c r="N249" s="646"/>
      <c r="O249" s="647"/>
      <c r="P249" s="26"/>
    </row>
    <row r="250" spans="1:16" ht="15.75" customHeight="1">
      <c r="A250" s="53"/>
      <c r="B250" s="54"/>
      <c r="C250" s="55"/>
      <c r="D250" s="62"/>
      <c r="E250" s="62"/>
      <c r="F250" s="57"/>
      <c r="G250" s="645"/>
      <c r="H250" s="56"/>
      <c r="I250" s="27"/>
      <c r="J250" s="26"/>
      <c r="K250" s="76"/>
      <c r="L250" s="77"/>
      <c r="M250" s="78"/>
      <c r="N250" s="646"/>
      <c r="O250" s="647"/>
      <c r="P250" s="26"/>
    </row>
    <row r="251" spans="1:16" ht="15.75" customHeight="1">
      <c r="A251" s="53"/>
      <c r="B251" s="54"/>
      <c r="C251" s="55"/>
      <c r="D251" s="62"/>
      <c r="E251" s="62"/>
      <c r="F251" s="57"/>
      <c r="G251" s="645"/>
      <c r="H251" s="56"/>
      <c r="I251" s="27"/>
      <c r="J251" s="26"/>
      <c r="K251" s="76"/>
      <c r="L251" s="77"/>
      <c r="M251" s="78"/>
      <c r="N251" s="646"/>
      <c r="O251" s="647"/>
      <c r="P251" s="26"/>
    </row>
    <row r="252" spans="1:16" ht="15.75" customHeight="1">
      <c r="A252" s="53"/>
      <c r="B252" s="54"/>
      <c r="C252" s="55"/>
      <c r="D252" s="62"/>
      <c r="E252" s="62"/>
      <c r="F252" s="57"/>
      <c r="G252" s="645"/>
      <c r="H252" s="56"/>
      <c r="I252" s="27"/>
      <c r="J252" s="26"/>
      <c r="K252" s="76"/>
      <c r="L252" s="77"/>
      <c r="M252" s="78"/>
      <c r="N252" s="646"/>
      <c r="O252" s="647"/>
      <c r="P252" s="26"/>
    </row>
    <row r="253" spans="1:16" ht="15.75" customHeight="1">
      <c r="A253" s="53"/>
      <c r="B253" s="54"/>
      <c r="C253" s="55"/>
      <c r="D253" s="62"/>
      <c r="E253" s="62"/>
      <c r="F253" s="57"/>
      <c r="G253" s="645"/>
      <c r="H253" s="56"/>
      <c r="I253" s="27"/>
      <c r="J253" s="26"/>
      <c r="K253" s="76"/>
      <c r="L253" s="77"/>
      <c r="M253" s="78"/>
      <c r="N253" s="646"/>
      <c r="O253" s="647"/>
      <c r="P253" s="26"/>
    </row>
    <row r="254" spans="1:16" ht="15.75" customHeight="1">
      <c r="A254" s="53"/>
      <c r="B254" s="54"/>
      <c r="C254" s="55"/>
      <c r="D254" s="62"/>
      <c r="E254" s="62"/>
      <c r="F254" s="57"/>
      <c r="G254" s="645"/>
      <c r="H254" s="56"/>
      <c r="I254" s="27"/>
      <c r="J254" s="26"/>
      <c r="K254" s="76"/>
      <c r="L254" s="77"/>
      <c r="M254" s="78"/>
      <c r="N254" s="646"/>
      <c r="O254" s="647"/>
      <c r="P254" s="26"/>
    </row>
    <row r="255" spans="1:16" ht="15.75" customHeight="1">
      <c r="A255" s="53"/>
      <c r="B255" s="54"/>
      <c r="C255" s="55"/>
      <c r="D255" s="62"/>
      <c r="E255" s="62"/>
      <c r="F255" s="57"/>
      <c r="G255" s="645"/>
      <c r="H255" s="56"/>
      <c r="I255" s="27"/>
      <c r="J255" s="26"/>
      <c r="K255" s="76"/>
      <c r="L255" s="77"/>
      <c r="M255" s="78"/>
      <c r="N255" s="646"/>
      <c r="O255" s="647"/>
      <c r="P255" s="26"/>
    </row>
    <row r="256" spans="1:16" ht="15.75" customHeight="1">
      <c r="A256" s="53"/>
      <c r="B256" s="54"/>
      <c r="C256" s="55"/>
      <c r="D256" s="62"/>
      <c r="E256" s="62"/>
      <c r="F256" s="57"/>
      <c r="G256" s="645"/>
      <c r="H256" s="56"/>
      <c r="I256" s="27"/>
      <c r="J256" s="26"/>
      <c r="K256" s="76"/>
      <c r="L256" s="77"/>
      <c r="M256" s="78"/>
      <c r="N256" s="646"/>
      <c r="O256" s="647"/>
      <c r="P256" s="26"/>
    </row>
    <row r="257" spans="1:16" ht="15.75" customHeight="1">
      <c r="A257" s="53"/>
      <c r="B257" s="54"/>
      <c r="C257" s="55"/>
      <c r="D257" s="62"/>
      <c r="E257" s="62"/>
      <c r="F257" s="57"/>
      <c r="G257" s="645"/>
      <c r="H257" s="56"/>
      <c r="I257" s="27"/>
      <c r="J257" s="26"/>
      <c r="K257" s="76"/>
      <c r="L257" s="77"/>
      <c r="M257" s="78"/>
      <c r="N257" s="646"/>
      <c r="O257" s="647"/>
      <c r="P257" s="26"/>
    </row>
    <row r="258" spans="1:16" ht="15.75" customHeight="1">
      <c r="A258" s="53"/>
      <c r="B258" s="54"/>
      <c r="C258" s="55"/>
      <c r="D258" s="62"/>
      <c r="E258" s="62"/>
      <c r="F258" s="57"/>
      <c r="G258" s="645"/>
      <c r="H258" s="56"/>
      <c r="I258" s="27"/>
      <c r="J258" s="26"/>
      <c r="K258" s="76"/>
      <c r="L258" s="77"/>
      <c r="M258" s="78"/>
      <c r="N258" s="646"/>
      <c r="O258" s="647"/>
      <c r="P258" s="26"/>
    </row>
    <row r="259" spans="1:16" ht="15.75" customHeight="1">
      <c r="A259" s="53"/>
      <c r="B259" s="54"/>
      <c r="C259" s="55"/>
      <c r="D259" s="62"/>
      <c r="E259" s="62"/>
      <c r="F259" s="57"/>
      <c r="G259" s="645"/>
      <c r="H259" s="56"/>
      <c r="I259" s="27"/>
      <c r="J259" s="26"/>
      <c r="K259" s="76"/>
      <c r="L259" s="77"/>
      <c r="M259" s="78"/>
      <c r="N259" s="646"/>
      <c r="O259" s="647"/>
      <c r="P259" s="26"/>
    </row>
    <row r="260" spans="1:16" ht="15.75" customHeight="1">
      <c r="A260" s="53"/>
      <c r="B260" s="54"/>
      <c r="C260" s="55"/>
      <c r="D260" s="62"/>
      <c r="E260" s="62"/>
      <c r="F260" s="57"/>
      <c r="G260" s="645"/>
      <c r="H260" s="56"/>
      <c r="I260" s="27"/>
      <c r="J260" s="26"/>
      <c r="K260" s="76"/>
      <c r="L260" s="77"/>
      <c r="M260" s="78"/>
      <c r="N260" s="646"/>
      <c r="O260" s="647"/>
      <c r="P260" s="26"/>
    </row>
    <row r="261" spans="1:16" ht="15.75" customHeight="1">
      <c r="A261" s="53"/>
      <c r="B261" s="54"/>
      <c r="C261" s="55"/>
      <c r="D261" s="62"/>
      <c r="E261" s="62"/>
      <c r="F261" s="57"/>
      <c r="G261" s="645"/>
      <c r="H261" s="56"/>
      <c r="I261" s="27"/>
      <c r="J261" s="26"/>
      <c r="K261" s="76"/>
      <c r="L261" s="77"/>
      <c r="M261" s="78"/>
      <c r="N261" s="646"/>
      <c r="O261" s="647"/>
      <c r="P261" s="26"/>
    </row>
    <row r="262" spans="1:16" ht="15.75" customHeight="1">
      <c r="A262" s="53"/>
      <c r="B262" s="54"/>
      <c r="C262" s="55"/>
      <c r="D262" s="62"/>
      <c r="E262" s="62"/>
      <c r="F262" s="57"/>
      <c r="G262" s="645"/>
      <c r="H262" s="56"/>
      <c r="I262" s="27"/>
      <c r="J262" s="26"/>
      <c r="K262" s="76"/>
      <c r="L262" s="77"/>
      <c r="M262" s="78"/>
      <c r="N262" s="646"/>
      <c r="O262" s="647"/>
      <c r="P262" s="26"/>
    </row>
    <row r="263" spans="1:16" ht="15.75" customHeight="1">
      <c r="A263" s="53"/>
      <c r="B263" s="54"/>
      <c r="C263" s="55"/>
      <c r="D263" s="62"/>
      <c r="E263" s="62"/>
      <c r="F263" s="57"/>
      <c r="G263" s="645"/>
      <c r="H263" s="56"/>
      <c r="I263" s="27"/>
      <c r="J263" s="26"/>
      <c r="K263" s="76"/>
      <c r="L263" s="77"/>
      <c r="M263" s="78"/>
      <c r="N263" s="646"/>
      <c r="O263" s="647"/>
      <c r="P263" s="26"/>
    </row>
    <row r="264" spans="1:16" ht="15.75" customHeight="1">
      <c r="A264" s="53"/>
      <c r="B264" s="54"/>
      <c r="C264" s="55"/>
      <c r="D264" s="62"/>
      <c r="E264" s="62"/>
      <c r="F264" s="57"/>
      <c r="G264" s="645"/>
      <c r="H264" s="56"/>
      <c r="I264" s="27"/>
      <c r="J264" s="26"/>
      <c r="K264" s="76"/>
      <c r="L264" s="77"/>
      <c r="M264" s="78"/>
      <c r="N264" s="646"/>
      <c r="O264" s="647"/>
      <c r="P264" s="26"/>
    </row>
    <row r="265" spans="1:16" ht="15.75" customHeight="1">
      <c r="A265" s="53"/>
      <c r="B265" s="54"/>
      <c r="C265" s="55"/>
      <c r="D265" s="62"/>
      <c r="E265" s="62"/>
      <c r="F265" s="57"/>
      <c r="G265" s="645"/>
      <c r="H265" s="56"/>
      <c r="I265" s="27"/>
      <c r="J265" s="26"/>
      <c r="K265" s="76"/>
      <c r="L265" s="77"/>
      <c r="M265" s="78"/>
      <c r="N265" s="646"/>
      <c r="O265" s="647"/>
      <c r="P265" s="26"/>
    </row>
    <row r="266" spans="1:16" ht="15.75" customHeight="1">
      <c r="A266" s="53"/>
      <c r="B266" s="54"/>
      <c r="C266" s="55"/>
      <c r="D266" s="62"/>
      <c r="E266" s="62"/>
      <c r="F266" s="57"/>
      <c r="G266" s="645"/>
      <c r="H266" s="56"/>
      <c r="I266" s="27"/>
      <c r="J266" s="26"/>
      <c r="K266" s="76"/>
      <c r="L266" s="77"/>
      <c r="M266" s="78"/>
      <c r="N266" s="646"/>
      <c r="O266" s="647"/>
      <c r="P266" s="26"/>
    </row>
    <row r="267" spans="1:16" ht="15.75" customHeight="1">
      <c r="A267" s="53"/>
      <c r="B267" s="54"/>
      <c r="C267" s="55"/>
      <c r="D267" s="62"/>
      <c r="E267" s="62"/>
      <c r="F267" s="57"/>
      <c r="G267" s="645"/>
      <c r="H267" s="56"/>
      <c r="I267" s="27"/>
      <c r="J267" s="26"/>
      <c r="K267" s="76"/>
      <c r="L267" s="77"/>
      <c r="M267" s="78"/>
      <c r="N267" s="646"/>
      <c r="O267" s="647"/>
      <c r="P267" s="26"/>
    </row>
    <row r="268" spans="1:16" ht="15.75" customHeight="1">
      <c r="A268" s="53"/>
      <c r="B268" s="54"/>
      <c r="C268" s="55"/>
      <c r="D268" s="62"/>
      <c r="E268" s="62"/>
      <c r="F268" s="57"/>
      <c r="G268" s="645"/>
      <c r="H268" s="56"/>
      <c r="I268" s="27"/>
      <c r="J268" s="26"/>
      <c r="K268" s="76"/>
      <c r="L268" s="77"/>
      <c r="M268" s="78"/>
      <c r="N268" s="646"/>
      <c r="O268" s="647"/>
      <c r="P268" s="26"/>
    </row>
    <row r="269" spans="1:16" ht="15.75" customHeight="1">
      <c r="A269" s="53"/>
      <c r="B269" s="54"/>
      <c r="C269" s="55"/>
      <c r="D269" s="62"/>
      <c r="E269" s="62"/>
      <c r="F269" s="57"/>
      <c r="G269" s="645"/>
      <c r="H269" s="56"/>
      <c r="I269" s="27"/>
      <c r="J269" s="26"/>
      <c r="K269" s="76"/>
      <c r="L269" s="77"/>
      <c r="M269" s="78"/>
      <c r="N269" s="646"/>
      <c r="O269" s="647"/>
      <c r="P269" s="26"/>
    </row>
    <row r="270" spans="1:16" ht="15.75" customHeight="1">
      <c r="A270" s="53"/>
      <c r="B270" s="54"/>
      <c r="C270" s="55"/>
      <c r="D270" s="62"/>
      <c r="E270" s="62"/>
      <c r="F270" s="57"/>
      <c r="G270" s="645"/>
      <c r="H270" s="56"/>
      <c r="I270" s="27"/>
      <c r="J270" s="26"/>
      <c r="K270" s="76"/>
      <c r="L270" s="77"/>
      <c r="M270" s="78"/>
      <c r="N270" s="646"/>
      <c r="O270" s="647"/>
      <c r="P270" s="26"/>
    </row>
    <row r="271" spans="1:16" ht="15.75" customHeight="1">
      <c r="A271" s="53"/>
      <c r="B271" s="54"/>
      <c r="C271" s="55"/>
      <c r="D271" s="62"/>
      <c r="E271" s="62"/>
      <c r="F271" s="57"/>
      <c r="G271" s="645"/>
      <c r="H271" s="56"/>
      <c r="I271" s="27"/>
      <c r="J271" s="26"/>
      <c r="K271" s="76"/>
      <c r="L271" s="77"/>
      <c r="M271" s="78"/>
      <c r="N271" s="646"/>
      <c r="O271" s="647"/>
      <c r="P271" s="26"/>
    </row>
    <row r="272" spans="1:16" ht="15.75" customHeight="1">
      <c r="A272" s="53"/>
      <c r="B272" s="54"/>
      <c r="C272" s="55"/>
      <c r="D272" s="62"/>
      <c r="E272" s="62"/>
      <c r="F272" s="57"/>
      <c r="G272" s="645"/>
      <c r="H272" s="56"/>
      <c r="I272" s="27"/>
      <c r="J272" s="26"/>
      <c r="K272" s="76"/>
      <c r="L272" s="77"/>
      <c r="M272" s="78"/>
      <c r="N272" s="646"/>
      <c r="O272" s="647"/>
      <c r="P272" s="26"/>
    </row>
    <row r="273" spans="1:16" ht="15.75" customHeight="1">
      <c r="A273" s="53"/>
      <c r="B273" s="54"/>
      <c r="C273" s="55"/>
      <c r="D273" s="62"/>
      <c r="E273" s="62"/>
      <c r="F273" s="57"/>
      <c r="G273" s="645"/>
      <c r="H273" s="56"/>
      <c r="I273" s="27"/>
      <c r="J273" s="26"/>
      <c r="K273" s="76"/>
      <c r="L273" s="77"/>
      <c r="M273" s="78"/>
      <c r="N273" s="646"/>
      <c r="O273" s="647"/>
      <c r="P273" s="26"/>
    </row>
    <row r="274" spans="1:16" ht="15.75" customHeight="1">
      <c r="A274" s="53"/>
      <c r="B274" s="54"/>
      <c r="C274" s="55"/>
      <c r="D274" s="62"/>
      <c r="E274" s="62"/>
      <c r="F274" s="57"/>
      <c r="G274" s="645"/>
      <c r="H274" s="56"/>
      <c r="I274" s="27"/>
      <c r="J274" s="26"/>
      <c r="K274" s="76"/>
      <c r="L274" s="77"/>
      <c r="M274" s="78"/>
      <c r="N274" s="646"/>
      <c r="O274" s="647"/>
      <c r="P274" s="26"/>
    </row>
    <row r="275" spans="1:16" ht="15.75" customHeight="1">
      <c r="A275" s="53"/>
      <c r="B275" s="54"/>
      <c r="C275" s="55"/>
      <c r="D275" s="62"/>
      <c r="E275" s="62"/>
      <c r="F275" s="57"/>
      <c r="G275" s="645"/>
      <c r="H275" s="56"/>
      <c r="I275" s="27"/>
      <c r="J275" s="26"/>
      <c r="K275" s="76"/>
      <c r="L275" s="77"/>
      <c r="M275" s="78"/>
      <c r="N275" s="646"/>
      <c r="O275" s="647"/>
      <c r="P275" s="26"/>
    </row>
    <row r="276" spans="1:16" ht="15.75" customHeight="1">
      <c r="A276" s="53"/>
      <c r="B276" s="54"/>
      <c r="C276" s="55"/>
      <c r="D276" s="62"/>
      <c r="E276" s="62"/>
      <c r="F276" s="57"/>
      <c r="G276" s="645"/>
      <c r="H276" s="56"/>
      <c r="I276" s="27"/>
      <c r="J276" s="26"/>
      <c r="K276" s="76"/>
      <c r="L276" s="77"/>
      <c r="M276" s="78"/>
      <c r="N276" s="646"/>
      <c r="O276" s="647"/>
      <c r="P276" s="26"/>
    </row>
    <row r="277" spans="1:16" ht="15.75" customHeight="1">
      <c r="A277" s="53"/>
      <c r="B277" s="54"/>
      <c r="C277" s="55"/>
      <c r="D277" s="62"/>
      <c r="E277" s="62"/>
      <c r="F277" s="57"/>
      <c r="G277" s="645"/>
      <c r="H277" s="56"/>
      <c r="I277" s="27"/>
      <c r="J277" s="26"/>
      <c r="K277" s="76"/>
      <c r="L277" s="77"/>
      <c r="M277" s="78"/>
      <c r="N277" s="646"/>
      <c r="O277" s="647"/>
      <c r="P277" s="26"/>
    </row>
    <row r="278" spans="1:16" ht="15.75" customHeight="1">
      <c r="A278" s="53"/>
      <c r="B278" s="54"/>
      <c r="C278" s="55"/>
      <c r="D278" s="62"/>
      <c r="E278" s="62"/>
      <c r="F278" s="57"/>
      <c r="G278" s="645"/>
      <c r="H278" s="56"/>
      <c r="I278" s="27"/>
      <c r="J278" s="26"/>
      <c r="K278" s="76"/>
      <c r="L278" s="77"/>
      <c r="M278" s="78"/>
      <c r="N278" s="646"/>
      <c r="O278" s="647"/>
      <c r="P278" s="26"/>
    </row>
    <row r="279" spans="1:16" ht="15.75" customHeight="1">
      <c r="A279" s="53"/>
      <c r="B279" s="54"/>
      <c r="C279" s="55"/>
      <c r="D279" s="62"/>
      <c r="E279" s="62"/>
      <c r="F279" s="57"/>
      <c r="G279" s="645"/>
      <c r="H279" s="56"/>
      <c r="I279" s="27"/>
      <c r="J279" s="26"/>
      <c r="K279" s="76"/>
      <c r="L279" s="77"/>
      <c r="M279" s="78"/>
      <c r="N279" s="646"/>
      <c r="O279" s="647"/>
      <c r="P279" s="26"/>
    </row>
    <row r="280" spans="1:16" ht="15.75" customHeight="1">
      <c r="A280" s="53"/>
      <c r="B280" s="54"/>
      <c r="C280" s="55"/>
      <c r="D280" s="62"/>
      <c r="E280" s="62"/>
      <c r="F280" s="57"/>
      <c r="G280" s="645"/>
      <c r="H280" s="56"/>
      <c r="I280" s="27"/>
      <c r="J280" s="26"/>
      <c r="K280" s="76"/>
      <c r="L280" s="77"/>
      <c r="M280" s="78"/>
      <c r="N280" s="646"/>
      <c r="O280" s="647"/>
      <c r="P280" s="26"/>
    </row>
    <row r="281" spans="1:16" ht="15.75" customHeight="1">
      <c r="A281" s="53"/>
      <c r="B281" s="54"/>
      <c r="C281" s="55"/>
      <c r="D281" s="62"/>
      <c r="E281" s="62"/>
      <c r="F281" s="57"/>
      <c r="G281" s="645"/>
      <c r="H281" s="56"/>
      <c r="I281" s="27"/>
      <c r="J281" s="26"/>
      <c r="K281" s="76"/>
      <c r="L281" s="77"/>
      <c r="M281" s="78"/>
      <c r="N281" s="646"/>
      <c r="O281" s="647"/>
      <c r="P281" s="26"/>
    </row>
    <row r="282" spans="1:16" ht="15.75" customHeight="1">
      <c r="A282" s="53"/>
      <c r="B282" s="54"/>
      <c r="C282" s="55"/>
      <c r="D282" s="62"/>
      <c r="E282" s="62"/>
      <c r="F282" s="57"/>
      <c r="G282" s="645"/>
      <c r="H282" s="56"/>
      <c r="I282" s="27"/>
      <c r="J282" s="26"/>
      <c r="K282" s="76"/>
      <c r="L282" s="77"/>
      <c r="M282" s="78"/>
      <c r="N282" s="646"/>
      <c r="O282" s="647"/>
      <c r="P282" s="26"/>
    </row>
    <row r="283" spans="1:16" ht="15.75" customHeight="1">
      <c r="A283" s="53"/>
      <c r="B283" s="54"/>
      <c r="C283" s="55"/>
      <c r="D283" s="62"/>
      <c r="E283" s="62"/>
      <c r="F283" s="57"/>
      <c r="G283" s="645"/>
      <c r="H283" s="56"/>
      <c r="I283" s="27"/>
      <c r="J283" s="26"/>
      <c r="K283" s="76"/>
      <c r="L283" s="77"/>
      <c r="M283" s="78"/>
      <c r="N283" s="646"/>
      <c r="O283" s="647"/>
      <c r="P283" s="26"/>
    </row>
    <row r="284" spans="1:16" ht="15.75" customHeight="1">
      <c r="A284" s="53"/>
      <c r="B284" s="54"/>
      <c r="C284" s="55"/>
      <c r="D284" s="62"/>
      <c r="E284" s="62"/>
      <c r="F284" s="57"/>
      <c r="G284" s="645"/>
      <c r="H284" s="56"/>
      <c r="I284" s="27"/>
      <c r="J284" s="26"/>
      <c r="K284" s="76"/>
      <c r="L284" s="77"/>
      <c r="M284" s="78"/>
      <c r="N284" s="646"/>
      <c r="O284" s="647"/>
      <c r="P284" s="26"/>
    </row>
    <row r="285" spans="1:16" ht="15.75" customHeight="1">
      <c r="A285" s="53"/>
      <c r="B285" s="54"/>
      <c r="C285" s="55"/>
      <c r="D285" s="62"/>
      <c r="E285" s="62"/>
      <c r="F285" s="57"/>
      <c r="G285" s="645"/>
      <c r="H285" s="56"/>
      <c r="I285" s="27"/>
      <c r="J285" s="26"/>
      <c r="K285" s="76"/>
      <c r="L285" s="77"/>
      <c r="M285" s="78"/>
      <c r="N285" s="646"/>
      <c r="O285" s="647"/>
      <c r="P285" s="26"/>
    </row>
    <row r="286" spans="1:16" ht="15.75" customHeight="1">
      <c r="A286" s="53"/>
      <c r="B286" s="54"/>
      <c r="C286" s="55"/>
      <c r="D286" s="62"/>
      <c r="E286" s="62"/>
      <c r="F286" s="57"/>
      <c r="G286" s="645"/>
      <c r="H286" s="56"/>
      <c r="I286" s="27"/>
      <c r="J286" s="26"/>
      <c r="K286" s="76"/>
      <c r="L286" s="77"/>
      <c r="M286" s="78"/>
      <c r="N286" s="646"/>
      <c r="O286" s="647"/>
      <c r="P286" s="26"/>
    </row>
    <row r="287" spans="1:16" ht="15.75" customHeight="1">
      <c r="A287" s="53"/>
      <c r="B287" s="54"/>
      <c r="C287" s="55"/>
      <c r="D287" s="62"/>
      <c r="E287" s="62"/>
      <c r="F287" s="57"/>
      <c r="G287" s="645"/>
      <c r="H287" s="56"/>
      <c r="I287" s="27"/>
      <c r="J287" s="26"/>
      <c r="K287" s="76"/>
      <c r="L287" s="77"/>
      <c r="M287" s="78"/>
      <c r="N287" s="646"/>
      <c r="O287" s="647"/>
      <c r="P287" s="26"/>
    </row>
    <row r="288" spans="1:16" ht="15.75" customHeight="1">
      <c r="A288" s="53"/>
      <c r="B288" s="54"/>
      <c r="C288" s="55"/>
      <c r="D288" s="62"/>
      <c r="E288" s="62"/>
      <c r="F288" s="57"/>
      <c r="G288" s="645"/>
      <c r="H288" s="56"/>
      <c r="I288" s="27"/>
      <c r="J288" s="26"/>
      <c r="K288" s="76"/>
      <c r="L288" s="77"/>
      <c r="M288" s="78"/>
      <c r="N288" s="646"/>
      <c r="O288" s="647"/>
      <c r="P288" s="26"/>
    </row>
    <row r="289" spans="1:16" ht="15.75" customHeight="1">
      <c r="A289" s="53"/>
      <c r="B289" s="54"/>
      <c r="C289" s="55"/>
      <c r="D289" s="62"/>
      <c r="E289" s="62"/>
      <c r="F289" s="57"/>
      <c r="G289" s="645"/>
      <c r="H289" s="56"/>
      <c r="I289" s="27"/>
      <c r="J289" s="26"/>
      <c r="K289" s="76"/>
      <c r="L289" s="77"/>
      <c r="M289" s="78"/>
      <c r="N289" s="646"/>
      <c r="O289" s="647"/>
      <c r="P289" s="26"/>
    </row>
    <row r="290" spans="1:16" ht="15.75" customHeight="1">
      <c r="A290" s="53"/>
      <c r="B290" s="54"/>
      <c r="C290" s="55"/>
      <c r="D290" s="62"/>
      <c r="E290" s="62"/>
      <c r="F290" s="57"/>
      <c r="G290" s="645"/>
      <c r="H290" s="56"/>
      <c r="I290" s="27"/>
      <c r="J290" s="26"/>
      <c r="K290" s="76"/>
      <c r="L290" s="77"/>
      <c r="M290" s="78"/>
      <c r="N290" s="646"/>
      <c r="O290" s="647"/>
      <c r="P290" s="26"/>
    </row>
    <row r="291" spans="1:16" ht="15.75" customHeight="1">
      <c r="A291" s="53"/>
      <c r="B291" s="54"/>
      <c r="C291" s="55"/>
      <c r="D291" s="62"/>
      <c r="E291" s="62"/>
      <c r="F291" s="57"/>
      <c r="G291" s="645"/>
      <c r="H291" s="56"/>
      <c r="I291" s="27"/>
      <c r="J291" s="26"/>
      <c r="K291" s="76"/>
      <c r="L291" s="77"/>
      <c r="M291" s="78"/>
      <c r="N291" s="646"/>
      <c r="O291" s="647"/>
      <c r="P291" s="26"/>
    </row>
    <row r="292" spans="1:16" ht="15.75" customHeight="1">
      <c r="A292" s="53"/>
      <c r="B292" s="54"/>
      <c r="C292" s="55"/>
      <c r="D292" s="62"/>
      <c r="E292" s="62"/>
      <c r="F292" s="57"/>
      <c r="G292" s="645"/>
      <c r="H292" s="56"/>
      <c r="I292" s="27"/>
      <c r="J292" s="26"/>
      <c r="K292" s="76"/>
      <c r="L292" s="77"/>
      <c r="M292" s="78"/>
      <c r="N292" s="646"/>
      <c r="O292" s="647"/>
      <c r="P292" s="26"/>
    </row>
    <row r="293" spans="1:16" ht="15.75" customHeight="1">
      <c r="A293" s="53"/>
      <c r="B293" s="54"/>
      <c r="C293" s="55"/>
      <c r="D293" s="62"/>
      <c r="E293" s="62"/>
      <c r="F293" s="57"/>
      <c r="G293" s="645"/>
      <c r="H293" s="56"/>
      <c r="I293" s="27"/>
      <c r="J293" s="26"/>
      <c r="K293" s="76"/>
      <c r="L293" s="77"/>
      <c r="M293" s="78"/>
      <c r="N293" s="646"/>
      <c r="O293" s="647"/>
      <c r="P293" s="26"/>
    </row>
    <row r="294" spans="1:16" ht="15.75" customHeight="1">
      <c r="A294" s="53"/>
      <c r="B294" s="54"/>
      <c r="C294" s="55"/>
      <c r="D294" s="62"/>
      <c r="E294" s="62"/>
      <c r="F294" s="57"/>
      <c r="G294" s="645"/>
      <c r="H294" s="56"/>
      <c r="I294" s="27"/>
      <c r="J294" s="26"/>
      <c r="K294" s="76"/>
      <c r="L294" s="77"/>
      <c r="M294" s="78"/>
      <c r="N294" s="646"/>
      <c r="O294" s="647"/>
      <c r="P294" s="26"/>
    </row>
    <row r="295" spans="1:16" ht="15.75" customHeight="1">
      <c r="A295" s="53"/>
      <c r="B295" s="54"/>
      <c r="C295" s="55"/>
      <c r="D295" s="62"/>
      <c r="E295" s="62"/>
      <c r="F295" s="57"/>
      <c r="G295" s="645"/>
      <c r="H295" s="56"/>
      <c r="I295" s="27"/>
      <c r="J295" s="26"/>
      <c r="K295" s="76"/>
      <c r="L295" s="77"/>
      <c r="M295" s="78"/>
      <c r="N295" s="646"/>
      <c r="O295" s="647"/>
      <c r="P295" s="26"/>
    </row>
    <row r="296" spans="1:16" ht="15.75" customHeight="1">
      <c r="A296" s="53"/>
      <c r="B296" s="54"/>
      <c r="C296" s="55"/>
      <c r="D296" s="62"/>
      <c r="E296" s="62"/>
      <c r="F296" s="57"/>
      <c r="G296" s="645"/>
      <c r="H296" s="56"/>
      <c r="I296" s="27"/>
      <c r="J296" s="26"/>
      <c r="K296" s="76"/>
      <c r="L296" s="77"/>
      <c r="M296" s="78"/>
      <c r="N296" s="646"/>
      <c r="O296" s="647"/>
      <c r="P296" s="26"/>
    </row>
    <row r="297" spans="1:16" ht="15.75" customHeight="1">
      <c r="A297" s="53"/>
      <c r="B297" s="54"/>
      <c r="C297" s="55"/>
      <c r="D297" s="62"/>
      <c r="E297" s="62"/>
      <c r="F297" s="57"/>
      <c r="G297" s="645"/>
      <c r="H297" s="56"/>
      <c r="I297" s="27"/>
      <c r="J297" s="26"/>
      <c r="K297" s="76"/>
      <c r="L297" s="77"/>
      <c r="M297" s="78"/>
      <c r="N297" s="646"/>
      <c r="O297" s="647"/>
      <c r="P297" s="26"/>
    </row>
    <row r="298" spans="1:16" ht="15.75" customHeight="1">
      <c r="A298" s="53"/>
      <c r="B298" s="54"/>
      <c r="C298" s="55"/>
      <c r="D298" s="62"/>
      <c r="E298" s="62"/>
      <c r="F298" s="57"/>
      <c r="G298" s="645"/>
      <c r="H298" s="56"/>
      <c r="I298" s="27"/>
      <c r="J298" s="26"/>
      <c r="K298" s="76"/>
      <c r="L298" s="77"/>
      <c r="M298" s="78"/>
      <c r="N298" s="646"/>
      <c r="O298" s="647"/>
      <c r="P298" s="26"/>
    </row>
    <row r="299" spans="1:16" ht="15.75" customHeight="1">
      <c r="A299" s="53"/>
      <c r="B299" s="54"/>
      <c r="C299" s="55"/>
      <c r="D299" s="62"/>
      <c r="E299" s="62"/>
      <c r="F299" s="57"/>
      <c r="G299" s="645"/>
      <c r="H299" s="56"/>
      <c r="I299" s="27"/>
      <c r="J299" s="26"/>
      <c r="K299" s="76"/>
      <c r="L299" s="77"/>
      <c r="M299" s="78"/>
      <c r="N299" s="646"/>
      <c r="O299" s="647"/>
      <c r="P299" s="26"/>
    </row>
    <row r="300" spans="1:16" ht="15.75" customHeight="1">
      <c r="A300" s="53"/>
      <c r="B300" s="54"/>
      <c r="C300" s="55"/>
      <c r="D300" s="62"/>
      <c r="E300" s="62"/>
      <c r="F300" s="57"/>
      <c r="G300" s="645"/>
      <c r="H300" s="56"/>
      <c r="I300" s="27"/>
      <c r="J300" s="26"/>
      <c r="K300" s="76"/>
      <c r="L300" s="77"/>
      <c r="M300" s="78"/>
      <c r="N300" s="646"/>
      <c r="O300" s="647"/>
      <c r="P300" s="26"/>
    </row>
    <row r="301" spans="1:16" ht="15.75" customHeight="1">
      <c r="A301" s="53"/>
      <c r="B301" s="54"/>
      <c r="C301" s="55"/>
      <c r="D301" s="62"/>
      <c r="E301" s="62"/>
      <c r="F301" s="57"/>
      <c r="G301" s="645"/>
      <c r="H301" s="56"/>
      <c r="I301" s="27"/>
      <c r="J301" s="26"/>
      <c r="K301" s="76"/>
      <c r="L301" s="77"/>
      <c r="M301" s="78"/>
      <c r="N301" s="646"/>
      <c r="O301" s="647"/>
      <c r="P301" s="26"/>
    </row>
    <row r="302" spans="1:16" ht="15.75" customHeight="1">
      <c r="A302" s="53"/>
      <c r="B302" s="54"/>
      <c r="C302" s="55"/>
      <c r="D302" s="62"/>
      <c r="E302" s="62"/>
      <c r="F302" s="57"/>
      <c r="G302" s="645"/>
      <c r="H302" s="56"/>
      <c r="I302" s="27"/>
      <c r="J302" s="26"/>
      <c r="K302" s="76"/>
      <c r="L302" s="77"/>
      <c r="M302" s="78"/>
      <c r="N302" s="646"/>
      <c r="O302" s="647"/>
      <c r="P302" s="26"/>
    </row>
    <row r="303" spans="1:16" ht="15.75" customHeight="1" thickBot="1">
      <c r="A303" s="649"/>
      <c r="B303" s="650"/>
      <c r="C303" s="651"/>
      <c r="D303" s="652"/>
      <c r="E303" s="652"/>
      <c r="F303" s="657"/>
      <c r="G303" s="658"/>
      <c r="H303" s="649"/>
      <c r="I303" s="653"/>
      <c r="J303" s="653"/>
      <c r="K303" s="654"/>
      <c r="L303" s="655"/>
      <c r="M303" s="659"/>
      <c r="N303" s="660"/>
      <c r="O303" s="656"/>
      <c r="P303" s="653"/>
    </row>
    <row r="304" spans="1:16" ht="15.75" customHeight="1" thickTop="1">
      <c r="A304" s="661"/>
      <c r="B304" s="34"/>
      <c r="C304" s="34"/>
      <c r="D304" s="34"/>
      <c r="E304" s="34"/>
      <c r="F304" s="34"/>
      <c r="G304" s="35"/>
      <c r="H304" s="34"/>
      <c r="I304" s="34"/>
      <c r="J304" s="34"/>
      <c r="K304" s="34"/>
      <c r="L304" s="35"/>
      <c r="M304" s="100"/>
      <c r="N304" s="34"/>
      <c r="O304" s="34"/>
      <c r="P304" s="34"/>
    </row>
    <row r="305" spans="1:16" ht="15.75" customHeight="1">
      <c r="A305" s="36"/>
      <c r="B305" s="34"/>
      <c r="C305" s="34"/>
      <c r="D305" s="34"/>
      <c r="E305" s="34"/>
      <c r="F305" s="34"/>
      <c r="G305" s="35"/>
      <c r="H305" s="34"/>
      <c r="I305" s="34"/>
      <c r="J305" s="34"/>
      <c r="K305" s="34"/>
      <c r="L305" s="35"/>
      <c r="M305" s="100"/>
      <c r="N305" s="34"/>
      <c r="O305" s="34"/>
      <c r="P305" s="34"/>
    </row>
    <row r="306" spans="1:16" ht="15.75" customHeight="1">
      <c r="A306" s="36"/>
      <c r="B306" s="34"/>
      <c r="C306" s="34"/>
      <c r="D306" s="34"/>
      <c r="E306" s="34"/>
      <c r="F306" s="34"/>
      <c r="G306" s="35"/>
      <c r="H306" s="34"/>
      <c r="I306" s="34"/>
      <c r="J306" s="34"/>
      <c r="K306" s="34"/>
      <c r="L306" s="34"/>
      <c r="M306" s="100"/>
      <c r="N306" s="36" t="s">
        <v>370</v>
      </c>
      <c r="P306" s="36"/>
    </row>
    <row r="307" spans="1:16" ht="15.75" customHeight="1">
      <c r="A307" s="36"/>
      <c r="B307" s="34"/>
      <c r="C307" s="34"/>
      <c r="D307" s="34"/>
      <c r="E307" s="34"/>
      <c r="F307" s="34"/>
      <c r="G307" s="35"/>
      <c r="H307" s="34"/>
      <c r="I307" s="34"/>
      <c r="J307" s="34"/>
      <c r="K307" s="34"/>
      <c r="L307" s="34"/>
      <c r="M307" s="100"/>
      <c r="N307" s="36"/>
      <c r="P307" s="36"/>
    </row>
    <row r="308" spans="1:16" ht="15.75" customHeight="1">
      <c r="A308" s="36"/>
      <c r="B308" s="34"/>
      <c r="C308" s="36" t="s">
        <v>32</v>
      </c>
      <c r="D308" s="34"/>
      <c r="E308" s="34"/>
      <c r="F308" s="34"/>
      <c r="G308" s="35"/>
      <c r="H308" s="34"/>
      <c r="K308" s="34"/>
      <c r="L308" s="34"/>
      <c r="M308" s="100"/>
      <c r="N308" s="36" t="s">
        <v>362</v>
      </c>
      <c r="P308" s="36"/>
    </row>
    <row r="309" spans="1:16" ht="15.75" customHeight="1">
      <c r="A309" s="36"/>
      <c r="B309" s="34"/>
      <c r="C309" s="36"/>
      <c r="D309" s="34"/>
      <c r="E309" s="34"/>
      <c r="F309" s="34"/>
      <c r="G309" s="35"/>
      <c r="H309" s="34"/>
      <c r="K309" s="34"/>
      <c r="L309" s="34"/>
      <c r="M309" s="100"/>
      <c r="N309" s="36"/>
      <c r="P309" s="36"/>
    </row>
    <row r="310" spans="1:16" ht="15.75" customHeight="1">
      <c r="A310" s="36"/>
      <c r="B310" s="34"/>
      <c r="C310" s="36"/>
      <c r="D310" s="34"/>
      <c r="E310" s="34"/>
      <c r="F310" s="34"/>
      <c r="G310" s="35"/>
      <c r="H310" s="34"/>
      <c r="K310" s="34"/>
      <c r="L310" s="34"/>
      <c r="M310" s="100"/>
      <c r="N310" s="36"/>
      <c r="P310" s="36"/>
    </row>
    <row r="311" spans="1:16" ht="15.75" customHeight="1">
      <c r="A311" s="36"/>
      <c r="B311" s="34"/>
      <c r="C311" s="36"/>
      <c r="D311" s="34"/>
      <c r="E311" s="34"/>
      <c r="F311" s="34"/>
      <c r="G311" s="35"/>
      <c r="H311" s="34"/>
      <c r="K311" s="34"/>
      <c r="L311" s="34"/>
      <c r="M311" s="100"/>
      <c r="N311" s="36"/>
      <c r="P311" s="36"/>
    </row>
    <row r="312" spans="1:16" ht="15.75" customHeight="1">
      <c r="A312" s="36"/>
      <c r="B312" s="34"/>
      <c r="C312" s="37" t="s">
        <v>33</v>
      </c>
      <c r="D312" s="34"/>
      <c r="E312" s="34"/>
      <c r="F312" s="34"/>
      <c r="G312" s="35"/>
      <c r="H312" s="34"/>
      <c r="K312" s="38"/>
      <c r="L312" s="38"/>
      <c r="M312" s="101"/>
      <c r="N312" s="37" t="s">
        <v>369</v>
      </c>
      <c r="P312" s="37"/>
    </row>
    <row r="313" spans="1:16" ht="15.75" customHeight="1">
      <c r="A313" s="36"/>
      <c r="B313" s="92"/>
      <c r="C313" s="36" t="s">
        <v>34</v>
      </c>
      <c r="D313" s="92"/>
      <c r="E313" s="92"/>
      <c r="F313" s="92"/>
      <c r="G313" s="93"/>
      <c r="H313" s="92"/>
      <c r="K313" s="92"/>
      <c r="L313" s="92"/>
      <c r="M313" s="102"/>
      <c r="N313" s="36" t="s">
        <v>361</v>
      </c>
      <c r="P313" s="36"/>
    </row>
    <row r="314" spans="1:16" ht="15.75" customHeight="1">
      <c r="A314" s="36"/>
    </row>
    <row r="315" spans="1:16" ht="15.75" customHeight="1">
      <c r="A315" s="36"/>
    </row>
    <row r="316" spans="1:16" ht="15.75" customHeight="1">
      <c r="A316" s="36"/>
    </row>
    <row r="317" spans="1:16" ht="15.75" customHeight="1">
      <c r="A317" s="36"/>
    </row>
    <row r="318" spans="1:16" ht="15.75" customHeight="1">
      <c r="A318" s="36"/>
    </row>
    <row r="319" spans="1:16" ht="15.75" customHeight="1">
      <c r="A319" s="36"/>
    </row>
    <row r="320" spans="1:16" ht="15.75" customHeight="1">
      <c r="A320" s="36"/>
    </row>
    <row r="321" spans="1:19" ht="15.75" customHeight="1">
      <c r="A321" s="36"/>
    </row>
    <row r="322" spans="1:19" ht="15.75" customHeight="1">
      <c r="A322" s="36"/>
    </row>
    <row r="323" spans="1:19">
      <c r="A323" s="34"/>
    </row>
    <row r="324" spans="1:19">
      <c r="A324" s="34"/>
    </row>
    <row r="325" spans="1:19">
      <c r="A325" s="34"/>
    </row>
    <row r="326" spans="1:19">
      <c r="A326" s="34"/>
    </row>
    <row r="327" spans="1:19">
      <c r="A327" s="34"/>
    </row>
    <row r="328" spans="1:19">
      <c r="A328" s="34"/>
    </row>
    <row r="329" spans="1:19">
      <c r="A329" s="34"/>
    </row>
    <row r="330" spans="1:19" ht="15" customHeight="1">
      <c r="A330" s="34"/>
    </row>
    <row r="331" spans="1:19">
      <c r="A331" s="34"/>
    </row>
    <row r="332" spans="1:19">
      <c r="A332" s="92"/>
    </row>
    <row r="333" spans="1:19">
      <c r="S333" t="s">
        <v>363</v>
      </c>
    </row>
    <row r="340" ht="15" customHeight="1"/>
    <row r="364" ht="15" customHeight="1"/>
    <row r="370" ht="15" customHeight="1"/>
    <row r="388" ht="15" customHeight="1"/>
    <row r="394" ht="15" customHeight="1"/>
    <row r="395" ht="15" customHeight="1"/>
    <row r="412" ht="15" customHeight="1"/>
    <row r="436" ht="15" customHeight="1"/>
    <row r="469" ht="15" customHeight="1"/>
    <row r="472" ht="15" customHeight="1"/>
    <row r="481" ht="15" customHeight="1"/>
    <row r="493" ht="15" customHeight="1"/>
    <row r="496" ht="15" customHeight="1"/>
    <row r="505" ht="15" customHeight="1"/>
    <row r="517" ht="15" customHeight="1"/>
    <row r="520" ht="15" customHeight="1"/>
    <row r="541" ht="15" customHeight="1"/>
    <row r="544" ht="15" customHeight="1"/>
    <row r="565" ht="15" customHeight="1"/>
    <row r="568" ht="15" customHeight="1"/>
    <row r="589" ht="15" customHeight="1"/>
    <row r="592" ht="15" customHeight="1"/>
    <row r="613" ht="15" customHeight="1"/>
    <row r="616" ht="15" customHeight="1"/>
    <row r="637" ht="15" customHeight="1"/>
    <row r="640" ht="15" customHeight="1"/>
    <row r="661" ht="15" customHeight="1"/>
    <row r="664" ht="15" customHeight="1"/>
    <row r="685" ht="15" customHeight="1"/>
    <row r="688" ht="15" customHeight="1"/>
    <row r="709" ht="15" customHeight="1"/>
    <row r="712" ht="15" customHeight="1"/>
    <row r="733" ht="15" customHeight="1"/>
    <row r="736" ht="15" customHeight="1"/>
    <row r="757" ht="15" customHeight="1"/>
    <row r="759" ht="15" customHeight="1"/>
    <row r="760" ht="15" customHeight="1"/>
    <row r="781" ht="15" customHeight="1"/>
    <row r="783" ht="15" customHeight="1"/>
    <row r="805" ht="15" customHeight="1"/>
    <row r="829" ht="15" customHeight="1"/>
    <row r="853" ht="15" customHeight="1"/>
    <row r="900" ht="15" customHeight="1"/>
    <row r="924" ht="15" customHeight="1"/>
    <row r="948" ht="15" customHeight="1"/>
    <row r="972" ht="15" customHeight="1"/>
    <row r="996" ht="15" customHeight="1"/>
    <row r="1020" ht="15" customHeight="1"/>
    <row r="1044" ht="15" customHeight="1"/>
    <row r="1068" ht="15" customHeight="1"/>
    <row r="1092" ht="15" customHeight="1"/>
    <row r="1116" ht="15" customHeight="1"/>
    <row r="1140" ht="15" customHeight="1"/>
    <row r="1164" ht="15" customHeight="1"/>
    <row r="1194" ht="15" customHeight="1"/>
    <row r="1218" ht="15" customHeight="1"/>
    <row r="1242" ht="15" customHeight="1"/>
    <row r="1266" ht="15" customHeight="1"/>
  </sheetData>
  <mergeCells count="19">
    <mergeCell ref="H8:H9"/>
    <mergeCell ref="K8:K9"/>
    <mergeCell ref="L8:L9"/>
    <mergeCell ref="A12:P12"/>
    <mergeCell ref="A5:P5"/>
    <mergeCell ref="B7:J7"/>
    <mergeCell ref="K7:O7"/>
    <mergeCell ref="I8:J8"/>
    <mergeCell ref="A8:A9"/>
    <mergeCell ref="B8:B9"/>
    <mergeCell ref="C8:C9"/>
    <mergeCell ref="D8:D9"/>
    <mergeCell ref="E8:E9"/>
    <mergeCell ref="F10:G10"/>
    <mergeCell ref="M10:N10"/>
    <mergeCell ref="O8:O9"/>
    <mergeCell ref="P8:P9"/>
    <mergeCell ref="F8:G9"/>
    <mergeCell ref="M8:N9"/>
  </mergeCells>
  <printOptions horizontalCentered="1"/>
  <pageMargins left="0.19685039370078741" right="0.19685039370078741" top="0.19685039370078741" bottom="0.19685039370078741" header="0.31496062992125984" footer="0.31496062992125984"/>
  <pageSetup paperSize="119" scale="7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3"/>
  <sheetViews>
    <sheetView view="pageBreakPreview" zoomScale="86" zoomScaleNormal="68" zoomScaleSheetLayoutView="86" workbookViewId="0">
      <selection activeCell="N73" sqref="N73"/>
    </sheetView>
  </sheetViews>
  <sheetFormatPr defaultRowHeight="15"/>
  <cols>
    <col min="1" max="1" width="6.28515625" style="495" customWidth="1"/>
    <col min="2" max="2" width="13.5703125" style="496" customWidth="1"/>
    <col min="3" max="3" width="25.5703125" style="494" customWidth="1"/>
    <col min="4" max="4" width="18.140625" style="494" customWidth="1"/>
    <col min="5" max="5" width="13.7109375" style="494" customWidth="1"/>
    <col min="6" max="6" width="21.28515625" style="494" customWidth="1"/>
    <col min="7" max="8" width="9.140625" style="495" customWidth="1"/>
    <col min="9" max="9" width="12" style="494" customWidth="1"/>
    <col min="10" max="10" width="14.140625" style="494" customWidth="1"/>
    <col min="11" max="12" width="9.140625" style="494" customWidth="1"/>
    <col min="13" max="13" width="9.140625" style="494"/>
  </cols>
  <sheetData>
    <row r="1" spans="1:16" ht="15.75">
      <c r="A1" s="1173" t="s">
        <v>47</v>
      </c>
      <c r="B1" s="1173"/>
      <c r="C1" s="530" t="s">
        <v>270</v>
      </c>
      <c r="D1" s="527"/>
      <c r="E1" s="527"/>
      <c r="F1" s="527"/>
      <c r="H1" s="532"/>
      <c r="I1" s="531"/>
      <c r="J1" s="531"/>
      <c r="K1" s="531"/>
      <c r="L1" s="531"/>
      <c r="M1" s="531"/>
    </row>
    <row r="2" spans="1:16" ht="15.75">
      <c r="A2" s="1173" t="s">
        <v>269</v>
      </c>
      <c r="B2" s="1173"/>
      <c r="C2" s="530" t="s">
        <v>268</v>
      </c>
      <c r="D2" s="527"/>
      <c r="E2" s="527"/>
      <c r="F2" s="527"/>
      <c r="G2" s="528"/>
      <c r="H2" s="1174"/>
      <c r="I2" s="1174"/>
      <c r="J2" s="1174"/>
      <c r="K2" s="1174"/>
      <c r="L2" s="1174"/>
      <c r="M2" s="527"/>
    </row>
    <row r="3" spans="1:16" ht="15.75">
      <c r="A3" s="1173" t="s">
        <v>267</v>
      </c>
      <c r="B3" s="1173"/>
      <c r="C3" s="530" t="s">
        <v>266</v>
      </c>
      <c r="D3" s="527"/>
      <c r="E3" s="527"/>
      <c r="F3" s="527"/>
      <c r="G3" s="528"/>
      <c r="H3" s="528"/>
      <c r="I3" s="527"/>
      <c r="J3" s="527"/>
      <c r="K3" s="527"/>
      <c r="L3" s="527"/>
      <c r="M3" s="527"/>
    </row>
    <row r="4" spans="1:16" ht="15.75">
      <c r="A4" s="1175" t="s">
        <v>357</v>
      </c>
      <c r="B4" s="1175"/>
      <c r="C4" s="1175"/>
      <c r="D4" s="1175"/>
      <c r="E4" s="1175"/>
      <c r="F4" s="1175"/>
      <c r="G4" s="1175"/>
      <c r="H4" s="1175"/>
      <c r="I4" s="1175"/>
      <c r="J4" s="1175"/>
      <c r="K4" s="1175"/>
      <c r="L4" s="1175"/>
      <c r="M4" s="1175"/>
    </row>
    <row r="5" spans="1:16" ht="15.75">
      <c r="A5" s="528"/>
      <c r="B5" s="529"/>
      <c r="C5" s="527"/>
      <c r="D5" s="527"/>
      <c r="E5" s="527"/>
      <c r="F5" s="527"/>
      <c r="G5" s="528"/>
      <c r="H5" s="1188"/>
      <c r="I5" s="1188"/>
      <c r="J5" s="1188"/>
      <c r="K5" s="1188"/>
      <c r="L5" s="1188"/>
      <c r="M5" s="527"/>
    </row>
    <row r="6" spans="1:16">
      <c r="A6" s="1178" t="s">
        <v>2</v>
      </c>
      <c r="B6" s="1189" t="s">
        <v>3</v>
      </c>
      <c r="C6" s="1178" t="s">
        <v>4</v>
      </c>
      <c r="D6" s="1192" t="s">
        <v>5</v>
      </c>
      <c r="E6" s="1193"/>
      <c r="F6" s="1178" t="s">
        <v>6</v>
      </c>
      <c r="G6" s="1192" t="s">
        <v>7</v>
      </c>
      <c r="H6" s="1193"/>
      <c r="I6" s="1178" t="s">
        <v>41</v>
      </c>
      <c r="J6" s="1178" t="s">
        <v>42</v>
      </c>
      <c r="K6" s="1176" t="s">
        <v>264</v>
      </c>
      <c r="L6" s="1177"/>
      <c r="M6" s="1178" t="s">
        <v>263</v>
      </c>
    </row>
    <row r="7" spans="1:16">
      <c r="A7" s="1179"/>
      <c r="B7" s="1190"/>
      <c r="C7" s="1179"/>
      <c r="D7" s="1194"/>
      <c r="E7" s="1195"/>
      <c r="F7" s="1179"/>
      <c r="G7" s="1196"/>
      <c r="H7" s="1197"/>
      <c r="I7" s="1179"/>
      <c r="J7" s="1179"/>
      <c r="K7" s="1181" t="s">
        <v>12</v>
      </c>
      <c r="L7" s="1182"/>
      <c r="M7" s="1179"/>
    </row>
    <row r="8" spans="1:16">
      <c r="A8" s="1180"/>
      <c r="B8" s="1191"/>
      <c r="C8" s="1180"/>
      <c r="D8" s="526" t="s">
        <v>13</v>
      </c>
      <c r="E8" s="526" t="s">
        <v>3</v>
      </c>
      <c r="F8" s="1180"/>
      <c r="G8" s="1194"/>
      <c r="H8" s="1195"/>
      <c r="I8" s="1180"/>
      <c r="J8" s="1180"/>
      <c r="K8" s="524" t="s">
        <v>13</v>
      </c>
      <c r="L8" s="524" t="s">
        <v>3</v>
      </c>
      <c r="M8" s="1180"/>
    </row>
    <row r="9" spans="1:16">
      <c r="A9" s="524">
        <v>1</v>
      </c>
      <c r="B9" s="525" t="s">
        <v>262</v>
      </c>
      <c r="C9" s="524">
        <v>3</v>
      </c>
      <c r="D9" s="524">
        <v>4</v>
      </c>
      <c r="E9" s="524">
        <v>5</v>
      </c>
      <c r="F9" s="524">
        <v>6</v>
      </c>
      <c r="G9" s="1183">
        <v>7</v>
      </c>
      <c r="H9" s="1184"/>
      <c r="I9" s="524">
        <v>8</v>
      </c>
      <c r="J9" s="524">
        <v>9</v>
      </c>
      <c r="K9" s="524">
        <v>10</v>
      </c>
      <c r="L9" s="524">
        <v>11</v>
      </c>
      <c r="M9" s="524">
        <v>12</v>
      </c>
    </row>
    <row r="10" spans="1:16" ht="38.25">
      <c r="A10" s="519">
        <v>1</v>
      </c>
      <c r="B10" s="512" t="s">
        <v>347</v>
      </c>
      <c r="C10" s="511" t="s">
        <v>282</v>
      </c>
      <c r="D10" s="519" t="s">
        <v>350</v>
      </c>
      <c r="E10" s="512" t="s">
        <v>347</v>
      </c>
      <c r="F10" s="518" t="s">
        <v>356</v>
      </c>
      <c r="G10" s="538">
        <v>2</v>
      </c>
      <c r="H10" s="521" t="s">
        <v>19</v>
      </c>
      <c r="I10" s="515">
        <v>10300880</v>
      </c>
      <c r="J10" s="537">
        <f t="shared" ref="J10:J16" si="0">I10*G10</f>
        <v>20601760</v>
      </c>
      <c r="K10" s="511" t="s">
        <v>348</v>
      </c>
      <c r="L10" s="512" t="s">
        <v>347</v>
      </c>
      <c r="M10" s="557" t="s">
        <v>355</v>
      </c>
    </row>
    <row r="11" spans="1:16" ht="38.25">
      <c r="A11" s="519">
        <v>2</v>
      </c>
      <c r="B11" s="512" t="s">
        <v>347</v>
      </c>
      <c r="C11" s="511" t="s">
        <v>282</v>
      </c>
      <c r="D11" s="519" t="s">
        <v>350</v>
      </c>
      <c r="E11" s="512" t="s">
        <v>347</v>
      </c>
      <c r="F11" s="518" t="s">
        <v>354</v>
      </c>
      <c r="G11" s="546">
        <v>2</v>
      </c>
      <c r="H11" s="516" t="s">
        <v>19</v>
      </c>
      <c r="I11" s="515">
        <v>14549840</v>
      </c>
      <c r="J11" s="537">
        <f t="shared" si="0"/>
        <v>29099680</v>
      </c>
      <c r="K11" s="511" t="s">
        <v>348</v>
      </c>
      <c r="L11" s="512" t="s">
        <v>347</v>
      </c>
      <c r="M11" s="511" t="s">
        <v>353</v>
      </c>
    </row>
    <row r="12" spans="1:16" ht="38.25">
      <c r="A12" s="519">
        <v>3</v>
      </c>
      <c r="B12" s="512" t="s">
        <v>347</v>
      </c>
      <c r="C12" s="511" t="s">
        <v>282</v>
      </c>
      <c r="D12" s="519" t="s">
        <v>350</v>
      </c>
      <c r="E12" s="512" t="s">
        <v>347</v>
      </c>
      <c r="F12" s="518" t="s">
        <v>352</v>
      </c>
      <c r="G12" s="546">
        <v>4</v>
      </c>
      <c r="H12" s="516" t="s">
        <v>19</v>
      </c>
      <c r="I12" s="515">
        <v>2090820</v>
      </c>
      <c r="J12" s="537">
        <f t="shared" si="0"/>
        <v>8363280</v>
      </c>
      <c r="K12" s="511" t="s">
        <v>348</v>
      </c>
      <c r="L12" s="512" t="s">
        <v>347</v>
      </c>
      <c r="M12" s="520" t="s">
        <v>351</v>
      </c>
    </row>
    <row r="13" spans="1:16" ht="38.25">
      <c r="A13" s="519">
        <v>4</v>
      </c>
      <c r="B13" s="512" t="s">
        <v>347</v>
      </c>
      <c r="C13" s="511" t="s">
        <v>282</v>
      </c>
      <c r="D13" s="519" t="s">
        <v>350</v>
      </c>
      <c r="E13" s="512" t="s">
        <v>347</v>
      </c>
      <c r="F13" s="518" t="s">
        <v>349</v>
      </c>
      <c r="G13" s="546">
        <v>1</v>
      </c>
      <c r="H13" s="516" t="s">
        <v>19</v>
      </c>
      <c r="I13" s="515">
        <v>6400000</v>
      </c>
      <c r="J13" s="537">
        <f t="shared" si="0"/>
        <v>6400000</v>
      </c>
      <c r="K13" s="511" t="s">
        <v>348</v>
      </c>
      <c r="L13" s="512" t="s">
        <v>347</v>
      </c>
      <c r="M13" s="511" t="s">
        <v>346</v>
      </c>
    </row>
    <row r="14" spans="1:16" ht="38.25">
      <c r="A14" s="519">
        <v>5</v>
      </c>
      <c r="B14" s="512">
        <v>44077</v>
      </c>
      <c r="C14" s="511" t="s">
        <v>290</v>
      </c>
      <c r="D14" s="519" t="s">
        <v>344</v>
      </c>
      <c r="E14" s="512">
        <v>44077</v>
      </c>
      <c r="F14" s="518" t="s">
        <v>345</v>
      </c>
      <c r="G14" s="546">
        <v>4</v>
      </c>
      <c r="H14" s="516" t="s">
        <v>19</v>
      </c>
      <c r="I14" s="515">
        <v>3110300</v>
      </c>
      <c r="J14" s="537">
        <f t="shared" si="0"/>
        <v>12441200</v>
      </c>
      <c r="K14" s="511" t="s">
        <v>342</v>
      </c>
      <c r="L14" s="512">
        <v>44077</v>
      </c>
      <c r="M14" s="511" t="s">
        <v>341</v>
      </c>
    </row>
    <row r="15" spans="1:16" ht="38.25">
      <c r="A15" s="545">
        <v>6</v>
      </c>
      <c r="B15" s="539">
        <v>44077</v>
      </c>
      <c r="C15" s="513" t="s">
        <v>290</v>
      </c>
      <c r="D15" s="545" t="s">
        <v>344</v>
      </c>
      <c r="E15" s="539">
        <v>44077</v>
      </c>
      <c r="F15" s="544" t="s">
        <v>343</v>
      </c>
      <c r="G15" s="543">
        <v>2</v>
      </c>
      <c r="H15" s="542" t="s">
        <v>19</v>
      </c>
      <c r="I15" s="541">
        <v>3827100</v>
      </c>
      <c r="J15" s="540">
        <f t="shared" si="0"/>
        <v>7654200</v>
      </c>
      <c r="K15" s="513" t="s">
        <v>342</v>
      </c>
      <c r="L15" s="539">
        <v>44077</v>
      </c>
      <c r="M15" s="513" t="s">
        <v>341</v>
      </c>
    </row>
    <row r="16" spans="1:16" ht="63.75">
      <c r="A16" s="556">
        <v>7</v>
      </c>
      <c r="B16" s="555" t="s">
        <v>339</v>
      </c>
      <c r="C16" s="549" t="s">
        <v>340</v>
      </c>
      <c r="D16" s="556"/>
      <c r="E16" s="555" t="s">
        <v>339</v>
      </c>
      <c r="F16" s="554" t="s">
        <v>338</v>
      </c>
      <c r="G16" s="553">
        <v>1</v>
      </c>
      <c r="H16" s="552" t="s">
        <v>19</v>
      </c>
      <c r="I16" s="551">
        <v>4975000</v>
      </c>
      <c r="J16" s="550">
        <f t="shared" si="0"/>
        <v>4975000</v>
      </c>
      <c r="K16" s="513" t="s">
        <v>337</v>
      </c>
      <c r="L16" s="539">
        <v>44076</v>
      </c>
      <c r="M16" s="549" t="s">
        <v>336</v>
      </c>
      <c r="P16" s="548"/>
    </row>
    <row r="17" spans="1:15">
      <c r="A17" s="510"/>
      <c r="B17" s="509"/>
      <c r="C17" s="505"/>
      <c r="D17" s="505"/>
      <c r="E17" s="505"/>
      <c r="F17" s="508"/>
      <c r="G17" s="1185" t="s">
        <v>255</v>
      </c>
      <c r="H17" s="1186"/>
      <c r="I17" s="1187"/>
      <c r="J17" s="507">
        <f>SUM(J10:J16)</f>
        <v>89535120</v>
      </c>
      <c r="K17" s="506"/>
      <c r="L17" s="505"/>
      <c r="M17" s="505"/>
    </row>
    <row r="19" spans="1:15">
      <c r="J19" s="502"/>
      <c r="K19" s="502"/>
      <c r="L19" s="502"/>
      <c r="M19" s="502"/>
      <c r="N19" s="502"/>
    </row>
    <row r="20" spans="1:15">
      <c r="A20" s="1198" t="s">
        <v>229</v>
      </c>
      <c r="B20" s="1198"/>
      <c r="C20" s="1198"/>
      <c r="D20" s="1198"/>
      <c r="E20" s="1198"/>
      <c r="J20" s="36" t="s">
        <v>240</v>
      </c>
    </row>
    <row r="21" spans="1:15">
      <c r="A21" s="1198" t="s">
        <v>253</v>
      </c>
      <c r="B21" s="1198"/>
      <c r="C21" s="1198"/>
      <c r="D21" s="1198"/>
      <c r="E21" s="1198"/>
      <c r="I21" s="502"/>
      <c r="J21" s="36"/>
      <c r="K21" s="502"/>
      <c r="L21" s="502"/>
      <c r="M21" s="502"/>
    </row>
    <row r="22" spans="1:15">
      <c r="A22" s="1198" t="s">
        <v>251</v>
      </c>
      <c r="B22" s="1198"/>
      <c r="C22" s="1198"/>
      <c r="D22" s="1198"/>
      <c r="E22" s="1198"/>
      <c r="I22" s="495"/>
      <c r="J22" s="36" t="s">
        <v>252</v>
      </c>
      <c r="K22" s="535"/>
      <c r="L22" s="535"/>
      <c r="M22" s="535"/>
      <c r="N22" s="535"/>
      <c r="O22" s="535"/>
    </row>
    <row r="23" spans="1:15">
      <c r="A23" s="503"/>
      <c r="B23" s="503"/>
      <c r="C23" s="503"/>
      <c r="D23" s="503"/>
      <c r="E23" s="503"/>
      <c r="J23" s="36"/>
      <c r="K23" s="503"/>
      <c r="L23" s="503"/>
      <c r="M23" s="503"/>
    </row>
    <row r="24" spans="1:15">
      <c r="C24" s="503"/>
      <c r="J24" s="36"/>
      <c r="K24" s="503"/>
      <c r="L24" s="503"/>
      <c r="M24" s="502"/>
    </row>
    <row r="25" spans="1:15">
      <c r="C25" s="501"/>
      <c r="J25" s="36"/>
      <c r="K25" s="500"/>
      <c r="L25" s="500"/>
      <c r="M25" s="499"/>
    </row>
    <row r="26" spans="1:15">
      <c r="A26" s="1199" t="s">
        <v>250</v>
      </c>
      <c r="B26" s="1199"/>
      <c r="C26" s="1199"/>
      <c r="D26" s="1199"/>
      <c r="E26" s="1199"/>
      <c r="J26" s="37" t="s">
        <v>306</v>
      </c>
      <c r="K26" s="534"/>
      <c r="L26" s="534"/>
      <c r="M26" s="534"/>
    </row>
    <row r="27" spans="1:15">
      <c r="A27" s="1198" t="s">
        <v>34</v>
      </c>
      <c r="B27" s="1198"/>
      <c r="C27" s="1198"/>
      <c r="D27" s="1198"/>
      <c r="E27" s="1198"/>
      <c r="I27" s="1201" t="s">
        <v>249</v>
      </c>
      <c r="J27" s="1201"/>
      <c r="K27" s="1201"/>
      <c r="L27" s="533"/>
      <c r="M27" s="533"/>
    </row>
    <row r="28" spans="1:15">
      <c r="A28" s="503"/>
      <c r="B28" s="503"/>
      <c r="C28" s="503"/>
      <c r="D28" s="503"/>
      <c r="E28" s="503"/>
      <c r="K28" s="503"/>
      <c r="L28" s="503"/>
      <c r="M28" s="503"/>
    </row>
    <row r="29" spans="1:15" ht="15.75">
      <c r="A29" s="1173" t="s">
        <v>47</v>
      </c>
      <c r="B29" s="1173"/>
      <c r="C29" s="530" t="s">
        <v>270</v>
      </c>
      <c r="D29" s="527"/>
      <c r="E29" s="527"/>
      <c r="F29" s="527"/>
      <c r="H29" s="532"/>
      <c r="I29" s="531"/>
      <c r="J29" s="531"/>
      <c r="K29" s="531"/>
      <c r="L29" s="531"/>
      <c r="M29" s="531"/>
    </row>
    <row r="30" spans="1:15" ht="15.75">
      <c r="A30" s="1173" t="s">
        <v>269</v>
      </c>
      <c r="B30" s="1173"/>
      <c r="C30" s="530" t="s">
        <v>268</v>
      </c>
      <c r="D30" s="527"/>
      <c r="E30" s="527"/>
      <c r="F30" s="527"/>
      <c r="G30" s="528"/>
      <c r="H30" s="1174"/>
      <c r="I30" s="1174"/>
      <c r="J30" s="1174"/>
      <c r="K30" s="1174"/>
      <c r="L30" s="1174"/>
      <c r="M30" s="527"/>
    </row>
    <row r="31" spans="1:15" ht="15.75">
      <c r="A31" s="1173" t="s">
        <v>267</v>
      </c>
      <c r="B31" s="1173"/>
      <c r="C31" s="530" t="s">
        <v>266</v>
      </c>
      <c r="D31" s="527"/>
      <c r="E31" s="527"/>
      <c r="F31" s="527"/>
      <c r="G31" s="528"/>
      <c r="H31" s="528"/>
      <c r="I31" s="527"/>
      <c r="J31" s="527"/>
      <c r="K31" s="527"/>
      <c r="L31" s="527"/>
      <c r="M31" s="527"/>
    </row>
    <row r="32" spans="1:15" ht="15.75">
      <c r="A32" s="1175" t="s">
        <v>335</v>
      </c>
      <c r="B32" s="1175"/>
      <c r="C32" s="1175"/>
      <c r="D32" s="1175"/>
      <c r="E32" s="1175"/>
      <c r="F32" s="1175"/>
      <c r="G32" s="1175"/>
      <c r="H32" s="1175"/>
      <c r="I32" s="1175"/>
      <c r="J32" s="1175"/>
      <c r="K32" s="1175"/>
      <c r="L32" s="1175"/>
      <c r="M32" s="1175"/>
    </row>
    <row r="33" spans="1:14" ht="15.75">
      <c r="A33" s="528"/>
      <c r="B33" s="529"/>
      <c r="C33" s="527"/>
      <c r="D33" s="527"/>
      <c r="E33" s="527"/>
      <c r="F33" s="527"/>
      <c r="G33" s="528"/>
      <c r="H33" s="1188"/>
      <c r="I33" s="1188"/>
      <c r="J33" s="1188"/>
      <c r="K33" s="1188"/>
      <c r="L33" s="1188"/>
      <c r="M33" s="527"/>
    </row>
    <row r="34" spans="1:14">
      <c r="A34" s="1178" t="s">
        <v>2</v>
      </c>
      <c r="B34" s="1189" t="s">
        <v>3</v>
      </c>
      <c r="C34" s="1178" t="s">
        <v>4</v>
      </c>
      <c r="D34" s="1192" t="s">
        <v>5</v>
      </c>
      <c r="E34" s="1193"/>
      <c r="F34" s="1178" t="s">
        <v>6</v>
      </c>
      <c r="G34" s="1192" t="s">
        <v>7</v>
      </c>
      <c r="H34" s="1193"/>
      <c r="I34" s="1178" t="s">
        <v>41</v>
      </c>
      <c r="J34" s="1178" t="s">
        <v>42</v>
      </c>
      <c r="K34" s="1176" t="s">
        <v>264</v>
      </c>
      <c r="L34" s="1177"/>
      <c r="M34" s="1178" t="s">
        <v>263</v>
      </c>
    </row>
    <row r="35" spans="1:14">
      <c r="A35" s="1179"/>
      <c r="B35" s="1190"/>
      <c r="C35" s="1179"/>
      <c r="D35" s="1194"/>
      <c r="E35" s="1195"/>
      <c r="F35" s="1179"/>
      <c r="G35" s="1196"/>
      <c r="H35" s="1197"/>
      <c r="I35" s="1179"/>
      <c r="J35" s="1179"/>
      <c r="K35" s="1181" t="s">
        <v>12</v>
      </c>
      <c r="L35" s="1182"/>
      <c r="M35" s="1179"/>
    </row>
    <row r="36" spans="1:14">
      <c r="A36" s="1180"/>
      <c r="B36" s="1191"/>
      <c r="C36" s="1180"/>
      <c r="D36" s="526" t="s">
        <v>13</v>
      </c>
      <c r="E36" s="526" t="s">
        <v>3</v>
      </c>
      <c r="F36" s="1180"/>
      <c r="G36" s="1194"/>
      <c r="H36" s="1195"/>
      <c r="I36" s="1180"/>
      <c r="J36" s="1180"/>
      <c r="K36" s="524" t="s">
        <v>13</v>
      </c>
      <c r="L36" s="524" t="s">
        <v>3</v>
      </c>
      <c r="M36" s="1180"/>
    </row>
    <row r="37" spans="1:14">
      <c r="A37" s="524">
        <v>1</v>
      </c>
      <c r="B37" s="525" t="s">
        <v>262</v>
      </c>
      <c r="C37" s="524">
        <v>3</v>
      </c>
      <c r="D37" s="524">
        <v>4</v>
      </c>
      <c r="E37" s="524">
        <v>5</v>
      </c>
      <c r="F37" s="524">
        <v>6</v>
      </c>
      <c r="G37" s="1183">
        <v>7</v>
      </c>
      <c r="H37" s="1184"/>
      <c r="I37" s="524">
        <v>8</v>
      </c>
      <c r="J37" s="524">
        <v>9</v>
      </c>
      <c r="K37" s="524">
        <v>10</v>
      </c>
      <c r="L37" s="524">
        <v>11</v>
      </c>
      <c r="M37" s="524">
        <v>12</v>
      </c>
    </row>
    <row r="38" spans="1:14" ht="30" customHeight="1">
      <c r="A38" s="519">
        <v>1</v>
      </c>
      <c r="B38" s="512" t="s">
        <v>331</v>
      </c>
      <c r="C38" s="511" t="s">
        <v>282</v>
      </c>
      <c r="D38" s="519" t="s">
        <v>334</v>
      </c>
      <c r="E38" s="512" t="s">
        <v>331</v>
      </c>
      <c r="F38" s="518" t="s">
        <v>333</v>
      </c>
      <c r="G38" s="517">
        <v>5</v>
      </c>
      <c r="H38" s="516" t="s">
        <v>19</v>
      </c>
      <c r="I38" s="536">
        <v>1933400</v>
      </c>
      <c r="J38" s="537">
        <f t="shared" ref="J38:J44" si="1">I38*G38</f>
        <v>9667000</v>
      </c>
      <c r="K38" s="511" t="s">
        <v>332</v>
      </c>
      <c r="L38" s="512" t="s">
        <v>331</v>
      </c>
      <c r="M38" s="511" t="s">
        <v>330</v>
      </c>
    </row>
    <row r="39" spans="1:14" ht="30" customHeight="1">
      <c r="A39" s="519">
        <v>2</v>
      </c>
      <c r="B39" s="512" t="s">
        <v>331</v>
      </c>
      <c r="C39" s="511" t="s">
        <v>282</v>
      </c>
      <c r="D39" s="519" t="s">
        <v>334</v>
      </c>
      <c r="E39" s="512" t="s">
        <v>331</v>
      </c>
      <c r="F39" s="518" t="s">
        <v>333</v>
      </c>
      <c r="G39" s="517">
        <v>1</v>
      </c>
      <c r="H39" s="516" t="s">
        <v>19</v>
      </c>
      <c r="I39" s="515">
        <v>1933000</v>
      </c>
      <c r="J39" s="537">
        <f t="shared" si="1"/>
        <v>1933000</v>
      </c>
      <c r="K39" s="511" t="s">
        <v>332</v>
      </c>
      <c r="L39" s="512" t="s">
        <v>331</v>
      </c>
      <c r="M39" s="511" t="s">
        <v>330</v>
      </c>
    </row>
    <row r="40" spans="1:14" ht="30" customHeight="1">
      <c r="A40" s="519">
        <v>3</v>
      </c>
      <c r="B40" s="512">
        <v>44078</v>
      </c>
      <c r="C40" s="511" t="s">
        <v>329</v>
      </c>
      <c r="D40" s="519" t="s">
        <v>328</v>
      </c>
      <c r="E40" s="512">
        <v>44078</v>
      </c>
      <c r="F40" s="518" t="s">
        <v>327</v>
      </c>
      <c r="G40" s="546">
        <v>2</v>
      </c>
      <c r="H40" s="516" t="s">
        <v>19</v>
      </c>
      <c r="I40" s="515">
        <v>27500000</v>
      </c>
      <c r="J40" s="537">
        <f t="shared" si="1"/>
        <v>55000000</v>
      </c>
      <c r="K40" s="511" t="s">
        <v>326</v>
      </c>
      <c r="L40" s="512">
        <v>44078</v>
      </c>
      <c r="M40" s="511" t="s">
        <v>325</v>
      </c>
    </row>
    <row r="41" spans="1:14" ht="30" customHeight="1">
      <c r="A41" s="519">
        <v>4</v>
      </c>
      <c r="B41" s="512" t="s">
        <v>323</v>
      </c>
      <c r="C41" s="511" t="s">
        <v>324</v>
      </c>
      <c r="D41" s="519">
        <v>892</v>
      </c>
      <c r="E41" s="512" t="s">
        <v>323</v>
      </c>
      <c r="F41" s="518" t="s">
        <v>322</v>
      </c>
      <c r="G41" s="538">
        <v>1</v>
      </c>
      <c r="H41" s="521" t="s">
        <v>256</v>
      </c>
      <c r="I41" s="515">
        <v>176000000</v>
      </c>
      <c r="J41" s="537">
        <f t="shared" si="1"/>
        <v>176000000</v>
      </c>
      <c r="K41" s="511" t="s">
        <v>321</v>
      </c>
      <c r="L41" s="547" t="s">
        <v>320</v>
      </c>
      <c r="M41" s="511" t="s">
        <v>319</v>
      </c>
    </row>
    <row r="42" spans="1:14" ht="30" customHeight="1">
      <c r="A42" s="519">
        <v>5</v>
      </c>
      <c r="B42" s="512" t="s">
        <v>315</v>
      </c>
      <c r="C42" s="511" t="s">
        <v>282</v>
      </c>
      <c r="D42" s="519" t="s">
        <v>318</v>
      </c>
      <c r="E42" s="512" t="s">
        <v>315</v>
      </c>
      <c r="F42" s="518" t="s">
        <v>317</v>
      </c>
      <c r="G42" s="546">
        <v>3</v>
      </c>
      <c r="H42" s="516" t="s">
        <v>19</v>
      </c>
      <c r="I42" s="515">
        <v>2900025</v>
      </c>
      <c r="J42" s="537">
        <f t="shared" si="1"/>
        <v>8700075</v>
      </c>
      <c r="K42" s="511" t="s">
        <v>316</v>
      </c>
      <c r="L42" s="512" t="s">
        <v>315</v>
      </c>
      <c r="M42" s="511" t="s">
        <v>314</v>
      </c>
    </row>
    <row r="43" spans="1:14" ht="30" customHeight="1">
      <c r="A43" s="519">
        <v>6</v>
      </c>
      <c r="B43" s="512" t="s">
        <v>308</v>
      </c>
      <c r="C43" s="511" t="s">
        <v>290</v>
      </c>
      <c r="D43" s="519" t="s">
        <v>311</v>
      </c>
      <c r="E43" s="512" t="s">
        <v>308</v>
      </c>
      <c r="F43" s="518" t="s">
        <v>313</v>
      </c>
      <c r="G43" s="546">
        <v>4</v>
      </c>
      <c r="H43" s="516" t="s">
        <v>19</v>
      </c>
      <c r="I43" s="515">
        <v>3109400</v>
      </c>
      <c r="J43" s="537">
        <f t="shared" si="1"/>
        <v>12437600</v>
      </c>
      <c r="K43" s="511" t="s">
        <v>309</v>
      </c>
      <c r="L43" s="512" t="s">
        <v>308</v>
      </c>
      <c r="M43" s="520" t="s">
        <v>312</v>
      </c>
    </row>
    <row r="44" spans="1:14" ht="30" customHeight="1">
      <c r="A44" s="545">
        <v>7</v>
      </c>
      <c r="B44" s="539" t="s">
        <v>308</v>
      </c>
      <c r="C44" s="513" t="s">
        <v>290</v>
      </c>
      <c r="D44" s="545" t="s">
        <v>311</v>
      </c>
      <c r="E44" s="539" t="s">
        <v>308</v>
      </c>
      <c r="F44" s="544" t="s">
        <v>310</v>
      </c>
      <c r="G44" s="543">
        <v>5</v>
      </c>
      <c r="H44" s="542" t="s">
        <v>19</v>
      </c>
      <c r="I44" s="541">
        <v>2977500</v>
      </c>
      <c r="J44" s="540">
        <f t="shared" si="1"/>
        <v>14887500</v>
      </c>
      <c r="K44" s="513" t="s">
        <v>309</v>
      </c>
      <c r="L44" s="539" t="s">
        <v>308</v>
      </c>
      <c r="M44" s="513" t="s">
        <v>307</v>
      </c>
    </row>
    <row r="45" spans="1:14">
      <c r="A45" s="519"/>
      <c r="B45" s="512"/>
      <c r="C45" s="511"/>
      <c r="D45" s="519"/>
      <c r="E45" s="512"/>
      <c r="F45" s="518"/>
      <c r="G45" s="538"/>
      <c r="H45" s="521"/>
      <c r="I45" s="515"/>
      <c r="J45" s="537"/>
      <c r="K45" s="511"/>
      <c r="L45" s="512"/>
      <c r="M45" s="520"/>
    </row>
    <row r="46" spans="1:14">
      <c r="A46" s="510"/>
      <c r="B46" s="509"/>
      <c r="C46" s="505"/>
      <c r="D46" s="505"/>
      <c r="E46" s="505"/>
      <c r="F46" s="508"/>
      <c r="G46" s="1185" t="s">
        <v>255</v>
      </c>
      <c r="H46" s="1186"/>
      <c r="I46" s="1187"/>
      <c r="J46" s="507">
        <f>SUM(J41:J45)</f>
        <v>212025175</v>
      </c>
      <c r="K46" s="506"/>
      <c r="L46" s="505"/>
      <c r="M46" s="505"/>
    </row>
    <row r="48" spans="1:14">
      <c r="J48" s="502"/>
      <c r="K48" s="502"/>
      <c r="L48" s="502"/>
      <c r="M48" s="502"/>
      <c r="N48" s="502"/>
    </row>
    <row r="49" spans="1:14">
      <c r="A49" s="1198" t="s">
        <v>229</v>
      </c>
      <c r="B49" s="1198"/>
      <c r="C49" s="1198"/>
      <c r="D49" s="1198"/>
      <c r="E49" s="1198"/>
      <c r="K49" s="36" t="s">
        <v>240</v>
      </c>
    </row>
    <row r="50" spans="1:14">
      <c r="A50" s="1198" t="s">
        <v>253</v>
      </c>
      <c r="B50" s="1198"/>
      <c r="C50" s="1198"/>
      <c r="D50" s="1198"/>
      <c r="E50" s="1198"/>
      <c r="J50" s="502"/>
      <c r="K50" s="36"/>
      <c r="L50" s="502"/>
      <c r="M50" s="502"/>
      <c r="N50" s="502"/>
    </row>
    <row r="51" spans="1:14">
      <c r="A51" s="1198" t="s">
        <v>251</v>
      </c>
      <c r="B51" s="1198"/>
      <c r="C51" s="1198"/>
      <c r="D51" s="1198"/>
      <c r="E51" s="1198"/>
      <c r="J51" s="495"/>
      <c r="K51" s="36" t="s">
        <v>252</v>
      </c>
      <c r="L51" s="535"/>
      <c r="M51" s="535"/>
      <c r="N51" s="535"/>
    </row>
    <row r="52" spans="1:14">
      <c r="A52" s="503"/>
      <c r="B52" s="503"/>
      <c r="C52" s="503"/>
      <c r="D52" s="503"/>
      <c r="E52" s="503"/>
      <c r="K52" s="36"/>
      <c r="L52" s="503"/>
      <c r="M52" s="503"/>
    </row>
    <row r="53" spans="1:14">
      <c r="C53" s="503"/>
      <c r="K53" s="36"/>
      <c r="L53" s="503"/>
      <c r="M53" s="502"/>
    </row>
    <row r="54" spans="1:14">
      <c r="C54" s="501"/>
      <c r="K54" s="36"/>
      <c r="L54" s="500"/>
      <c r="M54" s="499"/>
    </row>
    <row r="55" spans="1:14">
      <c r="A55" s="1199" t="s">
        <v>250</v>
      </c>
      <c r="B55" s="1199"/>
      <c r="C55" s="1199"/>
      <c r="D55" s="1199"/>
      <c r="E55" s="1199"/>
      <c r="K55" s="37" t="s">
        <v>306</v>
      </c>
      <c r="L55" s="534"/>
      <c r="M55" s="534"/>
    </row>
    <row r="56" spans="1:14">
      <c r="A56" s="1198" t="s">
        <v>34</v>
      </c>
      <c r="B56" s="1198"/>
      <c r="C56" s="1198"/>
      <c r="D56" s="1198"/>
      <c r="E56" s="1198"/>
      <c r="J56" s="1201" t="s">
        <v>249</v>
      </c>
      <c r="K56" s="1201"/>
      <c r="L56" s="1201"/>
      <c r="M56" s="533"/>
    </row>
    <row r="58" spans="1:14" ht="15.75">
      <c r="A58" s="1173" t="s">
        <v>47</v>
      </c>
      <c r="B58" s="1173"/>
      <c r="C58" s="530" t="s">
        <v>270</v>
      </c>
      <c r="D58" s="527"/>
      <c r="E58" s="527"/>
      <c r="F58" s="527"/>
      <c r="H58" s="532"/>
      <c r="I58" s="531"/>
      <c r="J58" s="531"/>
      <c r="K58" s="531"/>
      <c r="L58" s="531"/>
      <c r="M58" s="531"/>
    </row>
    <row r="59" spans="1:14" ht="15.75">
      <c r="A59" s="1173" t="s">
        <v>269</v>
      </c>
      <c r="B59" s="1173"/>
      <c r="C59" s="530" t="s">
        <v>268</v>
      </c>
      <c r="D59" s="527"/>
      <c r="E59" s="527"/>
      <c r="F59" s="527"/>
      <c r="G59" s="528"/>
      <c r="H59" s="1174"/>
      <c r="I59" s="1174"/>
      <c r="J59" s="1174"/>
      <c r="K59" s="1174"/>
      <c r="L59" s="1174"/>
      <c r="M59" s="527"/>
    </row>
    <row r="60" spans="1:14" ht="15.75">
      <c r="A60" s="1173" t="s">
        <v>267</v>
      </c>
      <c r="B60" s="1173"/>
      <c r="C60" s="530" t="s">
        <v>266</v>
      </c>
      <c r="D60" s="527"/>
      <c r="E60" s="527"/>
      <c r="F60" s="527"/>
      <c r="G60" s="528"/>
      <c r="H60" s="528"/>
      <c r="I60" s="527"/>
      <c r="J60" s="527"/>
      <c r="K60" s="527"/>
      <c r="L60" s="527"/>
      <c r="M60" s="527"/>
    </row>
    <row r="61" spans="1:14" ht="15.75">
      <c r="A61" s="1175" t="s">
        <v>265</v>
      </c>
      <c r="B61" s="1175"/>
      <c r="C61" s="1175"/>
      <c r="D61" s="1175"/>
      <c r="E61" s="1175"/>
      <c r="F61" s="1175"/>
      <c r="G61" s="1175"/>
      <c r="H61" s="1175"/>
      <c r="I61" s="1175"/>
      <c r="J61" s="1175"/>
      <c r="K61" s="1175"/>
      <c r="L61" s="1175"/>
      <c r="M61" s="1175"/>
    </row>
    <row r="62" spans="1:14" ht="15.75">
      <c r="A62" s="528"/>
      <c r="B62" s="529"/>
      <c r="C62" s="527"/>
      <c r="D62" s="527"/>
      <c r="E62" s="527"/>
      <c r="F62" s="527"/>
      <c r="G62" s="528"/>
      <c r="H62" s="1188"/>
      <c r="I62" s="1188"/>
      <c r="J62" s="1188"/>
      <c r="K62" s="1188"/>
      <c r="L62" s="1188"/>
      <c r="M62" s="527"/>
    </row>
    <row r="63" spans="1:14">
      <c r="A63" s="1178" t="s">
        <v>2</v>
      </c>
      <c r="B63" s="1189" t="s">
        <v>3</v>
      </c>
      <c r="C63" s="1178" t="s">
        <v>4</v>
      </c>
      <c r="D63" s="1192" t="s">
        <v>5</v>
      </c>
      <c r="E63" s="1193"/>
      <c r="F63" s="1178" t="s">
        <v>6</v>
      </c>
      <c r="G63" s="1192" t="s">
        <v>7</v>
      </c>
      <c r="H63" s="1193"/>
      <c r="I63" s="1178" t="s">
        <v>41</v>
      </c>
      <c r="J63" s="1178" t="s">
        <v>42</v>
      </c>
      <c r="K63" s="1176" t="s">
        <v>264</v>
      </c>
      <c r="L63" s="1177"/>
      <c r="M63" s="1178" t="s">
        <v>263</v>
      </c>
    </row>
    <row r="64" spans="1:14">
      <c r="A64" s="1179"/>
      <c r="B64" s="1190"/>
      <c r="C64" s="1179"/>
      <c r="D64" s="1194"/>
      <c r="E64" s="1195"/>
      <c r="F64" s="1179"/>
      <c r="G64" s="1196"/>
      <c r="H64" s="1197"/>
      <c r="I64" s="1179"/>
      <c r="J64" s="1179"/>
      <c r="K64" s="1181" t="s">
        <v>12</v>
      </c>
      <c r="L64" s="1182"/>
      <c r="M64" s="1179"/>
    </row>
    <row r="65" spans="1:13">
      <c r="A65" s="1180"/>
      <c r="B65" s="1191"/>
      <c r="C65" s="1180"/>
      <c r="D65" s="526" t="s">
        <v>13</v>
      </c>
      <c r="E65" s="526" t="s">
        <v>3</v>
      </c>
      <c r="F65" s="1180"/>
      <c r="G65" s="1194"/>
      <c r="H65" s="1195"/>
      <c r="I65" s="1180"/>
      <c r="J65" s="1180"/>
      <c r="K65" s="524" t="s">
        <v>13</v>
      </c>
      <c r="L65" s="524" t="s">
        <v>3</v>
      </c>
      <c r="M65" s="1180"/>
    </row>
    <row r="66" spans="1:13">
      <c r="A66" s="524">
        <v>1</v>
      </c>
      <c r="B66" s="525" t="s">
        <v>262</v>
      </c>
      <c r="C66" s="524">
        <v>3</v>
      </c>
      <c r="D66" s="524">
        <v>4</v>
      </c>
      <c r="E66" s="524">
        <v>5</v>
      </c>
      <c r="F66" s="524">
        <v>6</v>
      </c>
      <c r="G66" s="1183">
        <v>7</v>
      </c>
      <c r="H66" s="1184"/>
      <c r="I66" s="524">
        <v>8</v>
      </c>
      <c r="J66" s="524">
        <v>9</v>
      </c>
      <c r="K66" s="524">
        <v>10</v>
      </c>
      <c r="L66" s="524">
        <v>11</v>
      </c>
      <c r="M66" s="524">
        <v>12</v>
      </c>
    </row>
    <row r="67" spans="1:13" ht="30" customHeight="1">
      <c r="A67" s="519">
        <v>1</v>
      </c>
      <c r="B67" s="512" t="s">
        <v>299</v>
      </c>
      <c r="C67" s="511" t="s">
        <v>305</v>
      </c>
      <c r="D67" s="523" t="s">
        <v>304</v>
      </c>
      <c r="E67" s="512" t="s">
        <v>299</v>
      </c>
      <c r="F67" s="518" t="s">
        <v>303</v>
      </c>
      <c r="G67" s="517">
        <v>26</v>
      </c>
      <c r="H67" s="516" t="s">
        <v>259</v>
      </c>
      <c r="I67" s="515">
        <v>191950</v>
      </c>
      <c r="J67" s="514">
        <f t="shared" ref="J67:J74" si="2">I67*G67</f>
        <v>4990700</v>
      </c>
      <c r="K67" s="511" t="s">
        <v>300</v>
      </c>
      <c r="L67" s="512" t="s">
        <v>299</v>
      </c>
      <c r="M67" s="511" t="s">
        <v>302</v>
      </c>
    </row>
    <row r="68" spans="1:13" ht="30" customHeight="1">
      <c r="A68" s="519">
        <v>2</v>
      </c>
      <c r="B68" s="512" t="s">
        <v>299</v>
      </c>
      <c r="C68" s="511" t="s">
        <v>301</v>
      </c>
      <c r="D68" s="519"/>
      <c r="E68" s="512" t="s">
        <v>299</v>
      </c>
      <c r="F68" s="518" t="s">
        <v>298</v>
      </c>
      <c r="G68" s="517">
        <v>4</v>
      </c>
      <c r="H68" s="516" t="s">
        <v>19</v>
      </c>
      <c r="I68" s="515">
        <v>2475000</v>
      </c>
      <c r="J68" s="514">
        <f t="shared" si="2"/>
        <v>9900000</v>
      </c>
      <c r="K68" s="511" t="s">
        <v>300</v>
      </c>
      <c r="L68" s="512" t="s">
        <v>299</v>
      </c>
      <c r="M68" s="520" t="s">
        <v>298</v>
      </c>
    </row>
    <row r="69" spans="1:13" ht="30" customHeight="1">
      <c r="A69" s="519">
        <v>3</v>
      </c>
      <c r="B69" s="512" t="s">
        <v>294</v>
      </c>
      <c r="C69" s="511" t="s">
        <v>297</v>
      </c>
      <c r="D69" s="519"/>
      <c r="E69" s="512" t="s">
        <v>294</v>
      </c>
      <c r="F69" s="518" t="s">
        <v>296</v>
      </c>
      <c r="G69" s="517">
        <v>4</v>
      </c>
      <c r="H69" s="516" t="s">
        <v>19</v>
      </c>
      <c r="I69" s="536">
        <v>7625000</v>
      </c>
      <c r="J69" s="514">
        <f t="shared" si="2"/>
        <v>30500000</v>
      </c>
      <c r="K69" s="511" t="s">
        <v>295</v>
      </c>
      <c r="L69" s="512" t="s">
        <v>294</v>
      </c>
      <c r="M69" s="511" t="s">
        <v>293</v>
      </c>
    </row>
    <row r="70" spans="1:13" ht="30" customHeight="1">
      <c r="A70" s="519">
        <v>4</v>
      </c>
      <c r="B70" s="512" t="s">
        <v>286</v>
      </c>
      <c r="C70" s="511" t="s">
        <v>290</v>
      </c>
      <c r="D70" s="519" t="s">
        <v>289</v>
      </c>
      <c r="E70" s="512" t="s">
        <v>286</v>
      </c>
      <c r="F70" s="518" t="s">
        <v>292</v>
      </c>
      <c r="G70" s="517">
        <v>1</v>
      </c>
      <c r="H70" s="516" t="s">
        <v>19</v>
      </c>
      <c r="I70" s="515">
        <v>3996100</v>
      </c>
      <c r="J70" s="514">
        <f t="shared" si="2"/>
        <v>3996100</v>
      </c>
      <c r="K70" s="511" t="s">
        <v>287</v>
      </c>
      <c r="L70" s="512" t="s">
        <v>286</v>
      </c>
      <c r="M70" s="511" t="s">
        <v>291</v>
      </c>
    </row>
    <row r="71" spans="1:13" ht="30" customHeight="1">
      <c r="A71" s="519">
        <v>5</v>
      </c>
      <c r="B71" s="512" t="s">
        <v>286</v>
      </c>
      <c r="C71" s="511" t="s">
        <v>290</v>
      </c>
      <c r="D71" s="519" t="s">
        <v>289</v>
      </c>
      <c r="E71" s="512" t="s">
        <v>286</v>
      </c>
      <c r="F71" s="518" t="s">
        <v>288</v>
      </c>
      <c r="G71" s="517">
        <v>1</v>
      </c>
      <c r="H71" s="521" t="s">
        <v>256</v>
      </c>
      <c r="I71" s="515">
        <v>2766400</v>
      </c>
      <c r="J71" s="514">
        <f t="shared" si="2"/>
        <v>2766400</v>
      </c>
      <c r="K71" s="511" t="s">
        <v>287</v>
      </c>
      <c r="L71" s="512" t="s">
        <v>286</v>
      </c>
      <c r="M71" s="511" t="s">
        <v>285</v>
      </c>
    </row>
    <row r="72" spans="1:13" ht="30" customHeight="1">
      <c r="A72" s="519">
        <v>6</v>
      </c>
      <c r="B72" s="512" t="s">
        <v>278</v>
      </c>
      <c r="C72" s="511" t="s">
        <v>282</v>
      </c>
      <c r="D72" s="519" t="s">
        <v>281</v>
      </c>
      <c r="E72" s="512" t="s">
        <v>278</v>
      </c>
      <c r="F72" s="518" t="s">
        <v>284</v>
      </c>
      <c r="G72" s="517">
        <v>1</v>
      </c>
      <c r="H72" s="521" t="s">
        <v>256</v>
      </c>
      <c r="I72" s="515">
        <v>6000000</v>
      </c>
      <c r="J72" s="514">
        <f t="shared" si="2"/>
        <v>6000000</v>
      </c>
      <c r="K72" s="513" t="s">
        <v>279</v>
      </c>
      <c r="L72" s="512" t="s">
        <v>278</v>
      </c>
      <c r="M72" s="511" t="s">
        <v>283</v>
      </c>
    </row>
    <row r="73" spans="1:13" ht="30" customHeight="1">
      <c r="A73" s="519">
        <v>7</v>
      </c>
      <c r="B73" s="512" t="s">
        <v>278</v>
      </c>
      <c r="C73" s="511" t="s">
        <v>282</v>
      </c>
      <c r="D73" s="519" t="s">
        <v>281</v>
      </c>
      <c r="E73" s="512" t="s">
        <v>278</v>
      </c>
      <c r="F73" s="518" t="s">
        <v>280</v>
      </c>
      <c r="G73" s="517">
        <v>1</v>
      </c>
      <c r="H73" s="521" t="s">
        <v>256</v>
      </c>
      <c r="I73" s="515">
        <v>6200000</v>
      </c>
      <c r="J73" s="514">
        <f t="shared" si="2"/>
        <v>6200000</v>
      </c>
      <c r="K73" s="513" t="s">
        <v>279</v>
      </c>
      <c r="L73" s="512" t="s">
        <v>278</v>
      </c>
      <c r="M73" s="520" t="s">
        <v>277</v>
      </c>
    </row>
    <row r="74" spans="1:13" ht="30" customHeight="1">
      <c r="A74" s="519">
        <v>8</v>
      </c>
      <c r="B74" s="512" t="s">
        <v>272</v>
      </c>
      <c r="C74" s="511" t="s">
        <v>276</v>
      </c>
      <c r="D74" s="519" t="s">
        <v>275</v>
      </c>
      <c r="E74" s="512" t="s">
        <v>272</v>
      </c>
      <c r="F74" s="518" t="s">
        <v>274</v>
      </c>
      <c r="G74" s="517">
        <v>5</v>
      </c>
      <c r="H74" s="516" t="s">
        <v>19</v>
      </c>
      <c r="I74" s="515">
        <v>1551000</v>
      </c>
      <c r="J74" s="514">
        <f t="shared" si="2"/>
        <v>7755000</v>
      </c>
      <c r="K74" s="513" t="s">
        <v>273</v>
      </c>
      <c r="L74" s="512" t="s">
        <v>272</v>
      </c>
      <c r="M74" s="511" t="s">
        <v>271</v>
      </c>
    </row>
    <row r="75" spans="1:13">
      <c r="A75" s="510"/>
      <c r="B75" s="509"/>
      <c r="C75" s="505"/>
      <c r="D75" s="505"/>
      <c r="E75" s="505"/>
      <c r="F75" s="508"/>
      <c r="G75" s="1185" t="s">
        <v>255</v>
      </c>
      <c r="H75" s="1186"/>
      <c r="I75" s="1187"/>
      <c r="J75" s="507">
        <f>SUM(J71:J74)</f>
        <v>22721400</v>
      </c>
      <c r="K75" s="506"/>
      <c r="L75" s="505"/>
      <c r="M75" s="505"/>
    </row>
    <row r="77" spans="1:13">
      <c r="K77" s="1198"/>
      <c r="L77" s="1198"/>
      <c r="M77" s="1198"/>
    </row>
    <row r="78" spans="1:13">
      <c r="A78" s="1198" t="s">
        <v>229</v>
      </c>
      <c r="B78" s="1198"/>
      <c r="C78" s="1198"/>
      <c r="D78" s="1198"/>
      <c r="E78" s="1198"/>
    </row>
    <row r="79" spans="1:13">
      <c r="A79" s="1198" t="s">
        <v>253</v>
      </c>
      <c r="B79" s="1198"/>
      <c r="C79" s="1198"/>
      <c r="D79" s="1198"/>
      <c r="E79" s="1198"/>
      <c r="K79" s="502"/>
      <c r="L79" s="502"/>
      <c r="M79" s="502"/>
    </row>
    <row r="80" spans="1:13">
      <c r="A80" s="1198" t="s">
        <v>251</v>
      </c>
      <c r="B80" s="1198"/>
      <c r="C80" s="1198"/>
      <c r="D80" s="1198"/>
      <c r="E80" s="1198"/>
      <c r="K80" s="535"/>
      <c r="L80" s="535"/>
      <c r="M80" s="535"/>
    </row>
    <row r="81" spans="1:13">
      <c r="A81" s="503"/>
      <c r="B81" s="503"/>
      <c r="C81" s="503"/>
      <c r="D81" s="503"/>
      <c r="E81" s="503"/>
      <c r="K81" s="503"/>
      <c r="L81" s="503"/>
      <c r="M81" s="503"/>
    </row>
    <row r="82" spans="1:13">
      <c r="C82" s="503"/>
      <c r="K82" s="503"/>
      <c r="L82" s="503"/>
      <c r="M82" s="502"/>
    </row>
    <row r="83" spans="1:13">
      <c r="C83" s="501"/>
      <c r="K83" s="500"/>
      <c r="L83" s="500"/>
      <c r="M83" s="499"/>
    </row>
    <row r="84" spans="1:13">
      <c r="A84" s="1199" t="s">
        <v>250</v>
      </c>
      <c r="B84" s="1199"/>
      <c r="C84" s="1199"/>
      <c r="D84" s="1199"/>
      <c r="E84" s="1199"/>
      <c r="K84" s="534"/>
      <c r="L84" s="534"/>
      <c r="M84" s="534"/>
    </row>
    <row r="85" spans="1:13">
      <c r="A85" s="1198" t="s">
        <v>34</v>
      </c>
      <c r="B85" s="1198"/>
      <c r="C85" s="1198"/>
      <c r="D85" s="1198"/>
      <c r="E85" s="1198"/>
      <c r="K85" s="533"/>
      <c r="L85" s="533"/>
      <c r="M85" s="533"/>
    </row>
    <row r="87" spans="1:13" ht="15.75">
      <c r="A87" s="1173" t="s">
        <v>47</v>
      </c>
      <c r="B87" s="1173"/>
      <c r="C87" s="530" t="s">
        <v>270</v>
      </c>
      <c r="D87" s="527"/>
      <c r="E87" s="527"/>
      <c r="F87" s="527"/>
      <c r="H87" s="532"/>
      <c r="I87" s="531"/>
      <c r="J87" s="531"/>
      <c r="K87" s="531"/>
      <c r="L87" s="531"/>
      <c r="M87" s="531"/>
    </row>
    <row r="88" spans="1:13" ht="15.75">
      <c r="A88" s="1173" t="s">
        <v>269</v>
      </c>
      <c r="B88" s="1173"/>
      <c r="C88" s="530" t="s">
        <v>268</v>
      </c>
      <c r="D88" s="527"/>
      <c r="E88" s="527"/>
      <c r="F88" s="527"/>
      <c r="G88" s="528"/>
      <c r="H88" s="1174"/>
      <c r="I88" s="1174"/>
      <c r="J88" s="1174"/>
      <c r="K88" s="1174"/>
      <c r="L88" s="1174"/>
      <c r="M88" s="527"/>
    </row>
    <row r="89" spans="1:13" ht="15.75">
      <c r="A89" s="1173" t="s">
        <v>267</v>
      </c>
      <c r="B89" s="1173"/>
      <c r="C89" s="530" t="s">
        <v>266</v>
      </c>
      <c r="D89" s="527"/>
      <c r="E89" s="527"/>
      <c r="F89" s="527"/>
      <c r="G89" s="528"/>
      <c r="H89" s="528"/>
      <c r="I89" s="527"/>
      <c r="J89" s="527"/>
      <c r="K89" s="527"/>
      <c r="L89" s="527"/>
      <c r="M89" s="527"/>
    </row>
    <row r="90" spans="1:13" ht="15.75">
      <c r="A90" s="1175" t="s">
        <v>265</v>
      </c>
      <c r="B90" s="1175"/>
      <c r="C90" s="1175"/>
      <c r="D90" s="1175"/>
      <c r="E90" s="1175"/>
      <c r="F90" s="1175"/>
      <c r="G90" s="1175"/>
      <c r="H90" s="1175"/>
      <c r="I90" s="1175"/>
      <c r="J90" s="1175"/>
      <c r="K90" s="1175"/>
      <c r="L90" s="1175"/>
      <c r="M90" s="1175"/>
    </row>
    <row r="91" spans="1:13" ht="15.75">
      <c r="A91" s="528"/>
      <c r="B91" s="529"/>
      <c r="C91" s="527"/>
      <c r="D91" s="527"/>
      <c r="E91" s="527"/>
      <c r="F91" s="527"/>
      <c r="G91" s="528"/>
      <c r="H91" s="1188"/>
      <c r="I91" s="1188"/>
      <c r="J91" s="1188"/>
      <c r="K91" s="1188"/>
      <c r="L91" s="1188"/>
      <c r="M91" s="527"/>
    </row>
    <row r="92" spans="1:13">
      <c r="A92" s="1178" t="s">
        <v>2</v>
      </c>
      <c r="B92" s="1189" t="s">
        <v>3</v>
      </c>
      <c r="C92" s="1178" t="s">
        <v>4</v>
      </c>
      <c r="D92" s="1192" t="s">
        <v>5</v>
      </c>
      <c r="E92" s="1193"/>
      <c r="F92" s="1178" t="s">
        <v>6</v>
      </c>
      <c r="G92" s="1192" t="s">
        <v>7</v>
      </c>
      <c r="H92" s="1193"/>
      <c r="I92" s="1178" t="s">
        <v>41</v>
      </c>
      <c r="J92" s="1178" t="s">
        <v>42</v>
      </c>
      <c r="K92" s="1176" t="s">
        <v>264</v>
      </c>
      <c r="L92" s="1177"/>
      <c r="M92" s="1178" t="s">
        <v>263</v>
      </c>
    </row>
    <row r="93" spans="1:13">
      <c r="A93" s="1179"/>
      <c r="B93" s="1190"/>
      <c r="C93" s="1179"/>
      <c r="D93" s="1194"/>
      <c r="E93" s="1195"/>
      <c r="F93" s="1179"/>
      <c r="G93" s="1196"/>
      <c r="H93" s="1197"/>
      <c r="I93" s="1179"/>
      <c r="J93" s="1179"/>
      <c r="K93" s="1181" t="s">
        <v>12</v>
      </c>
      <c r="L93" s="1182"/>
      <c r="M93" s="1179"/>
    </row>
    <row r="94" spans="1:13">
      <c r="A94" s="1180"/>
      <c r="B94" s="1191"/>
      <c r="C94" s="1180"/>
      <c r="D94" s="526" t="s">
        <v>13</v>
      </c>
      <c r="E94" s="526" t="s">
        <v>3</v>
      </c>
      <c r="F94" s="1180"/>
      <c r="G94" s="1194"/>
      <c r="H94" s="1195"/>
      <c r="I94" s="1180"/>
      <c r="J94" s="1180"/>
      <c r="K94" s="524" t="s">
        <v>13</v>
      </c>
      <c r="L94" s="524" t="s">
        <v>3</v>
      </c>
      <c r="M94" s="1180"/>
    </row>
    <row r="95" spans="1:13">
      <c r="A95" s="524">
        <v>1</v>
      </c>
      <c r="B95" s="525" t="s">
        <v>262</v>
      </c>
      <c r="C95" s="524">
        <v>3</v>
      </c>
      <c r="D95" s="524">
        <v>4</v>
      </c>
      <c r="E95" s="524">
        <v>5</v>
      </c>
      <c r="F95" s="524">
        <v>6</v>
      </c>
      <c r="G95" s="1183">
        <v>7</v>
      </c>
      <c r="H95" s="1184"/>
      <c r="I95" s="524">
        <v>8</v>
      </c>
      <c r="J95" s="524">
        <v>9</v>
      </c>
      <c r="K95" s="524">
        <v>10</v>
      </c>
      <c r="L95" s="524">
        <v>11</v>
      </c>
      <c r="M95" s="524">
        <v>12</v>
      </c>
    </row>
    <row r="96" spans="1:13" ht="30" customHeight="1">
      <c r="A96" s="519">
        <v>1</v>
      </c>
      <c r="B96" s="522">
        <v>43901</v>
      </c>
      <c r="C96" s="511" t="s">
        <v>261</v>
      </c>
      <c r="D96" s="523" t="s">
        <v>78</v>
      </c>
      <c r="E96" s="522">
        <v>43901</v>
      </c>
      <c r="F96" s="518" t="s">
        <v>260</v>
      </c>
      <c r="G96" s="517">
        <v>1</v>
      </c>
      <c r="H96" s="516" t="s">
        <v>259</v>
      </c>
      <c r="I96" s="515">
        <v>1250000</v>
      </c>
      <c r="J96" s="514">
        <f t="shared" ref="J96:J112" si="3">I96*G96</f>
        <v>1250000</v>
      </c>
      <c r="K96" s="513" t="s">
        <v>258</v>
      </c>
      <c r="L96" s="522">
        <v>43901</v>
      </c>
      <c r="M96" s="511" t="s">
        <v>257</v>
      </c>
    </row>
    <row r="97" spans="1:13" ht="30" customHeight="1">
      <c r="A97" s="519">
        <v>2</v>
      </c>
      <c r="B97" s="522">
        <v>43901</v>
      </c>
      <c r="C97" s="511" t="s">
        <v>261</v>
      </c>
      <c r="D97" s="523" t="s">
        <v>78</v>
      </c>
      <c r="E97" s="522">
        <v>43901</v>
      </c>
      <c r="F97" s="518" t="s">
        <v>260</v>
      </c>
      <c r="G97" s="517">
        <v>1</v>
      </c>
      <c r="H97" s="516" t="s">
        <v>259</v>
      </c>
      <c r="I97" s="515">
        <v>1250000</v>
      </c>
      <c r="J97" s="514">
        <f t="shared" si="3"/>
        <v>1250000</v>
      </c>
      <c r="K97" s="513" t="s">
        <v>258</v>
      </c>
      <c r="L97" s="522">
        <v>43901</v>
      </c>
      <c r="M97" s="511" t="s">
        <v>257</v>
      </c>
    </row>
    <row r="98" spans="1:13" ht="30" customHeight="1">
      <c r="A98" s="519">
        <v>3</v>
      </c>
      <c r="B98" s="522">
        <v>43901</v>
      </c>
      <c r="C98" s="511" t="s">
        <v>261</v>
      </c>
      <c r="D98" s="523" t="s">
        <v>78</v>
      </c>
      <c r="E98" s="522">
        <v>43901</v>
      </c>
      <c r="F98" s="518" t="s">
        <v>260</v>
      </c>
      <c r="G98" s="517">
        <v>1</v>
      </c>
      <c r="H98" s="516" t="s">
        <v>259</v>
      </c>
      <c r="I98" s="515">
        <v>1250000</v>
      </c>
      <c r="J98" s="514">
        <f t="shared" si="3"/>
        <v>1250000</v>
      </c>
      <c r="K98" s="513" t="s">
        <v>258</v>
      </c>
      <c r="L98" s="522">
        <v>43901</v>
      </c>
      <c r="M98" s="511" t="s">
        <v>257</v>
      </c>
    </row>
    <row r="99" spans="1:13" ht="30" customHeight="1">
      <c r="A99" s="519">
        <v>4</v>
      </c>
      <c r="B99" s="522">
        <v>43901</v>
      </c>
      <c r="C99" s="511" t="s">
        <v>261</v>
      </c>
      <c r="D99" s="523" t="s">
        <v>78</v>
      </c>
      <c r="E99" s="522">
        <v>43901</v>
      </c>
      <c r="F99" s="518" t="s">
        <v>260</v>
      </c>
      <c r="G99" s="517">
        <v>1</v>
      </c>
      <c r="H99" s="516" t="s">
        <v>259</v>
      </c>
      <c r="I99" s="515">
        <v>1250000</v>
      </c>
      <c r="J99" s="514">
        <f t="shared" si="3"/>
        <v>1250000</v>
      </c>
      <c r="K99" s="513" t="s">
        <v>258</v>
      </c>
      <c r="L99" s="522">
        <v>43901</v>
      </c>
      <c r="M99" s="511" t="s">
        <v>257</v>
      </c>
    </row>
    <row r="100" spans="1:13" ht="30" customHeight="1">
      <c r="A100" s="519">
        <v>5</v>
      </c>
      <c r="B100" s="522">
        <v>43901</v>
      </c>
      <c r="C100" s="511" t="s">
        <v>261</v>
      </c>
      <c r="D100" s="523" t="s">
        <v>78</v>
      </c>
      <c r="E100" s="522">
        <v>43901</v>
      </c>
      <c r="F100" s="518" t="s">
        <v>260</v>
      </c>
      <c r="G100" s="517">
        <v>1</v>
      </c>
      <c r="H100" s="516" t="s">
        <v>259</v>
      </c>
      <c r="I100" s="515">
        <v>1250000</v>
      </c>
      <c r="J100" s="514">
        <f t="shared" si="3"/>
        <v>1250000</v>
      </c>
      <c r="K100" s="513" t="s">
        <v>258</v>
      </c>
      <c r="L100" s="522">
        <v>43901</v>
      </c>
      <c r="M100" s="511" t="s">
        <v>257</v>
      </c>
    </row>
    <row r="101" spans="1:13" ht="30" customHeight="1">
      <c r="A101" s="519">
        <v>6</v>
      </c>
      <c r="B101" s="522">
        <v>43901</v>
      </c>
      <c r="C101" s="511" t="s">
        <v>261</v>
      </c>
      <c r="D101" s="523" t="s">
        <v>78</v>
      </c>
      <c r="E101" s="522">
        <v>43901</v>
      </c>
      <c r="F101" s="518" t="s">
        <v>260</v>
      </c>
      <c r="G101" s="517">
        <v>1</v>
      </c>
      <c r="H101" s="516" t="s">
        <v>259</v>
      </c>
      <c r="I101" s="515">
        <v>1250000</v>
      </c>
      <c r="J101" s="514">
        <f t="shared" si="3"/>
        <v>1250000</v>
      </c>
      <c r="K101" s="513" t="s">
        <v>258</v>
      </c>
      <c r="L101" s="522">
        <v>43901</v>
      </c>
      <c r="M101" s="511" t="s">
        <v>257</v>
      </c>
    </row>
    <row r="102" spans="1:13" ht="30" customHeight="1">
      <c r="A102" s="519">
        <v>7</v>
      </c>
      <c r="B102" s="522">
        <v>43901</v>
      </c>
      <c r="C102" s="511" t="s">
        <v>261</v>
      </c>
      <c r="D102" s="523" t="s">
        <v>78</v>
      </c>
      <c r="E102" s="522">
        <v>43901</v>
      </c>
      <c r="F102" s="518" t="s">
        <v>260</v>
      </c>
      <c r="G102" s="517">
        <v>1</v>
      </c>
      <c r="H102" s="516" t="s">
        <v>259</v>
      </c>
      <c r="I102" s="515">
        <v>1250000</v>
      </c>
      <c r="J102" s="514">
        <f t="shared" si="3"/>
        <v>1250000</v>
      </c>
      <c r="K102" s="513" t="s">
        <v>258</v>
      </c>
      <c r="L102" s="522">
        <v>43901</v>
      </c>
      <c r="M102" s="511" t="s">
        <v>257</v>
      </c>
    </row>
    <row r="103" spans="1:13" ht="30" customHeight="1">
      <c r="A103" s="519">
        <v>8</v>
      </c>
      <c r="B103" s="522">
        <v>43901</v>
      </c>
      <c r="C103" s="511" t="s">
        <v>261</v>
      </c>
      <c r="D103" s="523" t="s">
        <v>78</v>
      </c>
      <c r="E103" s="522">
        <v>43901</v>
      </c>
      <c r="F103" s="518" t="s">
        <v>260</v>
      </c>
      <c r="G103" s="517">
        <v>1</v>
      </c>
      <c r="H103" s="516" t="s">
        <v>259</v>
      </c>
      <c r="I103" s="515">
        <v>1250000</v>
      </c>
      <c r="J103" s="514">
        <f t="shared" si="3"/>
        <v>1250000</v>
      </c>
      <c r="K103" s="513" t="s">
        <v>258</v>
      </c>
      <c r="L103" s="522">
        <v>43901</v>
      </c>
      <c r="M103" s="511" t="s">
        <v>257</v>
      </c>
    </row>
    <row r="104" spans="1:13" ht="30" customHeight="1">
      <c r="A104" s="519">
        <v>9</v>
      </c>
      <c r="B104" s="522">
        <v>43901</v>
      </c>
      <c r="C104" s="511" t="s">
        <v>261</v>
      </c>
      <c r="D104" s="523" t="s">
        <v>78</v>
      </c>
      <c r="E104" s="522">
        <v>43901</v>
      </c>
      <c r="F104" s="518" t="s">
        <v>260</v>
      </c>
      <c r="G104" s="517">
        <v>1</v>
      </c>
      <c r="H104" s="516" t="s">
        <v>259</v>
      </c>
      <c r="I104" s="515">
        <v>1250000</v>
      </c>
      <c r="J104" s="514">
        <f t="shared" si="3"/>
        <v>1250000</v>
      </c>
      <c r="K104" s="513" t="s">
        <v>258</v>
      </c>
      <c r="L104" s="522">
        <v>43901</v>
      </c>
      <c r="M104" s="511" t="s">
        <v>257</v>
      </c>
    </row>
    <row r="105" spans="1:13" ht="30" customHeight="1">
      <c r="A105" s="519">
        <v>10</v>
      </c>
      <c r="B105" s="522">
        <v>43901</v>
      </c>
      <c r="C105" s="511" t="s">
        <v>261</v>
      </c>
      <c r="D105" s="523" t="s">
        <v>78</v>
      </c>
      <c r="E105" s="522">
        <v>43901</v>
      </c>
      <c r="F105" s="518" t="s">
        <v>260</v>
      </c>
      <c r="G105" s="517">
        <v>1</v>
      </c>
      <c r="H105" s="516" t="s">
        <v>259</v>
      </c>
      <c r="I105" s="515">
        <v>1250000</v>
      </c>
      <c r="J105" s="514">
        <f t="shared" si="3"/>
        <v>1250000</v>
      </c>
      <c r="K105" s="513" t="s">
        <v>258</v>
      </c>
      <c r="L105" s="522">
        <v>43901</v>
      </c>
      <c r="M105" s="511" t="s">
        <v>257</v>
      </c>
    </row>
    <row r="106" spans="1:13" ht="30" customHeight="1">
      <c r="A106" s="519">
        <v>11</v>
      </c>
      <c r="B106" s="522">
        <v>43901</v>
      </c>
      <c r="C106" s="511" t="s">
        <v>261</v>
      </c>
      <c r="D106" s="523" t="s">
        <v>78</v>
      </c>
      <c r="E106" s="522">
        <v>43901</v>
      </c>
      <c r="F106" s="518" t="s">
        <v>260</v>
      </c>
      <c r="G106" s="517">
        <v>1</v>
      </c>
      <c r="H106" s="516" t="s">
        <v>259</v>
      </c>
      <c r="I106" s="515">
        <v>1250000</v>
      </c>
      <c r="J106" s="514">
        <f t="shared" si="3"/>
        <v>1250000</v>
      </c>
      <c r="K106" s="513" t="s">
        <v>258</v>
      </c>
      <c r="L106" s="522">
        <v>43901</v>
      </c>
      <c r="M106" s="511" t="s">
        <v>257</v>
      </c>
    </row>
    <row r="107" spans="1:13">
      <c r="A107" s="519">
        <v>12</v>
      </c>
      <c r="B107" s="512"/>
      <c r="C107" s="511"/>
      <c r="D107" s="519"/>
      <c r="E107" s="512"/>
      <c r="F107" s="518"/>
      <c r="G107" s="517"/>
      <c r="H107" s="521" t="s">
        <v>256</v>
      </c>
      <c r="I107" s="515"/>
      <c r="J107" s="514">
        <f t="shared" si="3"/>
        <v>0</v>
      </c>
      <c r="K107" s="513"/>
      <c r="L107" s="512"/>
      <c r="M107" s="520"/>
    </row>
    <row r="108" spans="1:13">
      <c r="A108" s="519">
        <v>13</v>
      </c>
      <c r="B108" s="512"/>
      <c r="C108" s="511"/>
      <c r="D108" s="519"/>
      <c r="E108" s="512"/>
      <c r="F108" s="518"/>
      <c r="G108" s="517"/>
      <c r="H108" s="521" t="s">
        <v>256</v>
      </c>
      <c r="I108" s="515"/>
      <c r="J108" s="514">
        <f t="shared" si="3"/>
        <v>0</v>
      </c>
      <c r="K108" s="513"/>
      <c r="L108" s="512"/>
      <c r="M108" s="520"/>
    </row>
    <row r="109" spans="1:13">
      <c r="A109" s="519">
        <v>14</v>
      </c>
      <c r="B109" s="512"/>
      <c r="C109" s="511"/>
      <c r="D109" s="519"/>
      <c r="E109" s="512"/>
      <c r="F109" s="518"/>
      <c r="G109" s="517"/>
      <c r="H109" s="521" t="s">
        <v>256</v>
      </c>
      <c r="I109" s="515"/>
      <c r="J109" s="514">
        <f t="shared" si="3"/>
        <v>0</v>
      </c>
      <c r="K109" s="513"/>
      <c r="L109" s="512"/>
      <c r="M109" s="520"/>
    </row>
    <row r="110" spans="1:13">
      <c r="A110" s="519">
        <v>15</v>
      </c>
      <c r="B110" s="512"/>
      <c r="C110" s="511"/>
      <c r="D110" s="519"/>
      <c r="E110" s="512"/>
      <c r="F110" s="518"/>
      <c r="G110" s="517"/>
      <c r="H110" s="521" t="s">
        <v>256</v>
      </c>
      <c r="I110" s="515"/>
      <c r="J110" s="514">
        <f t="shared" si="3"/>
        <v>0</v>
      </c>
      <c r="K110" s="513"/>
      <c r="L110" s="512"/>
      <c r="M110" s="520"/>
    </row>
    <row r="111" spans="1:13">
      <c r="A111" s="519">
        <v>16</v>
      </c>
      <c r="B111" s="512"/>
      <c r="C111" s="511"/>
      <c r="D111" s="519"/>
      <c r="E111" s="512"/>
      <c r="F111" s="518"/>
      <c r="G111" s="517"/>
      <c r="H111" s="521" t="s">
        <v>256</v>
      </c>
      <c r="I111" s="515"/>
      <c r="J111" s="514">
        <f t="shared" si="3"/>
        <v>0</v>
      </c>
      <c r="K111" s="513"/>
      <c r="L111" s="512"/>
      <c r="M111" s="520"/>
    </row>
    <row r="112" spans="1:13">
      <c r="A112" s="519">
        <v>17</v>
      </c>
      <c r="B112" s="512"/>
      <c r="C112" s="511"/>
      <c r="D112" s="519"/>
      <c r="E112" s="512"/>
      <c r="F112" s="518"/>
      <c r="G112" s="517"/>
      <c r="H112" s="516" t="s">
        <v>19</v>
      </c>
      <c r="I112" s="515"/>
      <c r="J112" s="514">
        <f t="shared" si="3"/>
        <v>0</v>
      </c>
      <c r="K112" s="513"/>
      <c r="L112" s="512"/>
      <c r="M112" s="511"/>
    </row>
    <row r="113" spans="1:14">
      <c r="A113" s="510"/>
      <c r="B113" s="509"/>
      <c r="C113" s="505"/>
      <c r="D113" s="505"/>
      <c r="E113" s="505"/>
      <c r="F113" s="508"/>
      <c r="G113" s="1185" t="s">
        <v>255</v>
      </c>
      <c r="H113" s="1186"/>
      <c r="I113" s="1187"/>
      <c r="J113" s="507">
        <f>SUM(J100:J112)</f>
        <v>8750000</v>
      </c>
      <c r="K113" s="506"/>
      <c r="L113" s="505"/>
      <c r="M113" s="505"/>
    </row>
    <row r="115" spans="1:14">
      <c r="F115" s="1198" t="s">
        <v>254</v>
      </c>
      <c r="G115" s="1198"/>
      <c r="H115" s="1198"/>
      <c r="I115" s="1198"/>
      <c r="J115" s="1198"/>
      <c r="K115" s="1198"/>
      <c r="L115"/>
      <c r="M115"/>
    </row>
    <row r="116" spans="1:14">
      <c r="A116" s="1198" t="s">
        <v>229</v>
      </c>
      <c r="B116" s="1198"/>
      <c r="C116" s="1198"/>
      <c r="D116" s="1198"/>
      <c r="E116" s="1198"/>
      <c r="H116" s="494"/>
      <c r="L116"/>
      <c r="M116"/>
    </row>
    <row r="117" spans="1:14">
      <c r="A117" s="1198" t="s">
        <v>253</v>
      </c>
      <c r="B117" s="1198"/>
      <c r="C117" s="1198"/>
      <c r="D117" s="1198"/>
      <c r="E117" s="1198"/>
      <c r="G117" s="494"/>
      <c r="H117" s="502" t="s">
        <v>252</v>
      </c>
      <c r="I117" s="502"/>
      <c r="J117" s="502"/>
      <c r="K117" s="502"/>
      <c r="L117" s="503"/>
      <c r="M117" s="503"/>
    </row>
    <row r="118" spans="1:14">
      <c r="A118" s="1198" t="s">
        <v>251</v>
      </c>
      <c r="B118" s="1198"/>
      <c r="C118" s="1198"/>
      <c r="D118" s="1198"/>
      <c r="E118" s="1198"/>
      <c r="F118" s="1200" t="s">
        <v>193</v>
      </c>
      <c r="G118" s="1200"/>
      <c r="H118" s="1200"/>
      <c r="I118" s="1200"/>
      <c r="J118" s="1200"/>
      <c r="K118" s="1200"/>
      <c r="L118" s="504"/>
      <c r="M118" s="504"/>
      <c r="N118" s="504"/>
    </row>
    <row r="119" spans="1:14">
      <c r="A119" s="503"/>
      <c r="B119" s="503"/>
      <c r="C119" s="503"/>
      <c r="D119" s="503"/>
      <c r="E119" s="503"/>
      <c r="H119" s="494"/>
      <c r="I119" s="503"/>
      <c r="J119" s="503"/>
      <c r="K119" s="503"/>
      <c r="L119"/>
      <c r="M119"/>
    </row>
    <row r="120" spans="1:14">
      <c r="C120" s="503"/>
      <c r="H120" s="494"/>
      <c r="I120" s="503"/>
      <c r="J120" s="503"/>
      <c r="K120" s="502"/>
      <c r="L120"/>
      <c r="M120"/>
    </row>
    <row r="121" spans="1:14">
      <c r="C121" s="501"/>
      <c r="H121" s="494"/>
      <c r="I121" s="500"/>
      <c r="J121" s="500"/>
      <c r="K121" s="499"/>
      <c r="L121"/>
      <c r="M121"/>
    </row>
    <row r="122" spans="1:14">
      <c r="A122" s="1199" t="s">
        <v>250</v>
      </c>
      <c r="B122" s="1199"/>
      <c r="C122" s="1199"/>
      <c r="D122" s="1199"/>
      <c r="E122" s="1199"/>
      <c r="H122" s="494"/>
      <c r="I122" s="498" t="s">
        <v>35</v>
      </c>
      <c r="J122" s="498"/>
      <c r="K122" s="498"/>
      <c r="L122"/>
      <c r="M122"/>
    </row>
    <row r="123" spans="1:14">
      <c r="A123" s="1198" t="s">
        <v>34</v>
      </c>
      <c r="B123" s="1198"/>
      <c r="C123" s="1198"/>
      <c r="D123" s="1198"/>
      <c r="E123" s="1198"/>
      <c r="H123" s="494"/>
      <c r="I123" s="497" t="s">
        <v>249</v>
      </c>
      <c r="J123" s="497"/>
      <c r="K123" s="497"/>
      <c r="L123"/>
      <c r="M123"/>
    </row>
  </sheetData>
  <mergeCells count="109">
    <mergeCell ref="F118:K118"/>
    <mergeCell ref="F115:K115"/>
    <mergeCell ref="A122:E122"/>
    <mergeCell ref="A123:E123"/>
    <mergeCell ref="I27:K27"/>
    <mergeCell ref="J56:L56"/>
    <mergeCell ref="G113:I113"/>
    <mergeCell ref="A116:E116"/>
    <mergeCell ref="A117:E117"/>
    <mergeCell ref="A118:E118"/>
    <mergeCell ref="I92:I94"/>
    <mergeCell ref="J92:J94"/>
    <mergeCell ref="K92:L92"/>
    <mergeCell ref="A84:E84"/>
    <mergeCell ref="A85:E85"/>
    <mergeCell ref="A87:B87"/>
    <mergeCell ref="A88:B88"/>
    <mergeCell ref="H88:J88"/>
    <mergeCell ref="K88:L88"/>
    <mergeCell ref="G75:I75"/>
    <mergeCell ref="K77:M77"/>
    <mergeCell ref="A78:E78"/>
    <mergeCell ref="A79:E79"/>
    <mergeCell ref="A80:E80"/>
    <mergeCell ref="M92:M94"/>
    <mergeCell ref="K93:L93"/>
    <mergeCell ref="G95:H95"/>
    <mergeCell ref="A89:B89"/>
    <mergeCell ref="A90:M90"/>
    <mergeCell ref="H91:J91"/>
    <mergeCell ref="K91:L91"/>
    <mergeCell ref="A92:A94"/>
    <mergeCell ref="B92:B94"/>
    <mergeCell ref="C92:C94"/>
    <mergeCell ref="D92:E93"/>
    <mergeCell ref="F92:F94"/>
    <mergeCell ref="G92:H94"/>
    <mergeCell ref="I63:I65"/>
    <mergeCell ref="J63:J65"/>
    <mergeCell ref="K63:L63"/>
    <mergeCell ref="M63:M65"/>
    <mergeCell ref="K64:L64"/>
    <mergeCell ref="G66:H66"/>
    <mergeCell ref="A60:B60"/>
    <mergeCell ref="A61:M61"/>
    <mergeCell ref="H62:J62"/>
    <mergeCell ref="K62:L62"/>
    <mergeCell ref="A63:A65"/>
    <mergeCell ref="B63:B65"/>
    <mergeCell ref="C63:C65"/>
    <mergeCell ref="D63:E64"/>
    <mergeCell ref="F63:F65"/>
    <mergeCell ref="G63:H65"/>
    <mergeCell ref="A55:E55"/>
    <mergeCell ref="A56:E56"/>
    <mergeCell ref="A58:B58"/>
    <mergeCell ref="A59:B59"/>
    <mergeCell ref="H59:J59"/>
    <mergeCell ref="K59:L59"/>
    <mergeCell ref="G46:I46"/>
    <mergeCell ref="A49:E49"/>
    <mergeCell ref="A50:E50"/>
    <mergeCell ref="A51:E51"/>
    <mergeCell ref="I34:I36"/>
    <mergeCell ref="J34:J36"/>
    <mergeCell ref="K34:L34"/>
    <mergeCell ref="D34:E35"/>
    <mergeCell ref="F34:F36"/>
    <mergeCell ref="M34:M36"/>
    <mergeCell ref="K35:L35"/>
    <mergeCell ref="G37:H37"/>
    <mergeCell ref="A31:B31"/>
    <mergeCell ref="A32:M32"/>
    <mergeCell ref="H33:J33"/>
    <mergeCell ref="K33:L33"/>
    <mergeCell ref="A34:A36"/>
    <mergeCell ref="B34:B36"/>
    <mergeCell ref="C34:C36"/>
    <mergeCell ref="G34:H36"/>
    <mergeCell ref="A27:E27"/>
    <mergeCell ref="A29:B29"/>
    <mergeCell ref="A30:B30"/>
    <mergeCell ref="H30:J30"/>
    <mergeCell ref="K30:L30"/>
    <mergeCell ref="A20:E20"/>
    <mergeCell ref="A21:E21"/>
    <mergeCell ref="A22:E22"/>
    <mergeCell ref="A26:E26"/>
    <mergeCell ref="G9:H9"/>
    <mergeCell ref="G17:I17"/>
    <mergeCell ref="H5:J5"/>
    <mergeCell ref="K5:L5"/>
    <mergeCell ref="A6:A8"/>
    <mergeCell ref="B6:B8"/>
    <mergeCell ref="C6:C8"/>
    <mergeCell ref="D6:E7"/>
    <mergeCell ref="F6:F8"/>
    <mergeCell ref="G6:H8"/>
    <mergeCell ref="I6:I8"/>
    <mergeCell ref="J6:J8"/>
    <mergeCell ref="A1:B1"/>
    <mergeCell ref="A2:B2"/>
    <mergeCell ref="H2:J2"/>
    <mergeCell ref="K2:L2"/>
    <mergeCell ref="A3:B3"/>
    <mergeCell ref="A4:M4"/>
    <mergeCell ref="K6:L6"/>
    <mergeCell ref="M6:M8"/>
    <mergeCell ref="K7:L7"/>
  </mergeCells>
  <printOptions horizontalCentered="1"/>
  <pageMargins left="0.19685039370078741" right="0.19685039370078741" top="0.19685039370078741" bottom="0.19685039370078741" header="0.31496062992125984" footer="0.31496062992125984"/>
  <pageSetup paperSize="14" scale="80" orientation="landscape" r:id="rId1"/>
  <rowBreaks count="3" manualBreakCount="3">
    <brk id="27" max="16383" man="1"/>
    <brk id="56" max="16383" man="1"/>
    <brk id="8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O33"/>
  <sheetViews>
    <sheetView view="pageBreakPreview" zoomScale="88" workbookViewId="0">
      <selection activeCell="M17" sqref="M17"/>
    </sheetView>
  </sheetViews>
  <sheetFormatPr defaultColWidth="9" defaultRowHeight="15"/>
  <cols>
    <col min="1" max="1" width="5.7109375" customWidth="1"/>
    <col min="2" max="2" width="13.85546875" customWidth="1"/>
    <col min="3" max="3" width="15.7109375" customWidth="1"/>
    <col min="4" max="4" width="14.85546875" customWidth="1"/>
    <col min="5" max="5" width="11" customWidth="1"/>
    <col min="6" max="6" width="12.140625" customWidth="1"/>
    <col min="7" max="7" width="15" customWidth="1"/>
    <col min="8" max="8" width="13" customWidth="1"/>
    <col min="9" max="9" width="16.42578125" customWidth="1"/>
    <col min="10" max="10" width="13.140625" customWidth="1"/>
    <col min="11" max="11" width="15.7109375" customWidth="1"/>
    <col min="12" max="12" width="14.7109375" customWidth="1"/>
    <col min="13" max="13" width="14.5703125" customWidth="1"/>
    <col min="14" max="14" width="12.5703125" customWidth="1"/>
  </cols>
  <sheetData>
    <row r="1" spans="1:15" ht="15.7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 t="s">
        <v>66</v>
      </c>
      <c r="O1" s="122"/>
    </row>
    <row r="2" spans="1:15" ht="15.75">
      <c r="A2" s="8"/>
      <c r="B2" s="8" t="s">
        <v>47</v>
      </c>
      <c r="C2" s="241" t="s">
        <v>90</v>
      </c>
      <c r="D2" s="8"/>
      <c r="E2" s="8"/>
      <c r="F2" s="8"/>
      <c r="G2" s="8"/>
      <c r="J2" s="8"/>
      <c r="K2" s="8"/>
      <c r="L2" s="8"/>
      <c r="M2" s="8"/>
      <c r="N2" s="11"/>
      <c r="O2" s="122"/>
    </row>
    <row r="3" spans="1:15" ht="15.75">
      <c r="A3" s="8"/>
      <c r="B3" s="8" t="s">
        <v>49</v>
      </c>
      <c r="C3" s="241" t="s">
        <v>50</v>
      </c>
      <c r="D3" s="8"/>
      <c r="E3" s="8"/>
      <c r="F3" s="8"/>
      <c r="G3" s="8"/>
      <c r="J3" s="8"/>
      <c r="K3" s="8"/>
      <c r="L3" s="8"/>
      <c r="M3" s="8"/>
      <c r="N3" s="11"/>
      <c r="O3" s="122"/>
    </row>
    <row r="4" spans="1:15" ht="15.75">
      <c r="A4" s="8"/>
      <c r="B4" s="8" t="s">
        <v>51</v>
      </c>
      <c r="C4" s="241" t="s">
        <v>52</v>
      </c>
      <c r="D4" s="8"/>
      <c r="E4" s="8"/>
      <c r="F4" s="8"/>
      <c r="G4" s="8"/>
      <c r="J4" s="8"/>
      <c r="K4" s="8"/>
      <c r="L4" s="8"/>
      <c r="M4" s="8"/>
      <c r="N4" s="11"/>
      <c r="O4" s="122"/>
    </row>
    <row r="5" spans="1:15" ht="15.7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1"/>
      <c r="O5" s="122"/>
    </row>
    <row r="6" spans="1:15" ht="18.75">
      <c r="A6" s="1140" t="s">
        <v>67</v>
      </c>
      <c r="B6" s="1140"/>
      <c r="C6" s="1140"/>
      <c r="D6" s="1140"/>
      <c r="E6" s="1140"/>
      <c r="F6" s="1140"/>
      <c r="G6" s="1140"/>
      <c r="H6" s="1140"/>
      <c r="I6" s="1140"/>
      <c r="J6" s="1140"/>
      <c r="K6" s="1140"/>
      <c r="L6" s="1140"/>
      <c r="M6" s="1140"/>
      <c r="N6" s="1140"/>
      <c r="O6" s="122"/>
    </row>
    <row r="7" spans="1:15" ht="20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22"/>
    </row>
    <row r="8" spans="1:15" ht="19.5" customHeight="1">
      <c r="A8" s="1162" t="s">
        <v>54</v>
      </c>
      <c r="B8" s="1163"/>
      <c r="C8" s="1163"/>
      <c r="D8" s="1163"/>
      <c r="E8" s="1163"/>
      <c r="F8" s="1163"/>
      <c r="G8" s="1163"/>
      <c r="H8" s="1163"/>
      <c r="I8" s="1164"/>
      <c r="J8" s="1162" t="s">
        <v>55</v>
      </c>
      <c r="K8" s="1163"/>
      <c r="L8" s="1163"/>
      <c r="M8" s="1163"/>
      <c r="N8" s="1164"/>
      <c r="O8" s="84"/>
    </row>
    <row r="9" spans="1:15" ht="45">
      <c r="A9" s="1133" t="s">
        <v>2</v>
      </c>
      <c r="B9" s="1136" t="s">
        <v>56</v>
      </c>
      <c r="C9" s="1136" t="s">
        <v>68</v>
      </c>
      <c r="D9" s="1136" t="s">
        <v>58</v>
      </c>
      <c r="E9" s="45" t="s">
        <v>59</v>
      </c>
      <c r="F9" s="45" t="s">
        <v>69</v>
      </c>
      <c r="G9" s="1136" t="s">
        <v>70</v>
      </c>
      <c r="H9" s="1165" t="s">
        <v>62</v>
      </c>
      <c r="I9" s="1166"/>
      <c r="J9" s="1136" t="s">
        <v>63</v>
      </c>
      <c r="K9" s="1136" t="s">
        <v>64</v>
      </c>
      <c r="L9" s="1136" t="s">
        <v>71</v>
      </c>
      <c r="M9" s="1136" t="s">
        <v>65</v>
      </c>
      <c r="N9" s="1133" t="s">
        <v>11</v>
      </c>
      <c r="O9" s="84"/>
    </row>
    <row r="10" spans="1:15" ht="15.75">
      <c r="A10" s="1135"/>
      <c r="B10" s="1138"/>
      <c r="C10" s="1138"/>
      <c r="D10" s="1138"/>
      <c r="E10" s="46"/>
      <c r="F10" s="46"/>
      <c r="G10" s="1138"/>
      <c r="H10" s="68" t="s">
        <v>3</v>
      </c>
      <c r="I10" s="69" t="s">
        <v>13</v>
      </c>
      <c r="J10" s="1138"/>
      <c r="K10" s="1138"/>
      <c r="L10" s="1138"/>
      <c r="M10" s="1138"/>
      <c r="N10" s="1135"/>
      <c r="O10" s="84"/>
    </row>
    <row r="11" spans="1:15" ht="15.75">
      <c r="A11" s="401">
        <v>1</v>
      </c>
      <c r="B11" s="402">
        <v>2</v>
      </c>
      <c r="C11" s="402">
        <v>3</v>
      </c>
      <c r="D11" s="402">
        <v>4</v>
      </c>
      <c r="E11" s="402">
        <v>5</v>
      </c>
      <c r="F11" s="402">
        <v>6</v>
      </c>
      <c r="G11" s="402">
        <v>7</v>
      </c>
      <c r="H11" s="402">
        <v>8</v>
      </c>
      <c r="I11" s="401">
        <v>9</v>
      </c>
      <c r="J11" s="402">
        <v>10</v>
      </c>
      <c r="K11" s="402">
        <v>11</v>
      </c>
      <c r="L11" s="402">
        <v>12</v>
      </c>
      <c r="M11" s="401">
        <v>13</v>
      </c>
      <c r="N11" s="401">
        <v>14</v>
      </c>
      <c r="O11" s="84"/>
    </row>
    <row r="12" spans="1:15" ht="12" customHeight="1">
      <c r="A12" s="403"/>
      <c r="B12" s="404"/>
      <c r="C12" s="404"/>
      <c r="D12" s="404"/>
      <c r="E12" s="404"/>
      <c r="F12" s="404"/>
      <c r="G12" s="404"/>
      <c r="H12" s="405"/>
      <c r="I12" s="415"/>
      <c r="J12" s="416"/>
      <c r="K12" s="416"/>
      <c r="L12" s="416"/>
      <c r="M12" s="415"/>
      <c r="N12" s="415"/>
      <c r="O12" s="84"/>
    </row>
    <row r="13" spans="1:15" ht="48.75" customHeight="1">
      <c r="A13" s="187">
        <v>1</v>
      </c>
      <c r="B13" s="406">
        <v>42466</v>
      </c>
      <c r="C13" s="407" t="s">
        <v>91</v>
      </c>
      <c r="D13" s="408" t="s">
        <v>92</v>
      </c>
      <c r="E13" s="409">
        <v>2016</v>
      </c>
      <c r="F13" s="410" t="s">
        <v>75</v>
      </c>
      <c r="G13" s="411" t="s">
        <v>93</v>
      </c>
      <c r="H13" s="406">
        <v>42466</v>
      </c>
      <c r="I13" s="411" t="s">
        <v>94</v>
      </c>
      <c r="J13" s="406">
        <f t="shared" ref="J13:J21" si="0">B13</f>
        <v>42466</v>
      </c>
      <c r="K13" s="417" t="s">
        <v>80</v>
      </c>
      <c r="L13" s="409" t="str">
        <f t="shared" ref="L13:L21" si="1">F13</f>
        <v>1 unit</v>
      </c>
      <c r="M13" s="170"/>
      <c r="N13" s="26"/>
      <c r="O13" s="84"/>
    </row>
    <row r="14" spans="1:15" ht="48.75" customHeight="1">
      <c r="A14" s="187">
        <v>2</v>
      </c>
      <c r="B14" s="406">
        <v>42467</v>
      </c>
      <c r="C14" s="407" t="s">
        <v>95</v>
      </c>
      <c r="D14" s="408" t="s">
        <v>96</v>
      </c>
      <c r="E14" s="409">
        <v>2016</v>
      </c>
      <c r="F14" s="410" t="s">
        <v>97</v>
      </c>
      <c r="G14" s="411" t="s">
        <v>98</v>
      </c>
      <c r="H14" s="406">
        <v>42466</v>
      </c>
      <c r="I14" s="411" t="s">
        <v>99</v>
      </c>
      <c r="J14" s="406">
        <f t="shared" si="0"/>
        <v>42467</v>
      </c>
      <c r="K14" s="417" t="s">
        <v>24</v>
      </c>
      <c r="L14" s="409" t="str">
        <f t="shared" si="1"/>
        <v>3 unit</v>
      </c>
      <c r="M14" s="170"/>
      <c r="N14" s="26"/>
      <c r="O14" s="84"/>
    </row>
    <row r="15" spans="1:15" ht="38.25" customHeight="1">
      <c r="A15" s="187">
        <v>3</v>
      </c>
      <c r="B15" s="406">
        <v>42467</v>
      </c>
      <c r="C15" s="407" t="s">
        <v>100</v>
      </c>
      <c r="D15" s="408" t="s">
        <v>101</v>
      </c>
      <c r="E15" s="409">
        <v>2016</v>
      </c>
      <c r="F15" s="410" t="s">
        <v>84</v>
      </c>
      <c r="G15" s="411" t="s">
        <v>98</v>
      </c>
      <c r="H15" s="406">
        <v>42466</v>
      </c>
      <c r="I15" s="411" t="s">
        <v>99</v>
      </c>
      <c r="J15" s="406">
        <f t="shared" si="0"/>
        <v>42467</v>
      </c>
      <c r="K15" s="417" t="s">
        <v>24</v>
      </c>
      <c r="L15" s="409" t="str">
        <f t="shared" si="1"/>
        <v>5 unit</v>
      </c>
      <c r="M15" s="170"/>
      <c r="N15" s="26"/>
      <c r="O15" s="84"/>
    </row>
    <row r="16" spans="1:15" ht="38.25" customHeight="1">
      <c r="A16" s="187">
        <v>4</v>
      </c>
      <c r="B16" s="406">
        <v>42467</v>
      </c>
      <c r="C16" s="407" t="s">
        <v>102</v>
      </c>
      <c r="D16" s="408" t="s">
        <v>103</v>
      </c>
      <c r="E16" s="409">
        <v>2016</v>
      </c>
      <c r="F16" s="410" t="s">
        <v>84</v>
      </c>
      <c r="G16" s="411" t="s">
        <v>98</v>
      </c>
      <c r="H16" s="406">
        <v>42466</v>
      </c>
      <c r="I16" s="411" t="s">
        <v>99</v>
      </c>
      <c r="J16" s="406">
        <f t="shared" si="0"/>
        <v>42467</v>
      </c>
      <c r="K16" s="417" t="s">
        <v>24</v>
      </c>
      <c r="L16" s="409" t="str">
        <f t="shared" si="1"/>
        <v>5 unit</v>
      </c>
      <c r="M16" s="170"/>
      <c r="N16" s="26"/>
      <c r="O16" s="84"/>
    </row>
    <row r="17" spans="1:15" ht="46.5" customHeight="1">
      <c r="A17" s="187">
        <v>5</v>
      </c>
      <c r="B17" s="406">
        <v>42467</v>
      </c>
      <c r="C17" s="407" t="s">
        <v>104</v>
      </c>
      <c r="D17" s="408" t="s">
        <v>105</v>
      </c>
      <c r="E17" s="409">
        <v>2016</v>
      </c>
      <c r="F17" s="410" t="s">
        <v>75</v>
      </c>
      <c r="G17" s="411" t="s">
        <v>98</v>
      </c>
      <c r="H17" s="406">
        <v>42466</v>
      </c>
      <c r="I17" s="411" t="s">
        <v>99</v>
      </c>
      <c r="J17" s="406">
        <f t="shared" si="0"/>
        <v>42467</v>
      </c>
      <c r="K17" s="417" t="s">
        <v>24</v>
      </c>
      <c r="L17" s="409" t="str">
        <f t="shared" si="1"/>
        <v>1 unit</v>
      </c>
      <c r="M17" s="170"/>
      <c r="N17" s="26"/>
      <c r="O17" s="84"/>
    </row>
    <row r="18" spans="1:15" ht="38.25" customHeight="1">
      <c r="A18" s="187">
        <v>6</v>
      </c>
      <c r="B18" s="406">
        <v>42472</v>
      </c>
      <c r="C18" s="407" t="s">
        <v>106</v>
      </c>
      <c r="D18" s="408" t="s">
        <v>107</v>
      </c>
      <c r="E18" s="409">
        <v>2016</v>
      </c>
      <c r="F18" s="410" t="s">
        <v>75</v>
      </c>
      <c r="G18" s="411" t="s">
        <v>108</v>
      </c>
      <c r="H18" s="406" t="s">
        <v>78</v>
      </c>
      <c r="I18" s="406" t="s">
        <v>78</v>
      </c>
      <c r="J18" s="406">
        <f t="shared" si="0"/>
        <v>42472</v>
      </c>
      <c r="K18" s="417" t="s">
        <v>24</v>
      </c>
      <c r="L18" s="409" t="str">
        <f t="shared" si="1"/>
        <v>1 unit</v>
      </c>
      <c r="M18" s="170"/>
      <c r="N18" s="26"/>
      <c r="O18" s="84"/>
    </row>
    <row r="19" spans="1:15" ht="33" customHeight="1">
      <c r="A19" s="187">
        <v>7</v>
      </c>
      <c r="B19" s="406">
        <v>42472</v>
      </c>
      <c r="C19" s="412" t="s">
        <v>109</v>
      </c>
      <c r="D19" s="408" t="s">
        <v>110</v>
      </c>
      <c r="E19" s="409">
        <v>2016</v>
      </c>
      <c r="F19" s="410" t="s">
        <v>72</v>
      </c>
      <c r="G19" s="411" t="s">
        <v>111</v>
      </c>
      <c r="H19" s="406" t="s">
        <v>78</v>
      </c>
      <c r="I19" s="406" t="s">
        <v>78</v>
      </c>
      <c r="J19" s="406">
        <f t="shared" si="0"/>
        <v>42472</v>
      </c>
      <c r="K19" s="417" t="s">
        <v>24</v>
      </c>
      <c r="L19" s="409" t="str">
        <f t="shared" si="1"/>
        <v>2 unit</v>
      </c>
      <c r="M19" s="170"/>
      <c r="N19" s="26"/>
      <c r="O19" s="84"/>
    </row>
    <row r="20" spans="1:15" ht="64.5" customHeight="1">
      <c r="A20" s="187">
        <v>8</v>
      </c>
      <c r="B20" s="406">
        <v>42513</v>
      </c>
      <c r="C20" s="412" t="s">
        <v>112</v>
      </c>
      <c r="D20" s="408" t="s">
        <v>113</v>
      </c>
      <c r="E20" s="409">
        <v>2016</v>
      </c>
      <c r="F20" s="410" t="s">
        <v>75</v>
      </c>
      <c r="G20" s="411" t="s">
        <v>114</v>
      </c>
      <c r="H20" s="406">
        <v>42513</v>
      </c>
      <c r="I20" s="411" t="s">
        <v>115</v>
      </c>
      <c r="J20" s="406">
        <f t="shared" si="0"/>
        <v>42513</v>
      </c>
      <c r="K20" s="417" t="s">
        <v>24</v>
      </c>
      <c r="L20" s="409" t="str">
        <f t="shared" si="1"/>
        <v>1 unit</v>
      </c>
      <c r="M20" s="170"/>
      <c r="N20" s="26"/>
      <c r="O20" s="84"/>
    </row>
    <row r="21" spans="1:15" ht="75" customHeight="1">
      <c r="A21" s="187">
        <v>9</v>
      </c>
      <c r="B21" s="406">
        <v>42513</v>
      </c>
      <c r="C21" s="412" t="s">
        <v>112</v>
      </c>
      <c r="D21" s="408" t="s">
        <v>116</v>
      </c>
      <c r="E21" s="409">
        <v>2016</v>
      </c>
      <c r="F21" s="410" t="s">
        <v>75</v>
      </c>
      <c r="G21" s="411" t="s">
        <v>114</v>
      </c>
      <c r="H21" s="406">
        <v>42513</v>
      </c>
      <c r="I21" s="411" t="s">
        <v>115</v>
      </c>
      <c r="J21" s="406">
        <f t="shared" si="0"/>
        <v>42513</v>
      </c>
      <c r="K21" s="417" t="s">
        <v>24</v>
      </c>
      <c r="L21" s="409" t="str">
        <f t="shared" si="1"/>
        <v>1 unit</v>
      </c>
      <c r="M21" s="170"/>
      <c r="N21" s="26"/>
      <c r="O21" s="84"/>
    </row>
    <row r="22" spans="1:15" ht="10.5" customHeight="1">
      <c r="A22" s="229"/>
      <c r="B22" s="413"/>
      <c r="C22" s="413"/>
      <c r="D22" s="413"/>
      <c r="E22" s="413"/>
      <c r="F22" s="413"/>
      <c r="G22" s="413"/>
      <c r="H22" s="414"/>
      <c r="I22" s="32"/>
      <c r="J22" s="414"/>
      <c r="K22" s="414"/>
      <c r="L22" s="414"/>
      <c r="M22" s="32"/>
      <c r="N22" s="32"/>
    </row>
    <row r="23" spans="1:1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1:1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spans="1:1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1:1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6" t="s">
        <v>117</v>
      </c>
      <c r="N26" s="36"/>
    </row>
    <row r="27" spans="1:1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6"/>
      <c r="N27" s="36"/>
    </row>
    <row r="28" spans="1:15">
      <c r="A28" s="34"/>
      <c r="B28" s="34"/>
      <c r="C28" s="36" t="s">
        <v>32</v>
      </c>
      <c r="D28" s="34"/>
      <c r="E28" s="34"/>
      <c r="F28" s="34"/>
      <c r="G28" s="34"/>
      <c r="J28" s="34"/>
      <c r="K28" s="34"/>
      <c r="L28" s="36" t="s">
        <v>118</v>
      </c>
      <c r="N28" s="36"/>
    </row>
    <row r="29" spans="1:15">
      <c r="A29" s="34"/>
      <c r="B29" s="34"/>
      <c r="C29" s="36"/>
      <c r="D29" s="34"/>
      <c r="E29" s="34"/>
      <c r="F29" s="34"/>
      <c r="G29" s="34"/>
      <c r="J29" s="34"/>
      <c r="K29" s="34"/>
      <c r="L29" s="36"/>
      <c r="N29" s="36"/>
    </row>
    <row r="30" spans="1:15">
      <c r="A30" s="34"/>
      <c r="B30" s="34"/>
      <c r="C30" s="36"/>
      <c r="D30" s="34"/>
      <c r="E30" s="34"/>
      <c r="F30" s="34"/>
      <c r="G30" s="34"/>
      <c r="J30" s="34"/>
      <c r="K30" s="34"/>
      <c r="L30" s="36"/>
      <c r="N30" s="36"/>
    </row>
    <row r="31" spans="1:15">
      <c r="A31" s="34"/>
      <c r="B31" s="34"/>
      <c r="C31" s="36"/>
      <c r="D31" s="34"/>
      <c r="E31" s="34"/>
      <c r="F31" s="34"/>
      <c r="G31" s="34"/>
      <c r="J31" s="34"/>
      <c r="K31" s="34"/>
      <c r="L31" s="36"/>
      <c r="N31" s="36"/>
    </row>
    <row r="32" spans="1:15">
      <c r="A32" s="34"/>
      <c r="B32" s="34"/>
      <c r="C32" s="37" t="s">
        <v>33</v>
      </c>
      <c r="D32" s="34"/>
      <c r="E32" s="34"/>
      <c r="F32" s="34"/>
      <c r="G32" s="34"/>
      <c r="J32" s="38"/>
      <c r="K32" s="38"/>
      <c r="L32" s="37" t="s">
        <v>119</v>
      </c>
      <c r="N32" s="37"/>
    </row>
    <row r="33" spans="1:14">
      <c r="A33" s="92"/>
      <c r="B33" s="92"/>
      <c r="C33" s="36" t="s">
        <v>34</v>
      </c>
      <c r="D33" s="92"/>
      <c r="E33" s="92"/>
      <c r="F33" s="92"/>
      <c r="G33" s="92"/>
      <c r="J33" s="92"/>
      <c r="K33" s="92"/>
      <c r="L33" s="36" t="s">
        <v>120</v>
      </c>
      <c r="N33" s="36"/>
    </row>
  </sheetData>
  <mergeCells count="14">
    <mergeCell ref="N9:N10"/>
    <mergeCell ref="A6:N6"/>
    <mergeCell ref="A8:I8"/>
    <mergeCell ref="J8:N8"/>
    <mergeCell ref="H9:I9"/>
    <mergeCell ref="A9:A10"/>
    <mergeCell ref="B9:B10"/>
    <mergeCell ref="C9:C10"/>
    <mergeCell ref="D9:D10"/>
    <mergeCell ref="G9:G10"/>
    <mergeCell ref="J9:J10"/>
    <mergeCell ref="K9:K10"/>
    <mergeCell ref="L9:L10"/>
    <mergeCell ref="M9:M10"/>
  </mergeCells>
  <printOptions horizontalCentered="1"/>
  <pageMargins left="0.39" right="0.41" top="0.6" bottom="0.62" header="0.44" footer="0.47"/>
  <pageSetup paperSize="10000" scale="80" orientation="landscape" verticalDpi="36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7"/>
  </sheetPr>
  <dimension ref="A1:Y209"/>
  <sheetViews>
    <sheetView view="pageBreakPreview" zoomScale="80" zoomScaleNormal="70" workbookViewId="0">
      <selection activeCell="A35" sqref="A35"/>
    </sheetView>
  </sheetViews>
  <sheetFormatPr defaultColWidth="4.7109375" defaultRowHeight="12.75"/>
  <cols>
    <col min="1" max="1" width="5.42578125" style="238" customWidth="1"/>
    <col min="2" max="2" width="8.42578125" style="238" customWidth="1"/>
    <col min="3" max="3" width="2" style="238" customWidth="1"/>
    <col min="4" max="4" width="12.28515625" style="238" customWidth="1"/>
    <col min="5" max="5" width="10.42578125" style="238" customWidth="1"/>
    <col min="6" max="6" width="14.7109375" style="238" customWidth="1"/>
    <col min="7" max="7" width="10.5703125" style="238" customWidth="1"/>
    <col min="8" max="8" width="10" style="238" customWidth="1"/>
    <col min="9" max="9" width="14.7109375" style="238" customWidth="1"/>
    <col min="10" max="10" width="13" style="238" customWidth="1"/>
    <col min="11" max="11" width="11.85546875" style="238" customWidth="1"/>
    <col min="12" max="12" width="10.42578125" style="238" customWidth="1"/>
    <col min="13" max="13" width="9.140625" style="238" bestFit="1" customWidth="1"/>
    <col min="14" max="14" width="4.5703125" style="238" customWidth="1"/>
    <col min="15" max="15" width="10.85546875" style="238" customWidth="1"/>
    <col min="16" max="16" width="7.140625" style="238" customWidth="1"/>
    <col min="17" max="17" width="6.7109375" style="238" customWidth="1"/>
    <col min="18" max="18" width="19.7109375" style="238" customWidth="1"/>
    <col min="19" max="19" width="11.28515625" style="238" customWidth="1"/>
    <col min="20" max="20" width="14.42578125" style="238" customWidth="1"/>
    <col min="21" max="21" width="12.7109375" style="238" customWidth="1"/>
    <col min="22" max="22" width="13.28515625" style="238" customWidth="1"/>
    <col min="23" max="23" width="10.28515625" style="238" customWidth="1"/>
    <col min="24" max="24" width="9.140625" style="238" bestFit="1" customWidth="1"/>
    <col min="25" max="25" width="15.5703125" style="238" customWidth="1"/>
    <col min="26" max="26" width="9.5703125" style="238" bestFit="1" customWidth="1"/>
    <col min="27" max="255" width="9.140625" style="238" bestFit="1" customWidth="1"/>
    <col min="256" max="16384" width="4.7109375" style="238"/>
  </cols>
  <sheetData>
    <row r="1" spans="1:25" ht="15.75">
      <c r="A1" s="241" t="s">
        <v>47</v>
      </c>
      <c r="B1" s="241"/>
      <c r="C1" s="241" t="s">
        <v>121</v>
      </c>
      <c r="D1" s="241" t="s">
        <v>90</v>
      </c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1"/>
      <c r="X1" s="9" t="s">
        <v>122</v>
      </c>
    </row>
    <row r="2" spans="1:25" ht="15.75">
      <c r="A2" s="241" t="s">
        <v>123</v>
      </c>
      <c r="B2" s="241"/>
      <c r="C2" s="241" t="s">
        <v>121</v>
      </c>
      <c r="D2" s="241" t="s">
        <v>50</v>
      </c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</row>
    <row r="3" spans="1:25" ht="15.75">
      <c r="A3" s="241" t="s">
        <v>51</v>
      </c>
      <c r="B3" s="241"/>
      <c r="C3" s="241" t="s">
        <v>121</v>
      </c>
      <c r="D3" s="241" t="s">
        <v>52</v>
      </c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</row>
    <row r="4" spans="1:25" ht="18.75">
      <c r="A4" s="244"/>
      <c r="B4" s="244"/>
      <c r="C4" s="244"/>
      <c r="D4" s="244"/>
      <c r="E4" s="244"/>
      <c r="F4" s="244"/>
      <c r="G4" s="244"/>
      <c r="H4" s="244"/>
      <c r="I4" s="1218" t="s">
        <v>124</v>
      </c>
      <c r="J4" s="1218"/>
      <c r="K4" s="1218"/>
      <c r="L4" s="1218"/>
      <c r="M4" s="1218"/>
      <c r="N4" s="1218"/>
      <c r="O4" s="1218"/>
      <c r="P4" s="1218"/>
      <c r="Q4" s="1218"/>
      <c r="R4" s="1218"/>
      <c r="S4" s="1218"/>
      <c r="T4" s="244"/>
      <c r="U4" s="244"/>
      <c r="V4" s="244"/>
      <c r="W4" s="244"/>
      <c r="X4" s="244"/>
    </row>
    <row r="5" spans="1:25" ht="18.75">
      <c r="A5" s="244"/>
      <c r="B5" s="244"/>
      <c r="C5" s="244"/>
      <c r="D5" s="244"/>
      <c r="E5" s="244"/>
      <c r="F5" s="244"/>
      <c r="G5" s="244"/>
      <c r="H5" s="244"/>
      <c r="I5" s="1218" t="s">
        <v>125</v>
      </c>
      <c r="J5" s="1218"/>
      <c r="K5" s="1218"/>
      <c r="L5" s="1218"/>
      <c r="M5" s="1218"/>
      <c r="N5" s="1218"/>
      <c r="O5" s="1218"/>
      <c r="P5" s="1218"/>
      <c r="Q5" s="1218"/>
      <c r="R5" s="1218"/>
      <c r="S5" s="1218"/>
      <c r="T5" s="244"/>
      <c r="U5" s="244"/>
      <c r="V5" s="244"/>
      <c r="W5" s="244"/>
      <c r="X5" s="244"/>
    </row>
    <row r="6" spans="1:25" ht="20.25" customHeight="1"/>
    <row r="7" spans="1:25">
      <c r="A7" s="1203" t="s">
        <v>2</v>
      </c>
      <c r="B7" s="1219"/>
      <c r="C7" s="1219"/>
      <c r="D7" s="320"/>
      <c r="E7" s="320" t="s">
        <v>126</v>
      </c>
      <c r="F7" s="1220" t="s">
        <v>127</v>
      </c>
      <c r="G7" s="1220"/>
      <c r="H7" s="1221"/>
      <c r="I7" s="350"/>
      <c r="J7" s="350"/>
      <c r="K7" s="1219" t="s">
        <v>128</v>
      </c>
      <c r="L7" s="1219"/>
      <c r="M7" s="320"/>
      <c r="N7" s="320"/>
      <c r="O7" s="320"/>
      <c r="P7" s="1222" t="s">
        <v>129</v>
      </c>
      <c r="Q7" s="1222"/>
      <c r="R7" s="320"/>
      <c r="S7" s="320"/>
      <c r="T7" s="320"/>
      <c r="U7" s="320"/>
      <c r="V7" s="320"/>
      <c r="W7" s="320"/>
      <c r="X7" s="371"/>
    </row>
    <row r="8" spans="1:25">
      <c r="A8" s="1204"/>
      <c r="B8" s="1214" t="s">
        <v>130</v>
      </c>
      <c r="C8" s="1214"/>
      <c r="D8" s="321" t="s">
        <v>4</v>
      </c>
      <c r="E8" s="321" t="s">
        <v>131</v>
      </c>
      <c r="F8" s="322" t="s">
        <v>13</v>
      </c>
      <c r="G8" s="322" t="s">
        <v>3</v>
      </c>
      <c r="H8" s="323" t="s">
        <v>7</v>
      </c>
      <c r="I8" s="322" t="s">
        <v>132</v>
      </c>
      <c r="J8" s="322" t="s">
        <v>133</v>
      </c>
      <c r="K8" s="1215" t="s">
        <v>134</v>
      </c>
      <c r="L8" s="1215"/>
      <c r="M8" s="321" t="s">
        <v>45</v>
      </c>
      <c r="N8" s="321" t="s">
        <v>2</v>
      </c>
      <c r="O8" s="321" t="s">
        <v>135</v>
      </c>
      <c r="P8" s="322" t="s">
        <v>13</v>
      </c>
      <c r="Q8" s="322" t="s">
        <v>136</v>
      </c>
      <c r="R8" s="321" t="s">
        <v>43</v>
      </c>
      <c r="S8" s="321" t="s">
        <v>7</v>
      </c>
      <c r="T8" s="321" t="s">
        <v>132</v>
      </c>
      <c r="U8" s="321" t="s">
        <v>137</v>
      </c>
      <c r="V8" s="321" t="s">
        <v>138</v>
      </c>
      <c r="W8" s="321" t="s">
        <v>136</v>
      </c>
      <c r="X8" s="372" t="s">
        <v>45</v>
      </c>
    </row>
    <row r="9" spans="1:25" ht="15" customHeight="1">
      <c r="A9" s="1205"/>
      <c r="B9" s="1216" t="s">
        <v>136</v>
      </c>
      <c r="C9" s="1216"/>
      <c r="D9" s="325"/>
      <c r="E9" s="324" t="s">
        <v>139</v>
      </c>
      <c r="F9" s="325"/>
      <c r="G9" s="325"/>
      <c r="H9" s="325"/>
      <c r="I9" s="324" t="s">
        <v>140</v>
      </c>
      <c r="J9" s="324" t="s">
        <v>141</v>
      </c>
      <c r="K9" s="351" t="s">
        <v>142</v>
      </c>
      <c r="L9" s="351" t="s">
        <v>3</v>
      </c>
      <c r="M9" s="324"/>
      <c r="N9" s="324" t="s">
        <v>143</v>
      </c>
      <c r="O9" s="324" t="s">
        <v>136</v>
      </c>
      <c r="P9" s="324"/>
      <c r="Q9" s="324"/>
      <c r="R9" s="324"/>
      <c r="S9" s="324"/>
      <c r="T9" s="324" t="s">
        <v>140</v>
      </c>
      <c r="U9" s="324" t="s">
        <v>141</v>
      </c>
      <c r="V9" s="324" t="s">
        <v>133</v>
      </c>
      <c r="W9" s="324" t="s">
        <v>144</v>
      </c>
      <c r="X9" s="373"/>
    </row>
    <row r="10" spans="1:25" s="237" customFormat="1" ht="14.25" customHeight="1">
      <c r="A10" s="326">
        <v>1</v>
      </c>
      <c r="B10" s="1217">
        <v>2</v>
      </c>
      <c r="C10" s="1217"/>
      <c r="D10" s="327">
        <v>3</v>
      </c>
      <c r="E10" s="327">
        <v>4</v>
      </c>
      <c r="F10" s="327">
        <v>5</v>
      </c>
      <c r="G10" s="327">
        <v>6</v>
      </c>
      <c r="H10" s="327">
        <v>7</v>
      </c>
      <c r="I10" s="327">
        <v>8</v>
      </c>
      <c r="J10" s="327">
        <v>9</v>
      </c>
      <c r="K10" s="327">
        <v>10</v>
      </c>
      <c r="L10" s="327">
        <v>11</v>
      </c>
      <c r="M10" s="327">
        <v>12</v>
      </c>
      <c r="N10" s="327">
        <v>13</v>
      </c>
      <c r="O10" s="327">
        <v>14</v>
      </c>
      <c r="P10" s="327">
        <v>15</v>
      </c>
      <c r="Q10" s="327">
        <v>16</v>
      </c>
      <c r="R10" s="327">
        <v>17</v>
      </c>
      <c r="S10" s="327">
        <v>18</v>
      </c>
      <c r="T10" s="327">
        <v>19</v>
      </c>
      <c r="U10" s="327">
        <v>20</v>
      </c>
      <c r="V10" s="327">
        <v>21</v>
      </c>
      <c r="W10" s="327">
        <v>22</v>
      </c>
      <c r="X10" s="374">
        <v>23</v>
      </c>
    </row>
    <row r="11" spans="1:25" s="237" customFormat="1" ht="14.25" customHeight="1">
      <c r="A11" s="328"/>
      <c r="B11" s="329"/>
      <c r="C11" s="330"/>
      <c r="D11" s="331"/>
      <c r="E11" s="331"/>
      <c r="F11" s="331"/>
      <c r="G11" s="331"/>
      <c r="H11" s="331"/>
      <c r="I11" s="243"/>
      <c r="J11" s="331"/>
      <c r="K11" s="331"/>
      <c r="L11" s="331"/>
      <c r="M11" s="331"/>
      <c r="N11" s="331"/>
      <c r="O11" s="331"/>
      <c r="P11" s="331"/>
      <c r="Q11" s="331"/>
      <c r="R11" s="331"/>
      <c r="S11" s="331"/>
      <c r="T11" s="243"/>
      <c r="U11" s="331"/>
      <c r="V11" s="331"/>
      <c r="W11" s="331"/>
      <c r="X11" s="375"/>
    </row>
    <row r="12" spans="1:25" s="237" customFormat="1" ht="68.25" customHeight="1">
      <c r="A12" s="332">
        <v>1</v>
      </c>
      <c r="B12" s="1210">
        <v>42412</v>
      </c>
      <c r="C12" s="1211"/>
      <c r="D12" s="334" t="s">
        <v>145</v>
      </c>
      <c r="E12" s="335"/>
      <c r="F12" s="336" t="s">
        <v>73</v>
      </c>
      <c r="G12" s="333">
        <v>42387</v>
      </c>
      <c r="H12" s="337" t="s">
        <v>72</v>
      </c>
      <c r="I12" s="352" t="s">
        <v>146</v>
      </c>
      <c r="J12" s="353">
        <f>9000000*1.1</f>
        <v>9900000</v>
      </c>
      <c r="K12" s="336" t="s">
        <v>147</v>
      </c>
      <c r="L12" s="354">
        <v>42412</v>
      </c>
      <c r="M12" s="355"/>
      <c r="N12" s="356"/>
      <c r="O12" s="333">
        <f t="shared" ref="O12:O18" si="0">B12</f>
        <v>42412</v>
      </c>
      <c r="P12" s="357"/>
      <c r="Q12" s="357"/>
      <c r="R12" s="376" t="s">
        <v>74</v>
      </c>
      <c r="S12" s="377" t="str">
        <f t="shared" ref="S12:U15" si="1">H12</f>
        <v>2 unit</v>
      </c>
      <c r="T12" s="378" t="str">
        <f t="shared" si="1"/>
        <v>Mesin Potong Rumput Dorong Husqvarna J55L/ 56 cm</v>
      </c>
      <c r="U12" s="379">
        <f t="shared" si="1"/>
        <v>9900000</v>
      </c>
      <c r="V12" s="380">
        <f>U12*2</f>
        <v>19800000</v>
      </c>
      <c r="W12" s="333">
        <f t="shared" ref="W12:W23" si="2">O12</f>
        <v>42412</v>
      </c>
      <c r="X12" s="381"/>
    </row>
    <row r="13" spans="1:25" s="237" customFormat="1" ht="51" customHeight="1">
      <c r="A13" s="332">
        <v>2</v>
      </c>
      <c r="B13" s="1210">
        <v>42412</v>
      </c>
      <c r="C13" s="1211"/>
      <c r="D13" s="334" t="s">
        <v>145</v>
      </c>
      <c r="E13" s="335"/>
      <c r="F13" s="336" t="s">
        <v>73</v>
      </c>
      <c r="G13" s="333">
        <v>42387</v>
      </c>
      <c r="H13" s="337" t="s">
        <v>75</v>
      </c>
      <c r="I13" s="352" t="s">
        <v>148</v>
      </c>
      <c r="J13" s="353">
        <f>12100000*1.1</f>
        <v>13310000.000000002</v>
      </c>
      <c r="K13" s="336" t="s">
        <v>147</v>
      </c>
      <c r="L13" s="354">
        <v>42412</v>
      </c>
      <c r="M13" s="355"/>
      <c r="N13" s="356"/>
      <c r="O13" s="333">
        <f t="shared" si="0"/>
        <v>42412</v>
      </c>
      <c r="P13" s="357"/>
      <c r="Q13" s="357"/>
      <c r="R13" s="376" t="s">
        <v>74</v>
      </c>
      <c r="S13" s="377" t="str">
        <f t="shared" ref="S13:U14" si="3">H13</f>
        <v>1 unit</v>
      </c>
      <c r="T13" s="378" t="str">
        <f t="shared" si="3"/>
        <v>Tangga Portable Geser Fiber t = 8,6m</v>
      </c>
      <c r="U13" s="379">
        <f t="shared" si="3"/>
        <v>13310000.000000002</v>
      </c>
      <c r="V13" s="380">
        <f>U13*1</f>
        <v>13310000.000000002</v>
      </c>
      <c r="W13" s="333">
        <f t="shared" si="2"/>
        <v>42412</v>
      </c>
      <c r="X13" s="381"/>
    </row>
    <row r="14" spans="1:25" s="237" customFormat="1" ht="51" customHeight="1">
      <c r="A14" s="332">
        <v>3</v>
      </c>
      <c r="B14" s="1210">
        <v>42412</v>
      </c>
      <c r="C14" s="1211"/>
      <c r="D14" s="334" t="s">
        <v>145</v>
      </c>
      <c r="E14" s="335"/>
      <c r="F14" s="336" t="s">
        <v>73</v>
      </c>
      <c r="G14" s="333">
        <v>42387</v>
      </c>
      <c r="H14" s="337" t="s">
        <v>75</v>
      </c>
      <c r="I14" s="352" t="s">
        <v>149</v>
      </c>
      <c r="J14" s="353">
        <f>2250000*1.1</f>
        <v>2475000</v>
      </c>
      <c r="K14" s="336" t="s">
        <v>147</v>
      </c>
      <c r="L14" s="354">
        <v>42412</v>
      </c>
      <c r="M14" s="355"/>
      <c r="N14" s="356"/>
      <c r="O14" s="333">
        <f t="shared" si="0"/>
        <v>42412</v>
      </c>
      <c r="P14" s="357"/>
      <c r="Q14" s="357"/>
      <c r="R14" s="376" t="s">
        <v>74</v>
      </c>
      <c r="S14" s="377" t="str">
        <f t="shared" si="3"/>
        <v>1 unit</v>
      </c>
      <c r="T14" s="378" t="str">
        <f t="shared" si="3"/>
        <v>Tangga Portable Fiber t = 2,8m</v>
      </c>
      <c r="U14" s="379">
        <f t="shared" si="3"/>
        <v>2475000</v>
      </c>
      <c r="V14" s="380">
        <f>U14*1</f>
        <v>2475000</v>
      </c>
      <c r="W14" s="333">
        <f t="shared" si="2"/>
        <v>42412</v>
      </c>
      <c r="X14" s="381"/>
      <c r="Y14" s="392"/>
    </row>
    <row r="15" spans="1:25" s="237" customFormat="1" ht="51" customHeight="1">
      <c r="A15" s="338">
        <v>4</v>
      </c>
      <c r="B15" s="1210">
        <v>42424</v>
      </c>
      <c r="C15" s="1211"/>
      <c r="D15" s="339" t="s">
        <v>150</v>
      </c>
      <c r="E15" s="340"/>
      <c r="F15" s="336" t="s">
        <v>77</v>
      </c>
      <c r="G15" s="341"/>
      <c r="H15" s="337" t="s">
        <v>76</v>
      </c>
      <c r="I15" s="352" t="s">
        <v>151</v>
      </c>
      <c r="J15" s="353">
        <v>2000000</v>
      </c>
      <c r="K15" s="336" t="s">
        <v>152</v>
      </c>
      <c r="L15" s="354">
        <v>42424</v>
      </c>
      <c r="M15" s="358"/>
      <c r="N15" s="356"/>
      <c r="O15" s="333">
        <f t="shared" si="0"/>
        <v>42424</v>
      </c>
      <c r="P15" s="357"/>
      <c r="Q15" s="357"/>
      <c r="R15" s="376" t="s">
        <v>74</v>
      </c>
      <c r="S15" s="377" t="str">
        <f t="shared" si="1"/>
        <v>8 batang</v>
      </c>
      <c r="T15" s="378" t="str">
        <f t="shared" si="1"/>
        <v>Tanaman Pagoda t= 2m daun</v>
      </c>
      <c r="U15" s="379">
        <f t="shared" si="1"/>
        <v>2000000</v>
      </c>
      <c r="V15" s="380">
        <f>U15*1</f>
        <v>2000000</v>
      </c>
      <c r="W15" s="333">
        <f t="shared" si="2"/>
        <v>42424</v>
      </c>
      <c r="X15" s="381"/>
    </row>
    <row r="16" spans="1:25" s="237" customFormat="1" ht="50.25" customHeight="1">
      <c r="A16" s="338">
        <v>5</v>
      </c>
      <c r="B16" s="1210">
        <v>42424</v>
      </c>
      <c r="C16" s="1211"/>
      <c r="D16" s="339" t="s">
        <v>153</v>
      </c>
      <c r="E16" s="340"/>
      <c r="F16" s="336" t="s">
        <v>79</v>
      </c>
      <c r="G16" s="333">
        <v>42411</v>
      </c>
      <c r="H16" s="337" t="s">
        <v>75</v>
      </c>
      <c r="I16" s="352" t="s">
        <v>154</v>
      </c>
      <c r="J16" s="353">
        <f>28330000*1.1</f>
        <v>31163000.000000004</v>
      </c>
      <c r="K16" s="336" t="s">
        <v>155</v>
      </c>
      <c r="L16" s="354">
        <v>42424</v>
      </c>
      <c r="M16" s="358"/>
      <c r="N16" s="356"/>
      <c r="O16" s="333">
        <f t="shared" si="0"/>
        <v>42424</v>
      </c>
      <c r="P16" s="357"/>
      <c r="Q16" s="357"/>
      <c r="R16" s="376" t="s">
        <v>80</v>
      </c>
      <c r="S16" s="377" t="str">
        <f t="shared" ref="S16:U23" si="4">H16</f>
        <v>1 unit</v>
      </c>
      <c r="T16" s="378" t="str">
        <f t="shared" si="4"/>
        <v>Perahu Sampan Kayu</v>
      </c>
      <c r="U16" s="379">
        <f t="shared" si="4"/>
        <v>31163000.000000004</v>
      </c>
      <c r="V16" s="380">
        <f>U16*1</f>
        <v>31163000.000000004</v>
      </c>
      <c r="W16" s="333">
        <f t="shared" si="2"/>
        <v>42424</v>
      </c>
      <c r="X16" s="381"/>
    </row>
    <row r="17" spans="1:25" s="237" customFormat="1" ht="50.25" customHeight="1">
      <c r="A17" s="338">
        <v>6</v>
      </c>
      <c r="B17" s="1210">
        <v>42443</v>
      </c>
      <c r="C17" s="1211"/>
      <c r="D17" s="339" t="s">
        <v>156</v>
      </c>
      <c r="E17" s="340"/>
      <c r="F17" s="336" t="s">
        <v>81</v>
      </c>
      <c r="G17" s="333">
        <v>42424</v>
      </c>
      <c r="H17" s="337" t="s">
        <v>75</v>
      </c>
      <c r="I17" s="359" t="s">
        <v>157</v>
      </c>
      <c r="J17" s="353">
        <v>165689406</v>
      </c>
      <c r="K17" s="336" t="s">
        <v>158</v>
      </c>
      <c r="L17" s="360">
        <v>42443</v>
      </c>
      <c r="M17" s="361"/>
      <c r="N17" s="356"/>
      <c r="O17" s="333">
        <f t="shared" si="0"/>
        <v>42443</v>
      </c>
      <c r="P17" s="357"/>
      <c r="Q17" s="357"/>
      <c r="R17" s="376" t="s">
        <v>74</v>
      </c>
      <c r="S17" s="377" t="str">
        <f t="shared" si="4"/>
        <v>1 unit</v>
      </c>
      <c r="T17" s="378" t="str">
        <f t="shared" si="4"/>
        <v>Pick Up Isuzu GD VIN Black</v>
      </c>
      <c r="U17" s="379">
        <f t="shared" si="4"/>
        <v>165689406</v>
      </c>
      <c r="V17" s="380">
        <f>U17*1</f>
        <v>165689406</v>
      </c>
      <c r="W17" s="333">
        <f t="shared" si="2"/>
        <v>42443</v>
      </c>
      <c r="X17" s="381"/>
      <c r="Y17" s="392"/>
    </row>
    <row r="18" spans="1:25" s="237" customFormat="1" ht="41.25" customHeight="1">
      <c r="A18" s="332">
        <v>7</v>
      </c>
      <c r="B18" s="1210">
        <v>42450</v>
      </c>
      <c r="C18" s="1211"/>
      <c r="D18" s="334" t="s">
        <v>145</v>
      </c>
      <c r="E18" s="342"/>
      <c r="F18" s="336" t="s">
        <v>83</v>
      </c>
      <c r="G18" s="333">
        <v>42402</v>
      </c>
      <c r="H18" s="337" t="s">
        <v>82</v>
      </c>
      <c r="I18" s="362" t="s">
        <v>159</v>
      </c>
      <c r="J18" s="353">
        <f>1575000*1.1</f>
        <v>1732500.0000000002</v>
      </c>
      <c r="K18" s="336" t="s">
        <v>160</v>
      </c>
      <c r="L18" s="360">
        <v>42450</v>
      </c>
      <c r="M18" s="363"/>
      <c r="N18" s="363"/>
      <c r="O18" s="333">
        <f t="shared" si="0"/>
        <v>42450</v>
      </c>
      <c r="P18" s="335"/>
      <c r="Q18" s="335"/>
      <c r="R18" s="376" t="s">
        <v>24</v>
      </c>
      <c r="S18" s="377" t="str">
        <f t="shared" si="4"/>
        <v>10 unit</v>
      </c>
      <c r="T18" s="382" t="str">
        <f t="shared" si="4"/>
        <v>Meja Kerja Staf Kayu Jati + Kaca 120x60x75 cm</v>
      </c>
      <c r="U18" s="379">
        <f t="shared" si="4"/>
        <v>1732500.0000000002</v>
      </c>
      <c r="V18" s="380">
        <f>U18*10</f>
        <v>17325000.000000004</v>
      </c>
      <c r="W18" s="333">
        <f t="shared" si="2"/>
        <v>42450</v>
      </c>
      <c r="X18" s="383"/>
    </row>
    <row r="19" spans="1:25" s="237" customFormat="1" ht="57" customHeight="1">
      <c r="A19" s="332">
        <v>8</v>
      </c>
      <c r="B19" s="1210">
        <v>42450</v>
      </c>
      <c r="C19" s="1211"/>
      <c r="D19" s="334" t="s">
        <v>145</v>
      </c>
      <c r="E19" s="342"/>
      <c r="F19" s="336" t="s">
        <v>83</v>
      </c>
      <c r="G19" s="333">
        <v>42402</v>
      </c>
      <c r="H19" s="337" t="s">
        <v>72</v>
      </c>
      <c r="I19" s="362" t="s">
        <v>161</v>
      </c>
      <c r="J19" s="353">
        <f>2550000*1.1</f>
        <v>2805000</v>
      </c>
      <c r="K19" s="336" t="s">
        <v>160</v>
      </c>
      <c r="L19" s="360">
        <v>42450</v>
      </c>
      <c r="M19" s="363"/>
      <c r="N19" s="363"/>
      <c r="O19" s="333">
        <f t="shared" ref="O19:O26" si="5">B19</f>
        <v>42450</v>
      </c>
      <c r="P19" s="335"/>
      <c r="Q19" s="335"/>
      <c r="R19" s="376" t="s">
        <v>24</v>
      </c>
      <c r="S19" s="377" t="str">
        <f t="shared" si="4"/>
        <v>2 unit</v>
      </c>
      <c r="T19" s="382" t="str">
        <f t="shared" si="4"/>
        <v>Meja Kerja Eselon Kayu Jati + Kaca 150x75x75 cm</v>
      </c>
      <c r="U19" s="379">
        <f t="shared" si="4"/>
        <v>2805000</v>
      </c>
      <c r="V19" s="380">
        <f>U19*2</f>
        <v>5610000</v>
      </c>
      <c r="W19" s="333">
        <f t="shared" si="2"/>
        <v>42450</v>
      </c>
      <c r="X19" s="383"/>
    </row>
    <row r="20" spans="1:25" s="237" customFormat="1" ht="41.25" customHeight="1">
      <c r="A20" s="332">
        <v>9</v>
      </c>
      <c r="B20" s="1210">
        <v>42450</v>
      </c>
      <c r="C20" s="1211"/>
      <c r="D20" s="334" t="s">
        <v>145</v>
      </c>
      <c r="E20" s="342"/>
      <c r="F20" s="336" t="s">
        <v>83</v>
      </c>
      <c r="G20" s="333">
        <v>42402</v>
      </c>
      <c r="H20" s="337" t="s">
        <v>84</v>
      </c>
      <c r="I20" s="362" t="s">
        <v>162</v>
      </c>
      <c r="J20" s="353">
        <f>1275000*1.1</f>
        <v>1402500</v>
      </c>
      <c r="K20" s="336" t="s">
        <v>160</v>
      </c>
      <c r="L20" s="360">
        <v>42450</v>
      </c>
      <c r="M20" s="363"/>
      <c r="N20" s="363"/>
      <c r="O20" s="333">
        <f t="shared" si="5"/>
        <v>42450</v>
      </c>
      <c r="P20" s="335"/>
      <c r="Q20" s="335"/>
      <c r="R20" s="376" t="s">
        <v>24</v>
      </c>
      <c r="S20" s="377" t="str">
        <f t="shared" si="4"/>
        <v>5 unit</v>
      </c>
      <c r="T20" s="382" t="str">
        <f t="shared" si="4"/>
        <v>Kursi Kerja Eselon RAISER R-2010</v>
      </c>
      <c r="U20" s="379">
        <f t="shared" si="4"/>
        <v>1402500</v>
      </c>
      <c r="V20" s="380">
        <f>U20*5</f>
        <v>7012500</v>
      </c>
      <c r="W20" s="333">
        <f t="shared" si="2"/>
        <v>42450</v>
      </c>
      <c r="X20" s="383"/>
    </row>
    <row r="21" spans="1:25" s="237" customFormat="1" ht="41.25" customHeight="1">
      <c r="A21" s="332">
        <v>10</v>
      </c>
      <c r="B21" s="1210">
        <v>42450</v>
      </c>
      <c r="C21" s="1211"/>
      <c r="D21" s="334" t="s">
        <v>145</v>
      </c>
      <c r="E21" s="342"/>
      <c r="F21" s="336" t="s">
        <v>83</v>
      </c>
      <c r="G21" s="333">
        <v>42402</v>
      </c>
      <c r="H21" s="337" t="s">
        <v>85</v>
      </c>
      <c r="I21" s="362" t="s">
        <v>163</v>
      </c>
      <c r="J21" s="353">
        <f>760000*1.1</f>
        <v>836000.00000000012</v>
      </c>
      <c r="K21" s="336" t="s">
        <v>160</v>
      </c>
      <c r="L21" s="360">
        <v>42450</v>
      </c>
      <c r="M21" s="363"/>
      <c r="N21" s="363"/>
      <c r="O21" s="333">
        <f t="shared" si="5"/>
        <v>42450</v>
      </c>
      <c r="P21" s="335"/>
      <c r="Q21" s="335"/>
      <c r="R21" s="376" t="s">
        <v>24</v>
      </c>
      <c r="S21" s="377" t="str">
        <f t="shared" si="4"/>
        <v>23 unit</v>
      </c>
      <c r="T21" s="382" t="str">
        <f t="shared" si="4"/>
        <v>Kursi Kerja Staf ALVERO</v>
      </c>
      <c r="U21" s="379">
        <f t="shared" si="4"/>
        <v>836000.00000000012</v>
      </c>
      <c r="V21" s="380">
        <f>U21*23</f>
        <v>19228000.000000004</v>
      </c>
      <c r="W21" s="333">
        <f t="shared" si="2"/>
        <v>42450</v>
      </c>
      <c r="X21" s="383"/>
    </row>
    <row r="22" spans="1:25" s="237" customFormat="1" ht="41.25" customHeight="1">
      <c r="A22" s="332">
        <v>11</v>
      </c>
      <c r="B22" s="1210">
        <v>42450</v>
      </c>
      <c r="C22" s="1211"/>
      <c r="D22" s="334" t="s">
        <v>145</v>
      </c>
      <c r="E22" s="342"/>
      <c r="F22" s="336" t="s">
        <v>83</v>
      </c>
      <c r="G22" s="333">
        <v>42402</v>
      </c>
      <c r="H22" s="337" t="s">
        <v>75</v>
      </c>
      <c r="I22" s="362" t="s">
        <v>164</v>
      </c>
      <c r="J22" s="353">
        <f>2645000*1.1</f>
        <v>2909500.0000000005</v>
      </c>
      <c r="K22" s="336" t="s">
        <v>160</v>
      </c>
      <c r="L22" s="360">
        <v>42450</v>
      </c>
      <c r="M22" s="363"/>
      <c r="N22" s="363"/>
      <c r="O22" s="333">
        <f t="shared" si="5"/>
        <v>42450</v>
      </c>
      <c r="P22" s="335"/>
      <c r="Q22" s="335"/>
      <c r="R22" s="376" t="s">
        <v>24</v>
      </c>
      <c r="S22" s="377" t="str">
        <f t="shared" si="4"/>
        <v>1 unit</v>
      </c>
      <c r="T22" s="382" t="str">
        <f t="shared" si="4"/>
        <v>Lemari Arsip Kayu Jati + Kaca 183x88x45 cm</v>
      </c>
      <c r="U22" s="379">
        <f t="shared" si="4"/>
        <v>2909500.0000000005</v>
      </c>
      <c r="V22" s="380">
        <f>U22*1</f>
        <v>2909500.0000000005</v>
      </c>
      <c r="W22" s="333">
        <f t="shared" si="2"/>
        <v>42450</v>
      </c>
      <c r="X22" s="383"/>
    </row>
    <row r="23" spans="1:25" s="237" customFormat="1" ht="41.25" customHeight="1">
      <c r="A23" s="332">
        <v>12</v>
      </c>
      <c r="B23" s="1210">
        <v>42450</v>
      </c>
      <c r="C23" s="1211"/>
      <c r="D23" s="334" t="s">
        <v>145</v>
      </c>
      <c r="E23" s="342"/>
      <c r="F23" s="336" t="s">
        <v>83</v>
      </c>
      <c r="G23" s="333">
        <v>42402</v>
      </c>
      <c r="H23" s="337" t="s">
        <v>84</v>
      </c>
      <c r="I23" s="362" t="s">
        <v>165</v>
      </c>
      <c r="J23" s="353">
        <f>250000*1.1</f>
        <v>275000</v>
      </c>
      <c r="K23" s="336" t="s">
        <v>160</v>
      </c>
      <c r="L23" s="360">
        <v>42450</v>
      </c>
      <c r="M23" s="363"/>
      <c r="N23" s="363"/>
      <c r="O23" s="333">
        <f t="shared" si="5"/>
        <v>42450</v>
      </c>
      <c r="P23" s="335"/>
      <c r="Q23" s="335"/>
      <c r="R23" s="376" t="s">
        <v>24</v>
      </c>
      <c r="S23" s="377" t="str">
        <f t="shared" si="4"/>
        <v>5 unit</v>
      </c>
      <c r="T23" s="382" t="str">
        <f t="shared" si="4"/>
        <v>Kursi Lipat Chitose (Hitam) Rangka Crome</v>
      </c>
      <c r="U23" s="379">
        <f t="shared" si="4"/>
        <v>275000</v>
      </c>
      <c r="V23" s="380">
        <f>U23*5</f>
        <v>1375000</v>
      </c>
      <c r="W23" s="333">
        <f t="shared" si="2"/>
        <v>42450</v>
      </c>
      <c r="X23" s="383"/>
    </row>
    <row r="24" spans="1:25" s="237" customFormat="1" ht="41.25" customHeight="1">
      <c r="A24" s="332">
        <v>13</v>
      </c>
      <c r="B24" s="1210">
        <v>42450</v>
      </c>
      <c r="C24" s="1211"/>
      <c r="D24" s="334" t="s">
        <v>166</v>
      </c>
      <c r="E24" s="335"/>
      <c r="F24" s="336" t="s">
        <v>87</v>
      </c>
      <c r="G24" s="333">
        <v>42446</v>
      </c>
      <c r="H24" s="337" t="s">
        <v>86</v>
      </c>
      <c r="I24" s="352" t="s">
        <v>167</v>
      </c>
      <c r="J24" s="353">
        <v>2300000</v>
      </c>
      <c r="K24" s="336" t="s">
        <v>160</v>
      </c>
      <c r="L24" s="360">
        <v>42450</v>
      </c>
      <c r="M24" s="363"/>
      <c r="N24" s="363"/>
      <c r="O24" s="333">
        <f t="shared" si="5"/>
        <v>42450</v>
      </c>
      <c r="P24" s="335"/>
      <c r="Q24" s="335"/>
      <c r="R24" s="376" t="s">
        <v>74</v>
      </c>
      <c r="S24" s="377" t="str">
        <f t="shared" ref="S24:U32" si="6">H24</f>
        <v>6 batang</v>
      </c>
      <c r="T24" s="382" t="str">
        <f t="shared" si="6"/>
        <v>Palem Bismarkia Silver t = 2 m daun</v>
      </c>
      <c r="U24" s="379">
        <f t="shared" si="6"/>
        <v>2300000</v>
      </c>
      <c r="V24" s="380">
        <f>U24*6</f>
        <v>13800000</v>
      </c>
      <c r="W24" s="333">
        <f t="shared" ref="W24:W34" si="7">O24</f>
        <v>42450</v>
      </c>
      <c r="X24" s="383"/>
    </row>
    <row r="25" spans="1:25" s="237" customFormat="1" ht="69" customHeight="1">
      <c r="A25" s="332">
        <v>14</v>
      </c>
      <c r="B25" s="1210">
        <v>42457</v>
      </c>
      <c r="C25" s="1211"/>
      <c r="D25" s="334" t="s">
        <v>168</v>
      </c>
      <c r="E25" s="335"/>
      <c r="F25" s="336" t="s">
        <v>88</v>
      </c>
      <c r="G25" s="333">
        <v>42422</v>
      </c>
      <c r="H25" s="337" t="s">
        <v>75</v>
      </c>
      <c r="I25" s="362" t="s">
        <v>169</v>
      </c>
      <c r="J25" s="353">
        <f>590909100*1.1</f>
        <v>650000010</v>
      </c>
      <c r="K25" s="336" t="s">
        <v>170</v>
      </c>
      <c r="L25" s="360">
        <v>42457</v>
      </c>
      <c r="M25" s="363"/>
      <c r="N25" s="363"/>
      <c r="O25" s="333">
        <f t="shared" si="5"/>
        <v>42457</v>
      </c>
      <c r="P25" s="335"/>
      <c r="Q25" s="335"/>
      <c r="R25" s="376" t="s">
        <v>89</v>
      </c>
      <c r="S25" s="377" t="str">
        <f t="shared" ref="S25:U26" si="8">H25</f>
        <v>1 unit</v>
      </c>
      <c r="T25" s="382" t="str">
        <f t="shared" si="8"/>
        <v>Excavator Mini CAT 304ECR/CAN/0.16CUM/Steel Track</v>
      </c>
      <c r="U25" s="379">
        <f t="shared" si="8"/>
        <v>650000010</v>
      </c>
      <c r="V25" s="380">
        <f>U25*1</f>
        <v>650000010</v>
      </c>
      <c r="W25" s="333">
        <f t="shared" si="7"/>
        <v>42457</v>
      </c>
      <c r="X25" s="383"/>
    </row>
    <row r="26" spans="1:25" s="237" customFormat="1" ht="69" customHeight="1">
      <c r="A26" s="332">
        <v>15</v>
      </c>
      <c r="B26" s="1210">
        <v>42466</v>
      </c>
      <c r="C26" s="1211"/>
      <c r="D26" s="339" t="s">
        <v>156</v>
      </c>
      <c r="E26" s="340"/>
      <c r="F26" s="336" t="s">
        <v>93</v>
      </c>
      <c r="G26" s="333">
        <v>42424</v>
      </c>
      <c r="H26" s="337" t="s">
        <v>75</v>
      </c>
      <c r="I26" s="359" t="s">
        <v>171</v>
      </c>
      <c r="J26" s="353">
        <v>164748406</v>
      </c>
      <c r="K26" s="336" t="s">
        <v>172</v>
      </c>
      <c r="L26" s="360">
        <v>42466</v>
      </c>
      <c r="M26" s="361"/>
      <c r="N26" s="356"/>
      <c r="O26" s="333">
        <f t="shared" si="5"/>
        <v>42466</v>
      </c>
      <c r="P26" s="357"/>
      <c r="Q26" s="357"/>
      <c r="R26" s="376" t="s">
        <v>80</v>
      </c>
      <c r="S26" s="377" t="str">
        <f t="shared" si="8"/>
        <v>1 unit</v>
      </c>
      <c r="T26" s="378" t="str">
        <f t="shared" si="8"/>
        <v>Pick Up Isuzu FD VIN Black</v>
      </c>
      <c r="U26" s="379">
        <f t="shared" si="8"/>
        <v>164748406</v>
      </c>
      <c r="V26" s="380">
        <f>U26*1</f>
        <v>164748406</v>
      </c>
      <c r="W26" s="333">
        <f t="shared" si="7"/>
        <v>42466</v>
      </c>
      <c r="X26" s="381"/>
    </row>
    <row r="27" spans="1:25" s="237" customFormat="1" ht="54" customHeight="1">
      <c r="A27" s="332">
        <v>16</v>
      </c>
      <c r="B27" s="1210">
        <v>42467</v>
      </c>
      <c r="C27" s="1211"/>
      <c r="D27" s="334" t="s">
        <v>173</v>
      </c>
      <c r="E27" s="335"/>
      <c r="F27" s="336" t="s">
        <v>98</v>
      </c>
      <c r="G27" s="333">
        <v>42452</v>
      </c>
      <c r="H27" s="337" t="s">
        <v>97</v>
      </c>
      <c r="I27" s="362" t="s">
        <v>174</v>
      </c>
      <c r="J27" s="353">
        <v>7180000</v>
      </c>
      <c r="K27" s="336" t="s">
        <v>175</v>
      </c>
      <c r="L27" s="360">
        <v>42467</v>
      </c>
      <c r="M27" s="363"/>
      <c r="N27" s="363"/>
      <c r="O27" s="333">
        <f t="shared" ref="O27:O34" si="9">B27</f>
        <v>42467</v>
      </c>
      <c r="P27" s="335"/>
      <c r="Q27" s="335"/>
      <c r="R27" s="376" t="s">
        <v>24</v>
      </c>
      <c r="S27" s="377" t="str">
        <f t="shared" si="6"/>
        <v>3 unit</v>
      </c>
      <c r="T27" s="382" t="str">
        <f t="shared" si="6"/>
        <v>PC HP Dekstop 455-011D + Led Monitor 18.5"</v>
      </c>
      <c r="U27" s="379">
        <f t="shared" si="6"/>
        <v>7180000</v>
      </c>
      <c r="V27" s="380">
        <f>U27*3</f>
        <v>21540000</v>
      </c>
      <c r="W27" s="333">
        <f t="shared" si="7"/>
        <v>42467</v>
      </c>
      <c r="X27" s="383"/>
    </row>
    <row r="28" spans="1:25" s="237" customFormat="1" ht="51" customHeight="1">
      <c r="A28" s="332">
        <v>17</v>
      </c>
      <c r="B28" s="1210">
        <v>42467</v>
      </c>
      <c r="C28" s="1211"/>
      <c r="D28" s="334" t="s">
        <v>173</v>
      </c>
      <c r="E28" s="335"/>
      <c r="F28" s="336" t="s">
        <v>98</v>
      </c>
      <c r="G28" s="333">
        <v>42452</v>
      </c>
      <c r="H28" s="337" t="s">
        <v>84</v>
      </c>
      <c r="I28" s="362" t="s">
        <v>176</v>
      </c>
      <c r="J28" s="353">
        <v>5444000</v>
      </c>
      <c r="K28" s="336" t="s">
        <v>175</v>
      </c>
      <c r="L28" s="360">
        <v>42467</v>
      </c>
      <c r="M28" s="363"/>
      <c r="N28" s="363"/>
      <c r="O28" s="333">
        <f t="shared" si="9"/>
        <v>42467</v>
      </c>
      <c r="P28" s="335"/>
      <c r="Q28" s="335"/>
      <c r="R28" s="376" t="s">
        <v>24</v>
      </c>
      <c r="S28" s="377" t="str">
        <f t="shared" si="6"/>
        <v>5 unit</v>
      </c>
      <c r="T28" s="382" t="str">
        <f t="shared" si="6"/>
        <v>Notebook Acer One Z1402</v>
      </c>
      <c r="U28" s="379">
        <f t="shared" si="6"/>
        <v>5444000</v>
      </c>
      <c r="V28" s="380">
        <f>U28*5</f>
        <v>27220000</v>
      </c>
      <c r="W28" s="333">
        <f t="shared" si="7"/>
        <v>42467</v>
      </c>
      <c r="X28" s="383"/>
    </row>
    <row r="29" spans="1:25" s="237" customFormat="1" ht="41.25" customHeight="1">
      <c r="A29" s="332">
        <v>18</v>
      </c>
      <c r="B29" s="1210">
        <v>42467</v>
      </c>
      <c r="C29" s="1211"/>
      <c r="D29" s="334" t="s">
        <v>173</v>
      </c>
      <c r="E29" s="335"/>
      <c r="F29" s="336" t="s">
        <v>98</v>
      </c>
      <c r="G29" s="333">
        <v>42452</v>
      </c>
      <c r="H29" s="337" t="s">
        <v>84</v>
      </c>
      <c r="I29" s="362" t="s">
        <v>177</v>
      </c>
      <c r="J29" s="353">
        <v>1950000</v>
      </c>
      <c r="K29" s="336" t="s">
        <v>175</v>
      </c>
      <c r="L29" s="360">
        <v>42467</v>
      </c>
      <c r="M29" s="363"/>
      <c r="N29" s="363"/>
      <c r="O29" s="333">
        <f t="shared" si="9"/>
        <v>42467</v>
      </c>
      <c r="P29" s="335"/>
      <c r="Q29" s="335"/>
      <c r="R29" s="376" t="s">
        <v>24</v>
      </c>
      <c r="S29" s="377" t="str">
        <f t="shared" si="6"/>
        <v>5 unit</v>
      </c>
      <c r="T29" s="382" t="str">
        <f t="shared" si="6"/>
        <v>Printer EPSON L310</v>
      </c>
      <c r="U29" s="379">
        <f t="shared" si="6"/>
        <v>1950000</v>
      </c>
      <c r="V29" s="380">
        <f>U29*5</f>
        <v>9750000</v>
      </c>
      <c r="W29" s="333">
        <f t="shared" si="7"/>
        <v>42467</v>
      </c>
      <c r="X29" s="383"/>
    </row>
    <row r="30" spans="1:25" s="237" customFormat="1" ht="57" customHeight="1">
      <c r="A30" s="332">
        <v>19</v>
      </c>
      <c r="B30" s="1210">
        <v>42467</v>
      </c>
      <c r="C30" s="1211"/>
      <c r="D30" s="334" t="s">
        <v>173</v>
      </c>
      <c r="E30" s="335"/>
      <c r="F30" s="336" t="s">
        <v>98</v>
      </c>
      <c r="G30" s="333">
        <v>42452</v>
      </c>
      <c r="H30" s="337" t="s">
        <v>75</v>
      </c>
      <c r="I30" s="362" t="s">
        <v>178</v>
      </c>
      <c r="J30" s="353">
        <v>8599500</v>
      </c>
      <c r="K30" s="336" t="s">
        <v>175</v>
      </c>
      <c r="L30" s="360">
        <v>42467</v>
      </c>
      <c r="M30" s="363"/>
      <c r="N30" s="363"/>
      <c r="O30" s="333">
        <f t="shared" si="9"/>
        <v>42467</v>
      </c>
      <c r="P30" s="335"/>
      <c r="Q30" s="335"/>
      <c r="R30" s="376" t="s">
        <v>24</v>
      </c>
      <c r="S30" s="377" t="str">
        <f t="shared" si="6"/>
        <v>1 unit</v>
      </c>
      <c r="T30" s="382" t="str">
        <f t="shared" si="6"/>
        <v>Kamera LSR Canon EOS 700D Kit1 18MP</v>
      </c>
      <c r="U30" s="379">
        <f t="shared" si="6"/>
        <v>8599500</v>
      </c>
      <c r="V30" s="380">
        <f>U30*1</f>
        <v>8599500</v>
      </c>
      <c r="W30" s="333">
        <f t="shared" si="7"/>
        <v>42467</v>
      </c>
      <c r="X30" s="383"/>
    </row>
    <row r="31" spans="1:25" s="237" customFormat="1" ht="55.5" customHeight="1">
      <c r="A31" s="332">
        <v>20</v>
      </c>
      <c r="B31" s="1210">
        <v>42472</v>
      </c>
      <c r="C31" s="1211"/>
      <c r="D31" s="334" t="s">
        <v>179</v>
      </c>
      <c r="E31" s="335"/>
      <c r="F31" s="343" t="s">
        <v>108</v>
      </c>
      <c r="G31" s="333">
        <v>42471</v>
      </c>
      <c r="H31" s="337" t="s">
        <v>75</v>
      </c>
      <c r="I31" s="362" t="s">
        <v>180</v>
      </c>
      <c r="J31" s="353">
        <v>6500000</v>
      </c>
      <c r="K31" s="336" t="s">
        <v>181</v>
      </c>
      <c r="L31" s="360">
        <v>42472</v>
      </c>
      <c r="M31" s="363"/>
      <c r="N31" s="363"/>
      <c r="O31" s="333">
        <f t="shared" si="9"/>
        <v>42472</v>
      </c>
      <c r="P31" s="335"/>
      <c r="Q31" s="335"/>
      <c r="R31" s="376" t="s">
        <v>24</v>
      </c>
      <c r="S31" s="377" t="str">
        <f t="shared" si="6"/>
        <v>1 unit</v>
      </c>
      <c r="T31" s="382" t="str">
        <f t="shared" si="6"/>
        <v>Air Conditioner AKARI 2 Pk</v>
      </c>
      <c r="U31" s="379">
        <f t="shared" si="6"/>
        <v>6500000</v>
      </c>
      <c r="V31" s="380">
        <f>U31*1</f>
        <v>6500000</v>
      </c>
      <c r="W31" s="333">
        <f t="shared" si="7"/>
        <v>42472</v>
      </c>
      <c r="X31" s="383"/>
    </row>
    <row r="32" spans="1:25" s="237" customFormat="1" ht="41.25" customHeight="1">
      <c r="A32" s="332">
        <v>21</v>
      </c>
      <c r="B32" s="1210">
        <v>42472</v>
      </c>
      <c r="C32" s="1211"/>
      <c r="D32" s="334" t="s">
        <v>182</v>
      </c>
      <c r="E32" s="335"/>
      <c r="F32" s="343" t="s">
        <v>111</v>
      </c>
      <c r="G32" s="333">
        <v>42471</v>
      </c>
      <c r="H32" s="337" t="s">
        <v>72</v>
      </c>
      <c r="I32" s="362" t="s">
        <v>183</v>
      </c>
      <c r="J32" s="353">
        <v>2100000</v>
      </c>
      <c r="K32" s="336" t="s">
        <v>184</v>
      </c>
      <c r="L32" s="360">
        <v>42472</v>
      </c>
      <c r="M32" s="363"/>
      <c r="N32" s="363"/>
      <c r="O32" s="333">
        <f t="shared" si="9"/>
        <v>42472</v>
      </c>
      <c r="P32" s="335"/>
      <c r="Q32" s="335"/>
      <c r="R32" s="376" t="s">
        <v>24</v>
      </c>
      <c r="S32" s="377" t="str">
        <f t="shared" si="6"/>
        <v>2 unit</v>
      </c>
      <c r="T32" s="382" t="str">
        <f t="shared" si="6"/>
        <v>Filing Cabinet Brother 4 laci</v>
      </c>
      <c r="U32" s="379">
        <f t="shared" si="6"/>
        <v>2100000</v>
      </c>
      <c r="V32" s="380">
        <f>U32*2</f>
        <v>4200000</v>
      </c>
      <c r="W32" s="333">
        <f t="shared" si="7"/>
        <v>42472</v>
      </c>
      <c r="X32" s="383"/>
    </row>
    <row r="33" spans="1:24" s="237" customFormat="1" ht="60" customHeight="1">
      <c r="A33" s="332">
        <v>22</v>
      </c>
      <c r="B33" s="1210">
        <v>42513</v>
      </c>
      <c r="C33" s="1211"/>
      <c r="D33" s="334" t="s">
        <v>185</v>
      </c>
      <c r="E33" s="335"/>
      <c r="F33" s="336" t="s">
        <v>114</v>
      </c>
      <c r="G33" s="333">
        <v>42425</v>
      </c>
      <c r="H33" s="337" t="s">
        <v>75</v>
      </c>
      <c r="I33" s="362" t="s">
        <v>186</v>
      </c>
      <c r="J33" s="364">
        <v>194940000</v>
      </c>
      <c r="K33" s="336" t="s">
        <v>187</v>
      </c>
      <c r="L33" s="365">
        <v>42513</v>
      </c>
      <c r="M33" s="363"/>
      <c r="N33" s="363"/>
      <c r="O33" s="333">
        <f t="shared" si="9"/>
        <v>42513</v>
      </c>
      <c r="P33" s="335"/>
      <c r="Q33" s="335"/>
      <c r="R33" s="376" t="s">
        <v>24</v>
      </c>
      <c r="S33" s="377" t="str">
        <f t="shared" ref="S33:U34" si="10">H33</f>
        <v>1 unit</v>
      </c>
      <c r="T33" s="382" t="str">
        <f t="shared" si="10"/>
        <v>Mobil Toyota New Grand Avanza Veloz 1.3 M/T Vin 2016</v>
      </c>
      <c r="U33" s="379">
        <f t="shared" si="10"/>
        <v>194940000</v>
      </c>
      <c r="V33" s="380">
        <f>U33*1</f>
        <v>194940000</v>
      </c>
      <c r="W33" s="333">
        <f t="shared" si="7"/>
        <v>42513</v>
      </c>
      <c r="X33" s="384"/>
    </row>
    <row r="34" spans="1:24" s="237" customFormat="1" ht="55.5" customHeight="1">
      <c r="A34" s="332">
        <v>23</v>
      </c>
      <c r="B34" s="1210">
        <v>42513</v>
      </c>
      <c r="C34" s="1211"/>
      <c r="D34" s="334" t="s">
        <v>185</v>
      </c>
      <c r="E34" s="335"/>
      <c r="F34" s="336" t="s">
        <v>114</v>
      </c>
      <c r="G34" s="333">
        <v>42425</v>
      </c>
      <c r="H34" s="337" t="s">
        <v>75</v>
      </c>
      <c r="I34" s="362" t="s">
        <v>188</v>
      </c>
      <c r="J34" s="364">
        <v>190740000</v>
      </c>
      <c r="K34" s="336" t="s">
        <v>187</v>
      </c>
      <c r="L34" s="365">
        <v>42513</v>
      </c>
      <c r="M34" s="363"/>
      <c r="N34" s="363"/>
      <c r="O34" s="333">
        <f t="shared" si="9"/>
        <v>42513</v>
      </c>
      <c r="P34" s="335"/>
      <c r="Q34" s="335"/>
      <c r="R34" s="376" t="s">
        <v>24</v>
      </c>
      <c r="S34" s="377" t="str">
        <f t="shared" si="10"/>
        <v>1 unit</v>
      </c>
      <c r="T34" s="382" t="str">
        <f t="shared" si="10"/>
        <v>Mobil Toyota All New Hilux Single Cabin STD M/T Bensin Vin 2016</v>
      </c>
      <c r="U34" s="379">
        <f t="shared" si="10"/>
        <v>190740000</v>
      </c>
      <c r="V34" s="380">
        <f>U34*1</f>
        <v>190740000</v>
      </c>
      <c r="W34" s="333">
        <f t="shared" si="7"/>
        <v>42513</v>
      </c>
      <c r="X34" s="384"/>
    </row>
    <row r="35" spans="1:24">
      <c r="A35" s="344"/>
      <c r="B35" s="1212"/>
      <c r="C35" s="1213"/>
      <c r="D35" s="345"/>
      <c r="E35" s="345"/>
      <c r="F35" s="345"/>
      <c r="G35" s="345"/>
      <c r="H35" s="346"/>
      <c r="I35" s="366"/>
      <c r="J35" s="367"/>
      <c r="K35" s="345"/>
      <c r="L35" s="345"/>
      <c r="M35" s="345"/>
      <c r="N35" s="346"/>
      <c r="O35" s="346"/>
      <c r="P35" s="346"/>
      <c r="Q35" s="346"/>
      <c r="R35" s="345"/>
      <c r="S35" s="346"/>
      <c r="T35" s="366"/>
      <c r="U35" s="367"/>
      <c r="V35" s="385"/>
      <c r="W35" s="346"/>
      <c r="X35" s="386"/>
    </row>
    <row r="36" spans="1:24" ht="15.75">
      <c r="A36" s="243"/>
      <c r="B36" s="1208"/>
      <c r="C36" s="1207"/>
      <c r="D36" s="244"/>
      <c r="E36" s="244"/>
      <c r="F36" s="244"/>
      <c r="G36" s="244"/>
      <c r="H36" s="242"/>
      <c r="I36" s="241"/>
      <c r="J36" s="368"/>
      <c r="K36" s="243"/>
      <c r="L36" s="243"/>
      <c r="M36" s="243"/>
      <c r="N36" s="243"/>
      <c r="O36" s="243"/>
      <c r="P36" s="243"/>
      <c r="Q36" s="244"/>
      <c r="R36" s="244"/>
      <c r="S36" s="242"/>
      <c r="T36" s="241"/>
      <c r="U36" s="368"/>
      <c r="V36" s="387"/>
      <c r="W36" s="244"/>
      <c r="X36" s="244"/>
    </row>
    <row r="37" spans="1:24" ht="15.75">
      <c r="A37" s="243"/>
      <c r="B37" s="1207"/>
      <c r="C37" s="1207"/>
      <c r="D37" s="244"/>
      <c r="E37" s="244"/>
      <c r="F37" s="244"/>
      <c r="G37" s="244"/>
      <c r="H37" s="242"/>
      <c r="I37" s="241"/>
      <c r="J37" s="368"/>
      <c r="K37" s="243"/>
      <c r="L37" s="243"/>
      <c r="M37" s="243"/>
      <c r="N37" s="243"/>
      <c r="O37" s="243"/>
      <c r="P37" s="243"/>
      <c r="Q37" s="244"/>
      <c r="R37" s="244"/>
      <c r="S37" s="242"/>
      <c r="T37" s="241"/>
      <c r="U37" s="368"/>
      <c r="V37" s="387"/>
      <c r="W37" s="244"/>
      <c r="X37" s="244"/>
    </row>
    <row r="38" spans="1:24" ht="15.75">
      <c r="A38" s="243"/>
      <c r="B38" s="1208"/>
      <c r="C38" s="1207"/>
      <c r="D38" s="244"/>
      <c r="E38" s="244"/>
      <c r="F38" s="244"/>
      <c r="G38" s="244"/>
      <c r="H38" s="242"/>
      <c r="I38" s="245"/>
      <c r="J38" s="368"/>
      <c r="K38" s="243"/>
      <c r="L38" s="347"/>
      <c r="M38" s="243"/>
      <c r="N38" s="243"/>
      <c r="O38" s="243"/>
      <c r="P38" s="243"/>
      <c r="Q38" s="244"/>
      <c r="R38" s="244"/>
      <c r="S38" s="242"/>
      <c r="T38" s="245"/>
      <c r="U38" s="368"/>
      <c r="V38" s="387"/>
      <c r="W38" s="244"/>
      <c r="X38" s="244"/>
    </row>
    <row r="39" spans="1:24" ht="15.75">
      <c r="A39" s="243"/>
      <c r="B39" s="1207"/>
      <c r="C39" s="1207"/>
      <c r="D39" s="244"/>
      <c r="E39" s="244"/>
      <c r="F39" s="244"/>
      <c r="G39" s="244"/>
      <c r="H39" s="242"/>
      <c r="I39" s="245"/>
      <c r="J39" s="368"/>
      <c r="K39" s="243"/>
      <c r="L39" s="243"/>
      <c r="M39" s="243"/>
      <c r="N39" s="243"/>
      <c r="O39" s="243"/>
      <c r="P39" s="243"/>
      <c r="Q39" s="244"/>
      <c r="R39" s="244"/>
      <c r="S39" s="1209" t="s">
        <v>117</v>
      </c>
      <c r="T39" s="1209"/>
      <c r="U39" s="1209"/>
      <c r="V39" s="387"/>
      <c r="W39" s="244"/>
      <c r="X39" s="244"/>
    </row>
    <row r="40" spans="1:24" ht="15.75">
      <c r="A40" s="243"/>
      <c r="B40" s="1207"/>
      <c r="C40" s="1207"/>
      <c r="D40" s="244"/>
      <c r="E40" s="244"/>
      <c r="F40" s="244"/>
      <c r="G40" s="244"/>
      <c r="H40" s="242"/>
      <c r="I40" s="245"/>
      <c r="J40" s="368"/>
      <c r="K40" s="243"/>
      <c r="L40" s="243"/>
      <c r="M40" s="243"/>
      <c r="N40" s="243"/>
      <c r="O40" s="243"/>
      <c r="P40" s="243"/>
      <c r="Q40" s="244"/>
      <c r="R40" s="244"/>
      <c r="S40" s="242"/>
      <c r="T40" s="245"/>
      <c r="U40" s="368"/>
      <c r="V40" s="387"/>
      <c r="W40" s="244"/>
      <c r="X40" s="244"/>
    </row>
    <row r="41" spans="1:24" ht="15.75">
      <c r="A41" s="243"/>
      <c r="B41" s="1207"/>
      <c r="C41" s="1207"/>
      <c r="D41" s="244"/>
      <c r="E41" s="244"/>
      <c r="F41" s="244"/>
      <c r="G41" s="244"/>
      <c r="H41" s="242"/>
      <c r="I41" s="245"/>
      <c r="J41" s="368"/>
      <c r="K41" s="243"/>
      <c r="L41" s="243"/>
      <c r="M41" s="243"/>
      <c r="N41" s="243"/>
      <c r="O41" s="243"/>
      <c r="P41" s="243"/>
      <c r="Q41" s="244"/>
      <c r="R41" s="244"/>
      <c r="S41" s="242"/>
      <c r="T41" s="242" t="s">
        <v>118</v>
      </c>
      <c r="U41" s="368"/>
      <c r="V41" s="387"/>
      <c r="W41" s="244"/>
      <c r="X41" s="244"/>
    </row>
    <row r="42" spans="1:24" ht="15.75">
      <c r="A42" s="243"/>
      <c r="B42" s="1207"/>
      <c r="C42" s="1207"/>
      <c r="D42" s="244"/>
      <c r="E42" s="244"/>
      <c r="F42" s="244"/>
      <c r="G42" s="244"/>
      <c r="H42" s="242"/>
      <c r="I42" s="245"/>
      <c r="J42" s="368"/>
      <c r="K42" s="243"/>
      <c r="L42" s="243"/>
      <c r="M42" s="243"/>
      <c r="N42" s="243"/>
      <c r="O42" s="243"/>
      <c r="P42" s="243"/>
      <c r="Q42" s="244"/>
      <c r="R42" s="244"/>
      <c r="S42" s="242"/>
      <c r="T42" s="245"/>
      <c r="U42" s="368"/>
      <c r="V42" s="387"/>
      <c r="W42" s="244"/>
      <c r="X42" s="244"/>
    </row>
    <row r="43" spans="1:24" ht="15.75">
      <c r="A43" s="243"/>
      <c r="B43" s="1207"/>
      <c r="C43" s="1207"/>
      <c r="D43" s="244"/>
      <c r="E43" s="244"/>
      <c r="F43" s="244"/>
      <c r="G43" s="244"/>
      <c r="H43" s="242"/>
      <c r="I43" s="245"/>
      <c r="J43" s="368"/>
      <c r="K43" s="243"/>
      <c r="L43" s="243"/>
      <c r="M43" s="243"/>
      <c r="N43" s="243"/>
      <c r="O43" s="243"/>
      <c r="P43" s="243"/>
      <c r="Q43" s="244"/>
      <c r="R43" s="244"/>
      <c r="S43" s="242"/>
      <c r="T43" s="245"/>
      <c r="U43" s="368"/>
      <c r="V43" s="387"/>
      <c r="W43" s="244"/>
      <c r="X43" s="244"/>
    </row>
    <row r="44" spans="1:24" ht="15.75">
      <c r="A44" s="243"/>
      <c r="B44" s="1207"/>
      <c r="C44" s="1207"/>
      <c r="D44" s="244"/>
      <c r="E44" s="244"/>
      <c r="F44" s="244"/>
      <c r="G44" s="244"/>
      <c r="H44" s="242"/>
      <c r="I44" s="245"/>
      <c r="J44" s="368"/>
      <c r="K44" s="243"/>
      <c r="L44" s="243"/>
      <c r="M44" s="243"/>
      <c r="N44" s="243"/>
      <c r="O44" s="243"/>
      <c r="P44" s="243"/>
      <c r="Q44" s="244"/>
      <c r="R44" s="244"/>
      <c r="S44" s="242"/>
      <c r="T44" s="245"/>
      <c r="U44" s="368"/>
      <c r="V44" s="387"/>
      <c r="W44" s="244"/>
      <c r="X44" s="244"/>
    </row>
    <row r="45" spans="1:24" ht="15.75">
      <c r="A45" s="243"/>
      <c r="B45" s="1207"/>
      <c r="C45" s="1207"/>
      <c r="D45" s="244"/>
      <c r="E45" s="244"/>
      <c r="F45" s="244"/>
      <c r="G45" s="244"/>
      <c r="H45" s="242"/>
      <c r="I45" s="245"/>
      <c r="J45" s="368"/>
      <c r="K45" s="243"/>
      <c r="L45" s="243"/>
      <c r="M45" s="243"/>
      <c r="N45" s="243"/>
      <c r="O45" s="243"/>
      <c r="P45" s="243"/>
      <c r="Q45" s="244"/>
      <c r="R45" s="244"/>
      <c r="S45" s="242"/>
      <c r="T45" s="245"/>
      <c r="U45" s="368"/>
      <c r="V45" s="387"/>
      <c r="W45" s="244"/>
      <c r="X45" s="244"/>
    </row>
    <row r="46" spans="1:24" ht="15.75">
      <c r="A46" s="243"/>
      <c r="B46" s="1207"/>
      <c r="C46" s="1207"/>
      <c r="D46" s="244"/>
      <c r="E46" s="244"/>
      <c r="F46" s="244"/>
      <c r="G46" s="244"/>
      <c r="H46" s="242"/>
      <c r="I46" s="245"/>
      <c r="J46" s="368"/>
      <c r="K46" s="243"/>
      <c r="L46" s="243"/>
      <c r="M46" s="243"/>
      <c r="N46" s="243"/>
      <c r="O46" s="243"/>
      <c r="P46" s="243"/>
      <c r="Q46" s="244"/>
      <c r="R46" s="244"/>
      <c r="S46" s="242"/>
      <c r="T46" s="388" t="s">
        <v>119</v>
      </c>
      <c r="U46" s="368"/>
      <c r="V46" s="387"/>
      <c r="W46" s="244"/>
      <c r="X46" s="244"/>
    </row>
    <row r="47" spans="1:24" ht="15.75">
      <c r="A47" s="243"/>
      <c r="B47" s="1207"/>
      <c r="C47" s="1207"/>
      <c r="D47" s="244"/>
      <c r="E47" s="244"/>
      <c r="F47" s="244"/>
      <c r="G47" s="244"/>
      <c r="H47" s="242"/>
      <c r="I47" s="245"/>
      <c r="J47" s="368"/>
      <c r="K47" s="243"/>
      <c r="L47" s="243"/>
      <c r="M47" s="243"/>
      <c r="N47" s="243"/>
      <c r="O47" s="243"/>
      <c r="P47" s="243"/>
      <c r="Q47" s="244"/>
      <c r="R47" s="244"/>
      <c r="S47" s="242"/>
      <c r="T47" s="242" t="s">
        <v>189</v>
      </c>
      <c r="U47" s="368"/>
      <c r="V47" s="387"/>
      <c r="W47" s="244"/>
      <c r="X47" s="244"/>
    </row>
    <row r="48" spans="1:24" ht="15.75">
      <c r="A48" s="243"/>
      <c r="B48" s="1207"/>
      <c r="C48" s="1207"/>
      <c r="D48" s="244"/>
      <c r="E48" s="244"/>
      <c r="F48" s="244"/>
      <c r="G48" s="244"/>
      <c r="H48" s="242"/>
      <c r="I48" s="245"/>
      <c r="J48" s="368"/>
      <c r="K48" s="243"/>
      <c r="L48" s="243"/>
      <c r="M48" s="243"/>
      <c r="N48" s="243"/>
      <c r="O48" s="243"/>
      <c r="P48" s="243"/>
      <c r="Q48" s="244"/>
      <c r="R48" s="244"/>
      <c r="S48" s="242"/>
      <c r="T48" s="245"/>
      <c r="U48" s="368"/>
      <c r="V48" s="387"/>
      <c r="W48" s="244"/>
      <c r="X48" s="244"/>
    </row>
    <row r="49" spans="1:24" ht="15.75">
      <c r="A49" s="243"/>
      <c r="B49" s="1208"/>
      <c r="C49" s="1207"/>
      <c r="D49" s="244"/>
      <c r="E49" s="244"/>
      <c r="F49" s="244"/>
      <c r="G49" s="244"/>
      <c r="H49" s="242"/>
      <c r="I49" s="245"/>
      <c r="J49" s="368"/>
      <c r="K49" s="243"/>
      <c r="L49" s="243"/>
      <c r="M49" s="243"/>
      <c r="N49" s="243"/>
      <c r="O49" s="243"/>
      <c r="P49" s="243"/>
      <c r="Q49" s="244"/>
      <c r="R49" s="244"/>
      <c r="S49" s="242"/>
      <c r="T49" s="245"/>
      <c r="U49" s="368"/>
      <c r="V49" s="387"/>
      <c r="W49" s="244"/>
      <c r="X49" s="244"/>
    </row>
    <row r="50" spans="1:24" ht="15.75">
      <c r="A50" s="243"/>
      <c r="B50" s="1208"/>
      <c r="C50" s="1207"/>
      <c r="D50" s="244"/>
      <c r="E50" s="244"/>
      <c r="F50" s="244"/>
      <c r="G50" s="244"/>
      <c r="H50" s="242"/>
      <c r="I50" s="245"/>
      <c r="J50" s="368"/>
      <c r="K50" s="243"/>
      <c r="L50" s="347"/>
      <c r="M50" s="243"/>
      <c r="N50" s="243"/>
      <c r="O50" s="243"/>
      <c r="P50" s="243"/>
      <c r="Q50" s="244"/>
      <c r="R50" s="244"/>
      <c r="S50" s="242"/>
      <c r="T50" s="245"/>
      <c r="U50" s="368"/>
      <c r="V50" s="387"/>
      <c r="W50" s="244"/>
      <c r="X50" s="244"/>
    </row>
    <row r="51" spans="1:24" ht="15.75">
      <c r="A51" s="243"/>
      <c r="B51" s="1207"/>
      <c r="C51" s="1207"/>
      <c r="D51" s="244"/>
      <c r="E51" s="244"/>
      <c r="F51" s="244"/>
      <c r="G51" s="244"/>
      <c r="H51" s="242"/>
      <c r="I51" s="245"/>
      <c r="J51" s="368"/>
      <c r="K51" s="243"/>
      <c r="L51" s="243"/>
      <c r="M51" s="243"/>
      <c r="N51" s="243"/>
      <c r="O51" s="243"/>
      <c r="P51" s="243"/>
      <c r="Q51" s="244"/>
      <c r="R51" s="244"/>
      <c r="S51" s="242"/>
      <c r="T51" s="245"/>
      <c r="U51" s="368"/>
      <c r="V51" s="387"/>
      <c r="W51" s="244"/>
      <c r="X51" s="244"/>
    </row>
    <row r="52" spans="1:24" ht="15.75">
      <c r="A52" s="243"/>
      <c r="B52" s="1207"/>
      <c r="C52" s="1207"/>
      <c r="D52" s="244"/>
      <c r="E52" s="244"/>
      <c r="F52" s="244"/>
      <c r="G52" s="244"/>
      <c r="H52" s="242"/>
      <c r="I52" s="245"/>
      <c r="J52" s="368"/>
      <c r="K52" s="243"/>
      <c r="L52" s="243"/>
      <c r="M52" s="243"/>
      <c r="N52" s="243"/>
      <c r="O52" s="243"/>
      <c r="P52" s="243"/>
      <c r="Q52" s="244"/>
      <c r="R52" s="244"/>
      <c r="S52" s="242"/>
      <c r="T52" s="245"/>
      <c r="U52" s="368"/>
      <c r="V52" s="387"/>
      <c r="W52" s="244"/>
      <c r="X52" s="244"/>
    </row>
    <row r="53" spans="1:24" ht="15.75">
      <c r="A53" s="243"/>
      <c r="B53" s="1207"/>
      <c r="C53" s="1207"/>
      <c r="D53" s="244"/>
      <c r="E53" s="244"/>
      <c r="F53" s="244"/>
      <c r="G53" s="244"/>
      <c r="H53" s="242"/>
      <c r="I53" s="245"/>
      <c r="J53" s="368"/>
      <c r="K53" s="243"/>
      <c r="L53" s="243"/>
      <c r="M53" s="243"/>
      <c r="N53" s="243"/>
      <c r="O53" s="243"/>
      <c r="P53" s="243"/>
      <c r="Q53" s="244"/>
      <c r="R53" s="244"/>
      <c r="S53" s="242"/>
      <c r="T53" s="245"/>
      <c r="U53" s="368"/>
      <c r="V53" s="387"/>
      <c r="W53" s="244"/>
      <c r="X53" s="244"/>
    </row>
    <row r="54" spans="1:24" ht="15.75">
      <c r="A54" s="243"/>
      <c r="B54" s="1207"/>
      <c r="C54" s="1207"/>
      <c r="D54" s="244"/>
      <c r="E54" s="244"/>
      <c r="F54" s="244"/>
      <c r="G54" s="244"/>
      <c r="H54" s="242"/>
      <c r="I54" s="245"/>
      <c r="J54" s="368"/>
      <c r="K54" s="243"/>
      <c r="L54" s="243"/>
      <c r="M54" s="243"/>
      <c r="N54" s="243"/>
      <c r="O54" s="243"/>
      <c r="P54" s="243"/>
      <c r="Q54" s="244"/>
      <c r="R54" s="389"/>
      <c r="S54" s="242"/>
      <c r="T54" s="245"/>
      <c r="U54" s="368"/>
      <c r="V54" s="387"/>
      <c r="W54" s="244"/>
      <c r="X54" s="244"/>
    </row>
    <row r="55" spans="1:24" ht="15.75">
      <c r="A55" s="243"/>
      <c r="B55" s="1207"/>
      <c r="C55" s="1207"/>
      <c r="D55" s="244"/>
      <c r="E55" s="244"/>
      <c r="F55" s="244"/>
      <c r="G55" s="244"/>
      <c r="H55" s="242"/>
      <c r="I55" s="245"/>
      <c r="J55" s="368"/>
      <c r="K55" s="243"/>
      <c r="L55" s="243"/>
      <c r="M55" s="243"/>
      <c r="N55" s="243"/>
      <c r="O55" s="243"/>
      <c r="P55" s="243"/>
      <c r="Q55" s="244"/>
      <c r="R55" s="390"/>
      <c r="S55" s="242"/>
      <c r="T55" s="245"/>
      <c r="U55" s="368"/>
      <c r="V55" s="387"/>
      <c r="W55" s="244"/>
      <c r="X55" s="244"/>
    </row>
    <row r="56" spans="1:24" ht="15.75">
      <c r="A56" s="243"/>
      <c r="B56" s="1207"/>
      <c r="C56" s="1207"/>
      <c r="D56" s="244"/>
      <c r="E56" s="244"/>
      <c r="F56" s="244"/>
      <c r="G56" s="244"/>
      <c r="H56" s="242"/>
      <c r="I56" s="245"/>
      <c r="J56" s="368"/>
      <c r="K56" s="243"/>
      <c r="L56" s="243"/>
      <c r="M56" s="243"/>
      <c r="N56" s="243"/>
      <c r="O56" s="243"/>
      <c r="P56" s="243"/>
      <c r="Q56" s="244"/>
      <c r="R56" s="244"/>
      <c r="S56" s="242"/>
      <c r="T56" s="245"/>
      <c r="U56" s="368"/>
      <c r="V56" s="387"/>
      <c r="W56" s="244"/>
      <c r="X56" s="244"/>
    </row>
    <row r="57" spans="1:24" ht="15.75">
      <c r="A57" s="243"/>
      <c r="B57" s="1207"/>
      <c r="C57" s="1207"/>
      <c r="D57" s="244"/>
      <c r="E57" s="244"/>
      <c r="F57" s="244"/>
      <c r="G57" s="244"/>
      <c r="H57" s="242"/>
      <c r="I57" s="245"/>
      <c r="J57" s="368"/>
      <c r="K57" s="243"/>
      <c r="L57" s="243"/>
      <c r="M57" s="243"/>
      <c r="N57" s="243"/>
      <c r="O57" s="243"/>
      <c r="P57" s="243"/>
      <c r="Q57" s="244"/>
      <c r="R57" s="244"/>
      <c r="S57" s="242"/>
      <c r="T57" s="245"/>
      <c r="U57" s="368"/>
      <c r="V57" s="387"/>
      <c r="W57" s="244"/>
      <c r="X57" s="244"/>
    </row>
    <row r="58" spans="1:24">
      <c r="A58" s="243"/>
      <c r="B58" s="1207"/>
      <c r="C58" s="1207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</row>
    <row r="59" spans="1:24" ht="15.75">
      <c r="A59" s="243"/>
      <c r="B59" s="1207"/>
      <c r="C59" s="1207"/>
      <c r="D59" s="244"/>
      <c r="E59" s="244"/>
      <c r="F59" s="244"/>
      <c r="G59" s="244"/>
      <c r="H59" s="242"/>
      <c r="I59" s="245"/>
      <c r="J59" s="368"/>
      <c r="K59" s="243"/>
      <c r="L59" s="243"/>
      <c r="M59" s="243"/>
      <c r="N59" s="243"/>
      <c r="O59" s="243"/>
      <c r="P59" s="243"/>
      <c r="Q59" s="244"/>
      <c r="R59" s="244"/>
      <c r="S59" s="242"/>
      <c r="T59" s="245"/>
      <c r="U59" s="368"/>
      <c r="V59" s="387"/>
      <c r="W59" s="244"/>
      <c r="X59" s="244"/>
    </row>
    <row r="60" spans="1:24" ht="15.75">
      <c r="A60" s="243"/>
      <c r="B60" s="1207"/>
      <c r="C60" s="1207"/>
      <c r="D60" s="244"/>
      <c r="E60" s="244"/>
      <c r="F60" s="244"/>
      <c r="G60" s="244"/>
      <c r="H60" s="242"/>
      <c r="I60" s="245"/>
      <c r="J60" s="368"/>
      <c r="K60" s="243"/>
      <c r="L60" s="243"/>
      <c r="M60" s="243"/>
      <c r="N60" s="243"/>
      <c r="O60" s="243"/>
      <c r="P60" s="243"/>
      <c r="Q60" s="244"/>
      <c r="R60" s="244"/>
      <c r="S60" s="242"/>
      <c r="T60" s="245"/>
      <c r="U60" s="368"/>
      <c r="V60" s="387"/>
      <c r="W60" s="244"/>
      <c r="X60" s="244"/>
    </row>
    <row r="61" spans="1:24" ht="15.75">
      <c r="A61" s="243"/>
      <c r="B61" s="1207"/>
      <c r="C61" s="1207"/>
      <c r="D61" s="244"/>
      <c r="E61" s="244"/>
      <c r="F61" s="244"/>
      <c r="G61" s="244"/>
      <c r="H61" s="242"/>
      <c r="I61" s="245"/>
      <c r="J61" s="368"/>
      <c r="K61" s="243"/>
      <c r="L61" s="243"/>
      <c r="M61" s="243"/>
      <c r="N61" s="243"/>
      <c r="O61" s="243"/>
      <c r="P61" s="243"/>
      <c r="Q61" s="244"/>
      <c r="R61" s="244"/>
      <c r="S61" s="242"/>
      <c r="T61" s="245"/>
      <c r="U61" s="368"/>
      <c r="V61" s="387"/>
      <c r="W61" s="244"/>
      <c r="X61" s="244"/>
    </row>
    <row r="62" spans="1:24" ht="15.75">
      <c r="A62" s="243"/>
      <c r="B62" s="1207"/>
      <c r="C62" s="1207"/>
      <c r="D62" s="244"/>
      <c r="E62" s="244"/>
      <c r="F62" s="244"/>
      <c r="G62" s="244"/>
      <c r="H62" s="242"/>
      <c r="I62" s="245"/>
      <c r="J62" s="368"/>
      <c r="K62" s="243"/>
      <c r="L62" s="243"/>
      <c r="M62" s="243"/>
      <c r="N62" s="243"/>
      <c r="O62" s="243"/>
      <c r="P62" s="243"/>
      <c r="Q62" s="244"/>
      <c r="R62" s="244"/>
      <c r="S62" s="242"/>
      <c r="T62" s="245"/>
      <c r="U62" s="368"/>
      <c r="V62" s="387"/>
      <c r="W62" s="244"/>
      <c r="X62" s="244"/>
    </row>
    <row r="63" spans="1:24" ht="15">
      <c r="A63" s="237"/>
      <c r="B63" s="1206"/>
      <c r="C63" s="1202"/>
      <c r="H63" s="349"/>
      <c r="I63" s="369"/>
      <c r="J63" s="370"/>
      <c r="K63" s="237"/>
      <c r="L63" s="348"/>
      <c r="M63" s="237"/>
      <c r="N63" s="237"/>
      <c r="O63" s="237"/>
      <c r="P63" s="237"/>
      <c r="S63" s="349"/>
      <c r="T63" s="369"/>
      <c r="U63" s="370"/>
      <c r="V63" s="391"/>
    </row>
    <row r="64" spans="1:24" ht="15">
      <c r="A64" s="237"/>
      <c r="B64" s="1202"/>
      <c r="C64" s="1202"/>
      <c r="H64" s="349"/>
      <c r="I64" s="369"/>
      <c r="J64" s="370"/>
      <c r="K64" s="237"/>
      <c r="L64" s="237"/>
      <c r="M64" s="237"/>
      <c r="N64" s="237"/>
      <c r="O64" s="237"/>
      <c r="P64" s="237"/>
      <c r="S64" s="349"/>
      <c r="T64" s="369"/>
      <c r="U64" s="370"/>
      <c r="V64" s="391"/>
    </row>
    <row r="65" spans="1:22" ht="15">
      <c r="A65" s="237"/>
      <c r="B65" s="1202"/>
      <c r="C65" s="1202"/>
      <c r="H65" s="349"/>
      <c r="I65" s="369"/>
      <c r="J65" s="370"/>
      <c r="K65" s="237"/>
      <c r="L65" s="237"/>
      <c r="M65" s="237"/>
      <c r="N65" s="237"/>
      <c r="O65" s="237"/>
      <c r="P65" s="237"/>
      <c r="S65" s="349"/>
      <c r="T65" s="369"/>
      <c r="U65" s="370"/>
      <c r="V65" s="391"/>
    </row>
    <row r="66" spans="1:22" ht="15">
      <c r="A66" s="237"/>
      <c r="B66" s="1202"/>
      <c r="C66" s="1202"/>
      <c r="H66" s="349"/>
      <c r="I66" s="369"/>
      <c r="J66" s="370"/>
      <c r="K66" s="237"/>
      <c r="L66" s="237"/>
      <c r="M66" s="237"/>
      <c r="N66" s="237"/>
      <c r="O66" s="237"/>
      <c r="P66" s="237"/>
      <c r="S66" s="349"/>
      <c r="T66" s="369"/>
      <c r="U66" s="370"/>
      <c r="V66" s="391"/>
    </row>
    <row r="67" spans="1:22" ht="15">
      <c r="A67" s="237"/>
      <c r="B67" s="1202"/>
      <c r="C67" s="1202"/>
      <c r="H67" s="349"/>
      <c r="I67" s="369"/>
      <c r="J67" s="370"/>
      <c r="K67" s="237"/>
      <c r="L67" s="237"/>
      <c r="M67" s="237"/>
      <c r="N67" s="237"/>
      <c r="O67" s="237"/>
      <c r="P67" s="237"/>
      <c r="S67" s="349"/>
      <c r="T67" s="369"/>
      <c r="U67" s="370"/>
      <c r="V67" s="391"/>
    </row>
    <row r="68" spans="1:22" ht="15">
      <c r="A68" s="237"/>
      <c r="B68" s="1202"/>
      <c r="C68" s="1202"/>
      <c r="H68" s="349"/>
      <c r="I68" s="369"/>
      <c r="J68" s="370"/>
      <c r="K68" s="237"/>
      <c r="L68" s="237"/>
      <c r="M68" s="237"/>
      <c r="N68" s="237"/>
      <c r="O68" s="237"/>
      <c r="P68" s="237"/>
      <c r="S68" s="349"/>
      <c r="T68" s="369"/>
      <c r="U68" s="370"/>
      <c r="V68" s="391"/>
    </row>
    <row r="69" spans="1:22" ht="15">
      <c r="A69" s="237"/>
      <c r="B69" s="1202"/>
      <c r="C69" s="1202"/>
      <c r="H69" s="349"/>
      <c r="I69" s="369"/>
      <c r="J69" s="370"/>
      <c r="N69" s="237"/>
      <c r="S69" s="349"/>
      <c r="T69" s="369"/>
      <c r="U69" s="370"/>
      <c r="V69" s="391"/>
    </row>
    <row r="70" spans="1:22" ht="15">
      <c r="A70" s="237"/>
      <c r="B70" s="1206"/>
      <c r="C70" s="1202"/>
      <c r="H70" s="349"/>
      <c r="I70" s="393"/>
      <c r="J70" s="370"/>
      <c r="N70" s="237"/>
      <c r="S70" s="349"/>
      <c r="T70" s="393"/>
      <c r="U70" s="370"/>
      <c r="V70" s="391"/>
    </row>
    <row r="71" spans="1:22" ht="15">
      <c r="A71" s="237"/>
      <c r="B71" s="1206"/>
      <c r="C71" s="1202"/>
      <c r="H71" s="349"/>
      <c r="I71" s="393"/>
      <c r="J71" s="370"/>
      <c r="N71" s="237"/>
      <c r="S71" s="349"/>
      <c r="T71" s="393"/>
      <c r="U71" s="370"/>
      <c r="V71" s="391"/>
    </row>
    <row r="72" spans="1:22" ht="15">
      <c r="A72" s="237"/>
      <c r="B72" s="1202"/>
      <c r="C72" s="1202"/>
      <c r="H72" s="349"/>
      <c r="I72" s="393"/>
      <c r="J72" s="370"/>
      <c r="N72" s="237"/>
      <c r="S72" s="349"/>
      <c r="T72" s="393"/>
      <c r="U72" s="370"/>
      <c r="V72" s="391"/>
    </row>
    <row r="73" spans="1:22" ht="15">
      <c r="A73" s="237"/>
      <c r="B73" s="1206"/>
      <c r="C73" s="1202"/>
      <c r="H73" s="349"/>
      <c r="I73" s="393"/>
      <c r="J73" s="370"/>
      <c r="N73" s="237"/>
      <c r="S73" s="349"/>
      <c r="T73" s="393"/>
      <c r="U73" s="370"/>
      <c r="V73" s="391"/>
    </row>
    <row r="74" spans="1:22" ht="15">
      <c r="A74" s="237"/>
      <c r="B74" s="1202"/>
      <c r="C74" s="1202"/>
      <c r="H74" s="349"/>
      <c r="I74" s="393"/>
      <c r="J74" s="370"/>
      <c r="N74" s="237"/>
      <c r="S74" s="349"/>
      <c r="T74" s="393"/>
      <c r="U74" s="370"/>
      <c r="V74" s="391"/>
    </row>
    <row r="75" spans="1:22" ht="15">
      <c r="A75" s="237"/>
      <c r="B75" s="1202"/>
      <c r="C75" s="1202"/>
      <c r="H75" s="349"/>
      <c r="I75" s="393"/>
      <c r="J75" s="370"/>
      <c r="N75" s="237"/>
      <c r="S75" s="349"/>
      <c r="T75" s="393"/>
      <c r="U75" s="370"/>
      <c r="V75" s="391"/>
    </row>
    <row r="76" spans="1:22" ht="15">
      <c r="A76" s="237"/>
      <c r="B76" s="1206"/>
      <c r="C76" s="1202"/>
      <c r="H76" s="349"/>
      <c r="I76" s="369"/>
      <c r="J76" s="370"/>
      <c r="L76" s="348"/>
      <c r="N76" s="237"/>
      <c r="S76" s="349"/>
      <c r="T76" s="369"/>
      <c r="U76" s="370"/>
      <c r="V76" s="391"/>
    </row>
    <row r="77" spans="1:22" ht="15">
      <c r="A77" s="237"/>
      <c r="B77" s="1202"/>
      <c r="C77" s="1202"/>
      <c r="H77" s="349"/>
      <c r="I77" s="369"/>
      <c r="J77" s="370"/>
      <c r="N77" s="237"/>
      <c r="S77" s="349"/>
      <c r="T77" s="369"/>
      <c r="U77" s="370"/>
      <c r="V77" s="391"/>
    </row>
    <row r="78" spans="1:22" ht="15">
      <c r="A78" s="237"/>
      <c r="B78" s="1202"/>
      <c r="C78" s="1202"/>
      <c r="H78" s="349"/>
      <c r="I78" s="369"/>
      <c r="J78" s="370"/>
      <c r="N78" s="237"/>
      <c r="S78" s="349"/>
      <c r="T78" s="369"/>
      <c r="U78" s="370"/>
      <c r="V78" s="391"/>
    </row>
    <row r="79" spans="1:22" ht="15">
      <c r="A79" s="237"/>
      <c r="B79" s="1202"/>
      <c r="C79" s="1202"/>
      <c r="H79" s="349"/>
      <c r="I79" s="369"/>
      <c r="J79" s="370"/>
      <c r="N79" s="237"/>
      <c r="S79" s="349"/>
      <c r="T79" s="369"/>
      <c r="U79" s="370"/>
      <c r="V79" s="391"/>
    </row>
    <row r="80" spans="1:22" ht="15">
      <c r="A80" s="237"/>
      <c r="B80" s="1202"/>
      <c r="C80" s="1202"/>
      <c r="H80" s="349"/>
      <c r="I80" s="369"/>
      <c r="J80" s="370"/>
      <c r="N80" s="237"/>
      <c r="S80" s="349"/>
      <c r="T80" s="369"/>
      <c r="U80" s="370"/>
      <c r="V80" s="391"/>
    </row>
    <row r="81" spans="1:22" ht="15">
      <c r="A81" s="237"/>
      <c r="B81" s="1202"/>
      <c r="C81" s="1202"/>
      <c r="H81" s="349"/>
      <c r="I81" s="369"/>
      <c r="J81" s="370"/>
      <c r="N81" s="237"/>
      <c r="S81" s="349"/>
      <c r="T81" s="369"/>
      <c r="U81" s="370"/>
      <c r="V81" s="391"/>
    </row>
    <row r="82" spans="1:22" ht="15">
      <c r="A82" s="237"/>
      <c r="B82" s="1206"/>
      <c r="C82" s="1202"/>
      <c r="H82" s="349"/>
      <c r="I82" s="369"/>
      <c r="J82" s="370"/>
      <c r="N82" s="237"/>
      <c r="S82" s="349"/>
      <c r="T82" s="369"/>
      <c r="U82" s="370"/>
      <c r="V82" s="391"/>
    </row>
    <row r="83" spans="1:22" ht="15">
      <c r="A83" s="237"/>
      <c r="B83" s="1202"/>
      <c r="C83" s="1202"/>
      <c r="H83" s="349"/>
      <c r="I83" s="369"/>
      <c r="J83" s="370"/>
      <c r="N83" s="237"/>
      <c r="S83" s="349"/>
      <c r="T83" s="369"/>
      <c r="U83" s="370"/>
      <c r="V83" s="391"/>
    </row>
    <row r="84" spans="1:22" ht="15">
      <c r="A84" s="237"/>
      <c r="B84" s="1202"/>
      <c r="C84" s="1202"/>
      <c r="H84" s="349"/>
      <c r="I84" s="369"/>
      <c r="J84" s="370"/>
      <c r="N84" s="237"/>
      <c r="S84" s="349"/>
      <c r="T84" s="369"/>
      <c r="U84" s="370"/>
      <c r="V84" s="391"/>
    </row>
    <row r="85" spans="1:22" ht="15">
      <c r="A85" s="237"/>
      <c r="B85" s="1202"/>
      <c r="C85" s="1202"/>
      <c r="H85" s="349"/>
      <c r="I85" s="369"/>
      <c r="J85" s="370"/>
      <c r="N85" s="237"/>
      <c r="S85" s="349"/>
      <c r="T85" s="369"/>
      <c r="U85" s="370"/>
      <c r="V85" s="391"/>
    </row>
    <row r="86" spans="1:22" ht="15">
      <c r="A86" s="237"/>
      <c r="B86" s="1202"/>
      <c r="C86" s="1202"/>
      <c r="H86" s="349"/>
      <c r="I86" s="369"/>
      <c r="J86" s="370"/>
      <c r="N86" s="237"/>
      <c r="S86" s="349"/>
      <c r="T86" s="369"/>
      <c r="U86" s="370"/>
      <c r="V86" s="395"/>
    </row>
    <row r="87" spans="1:22" ht="15">
      <c r="A87" s="237"/>
      <c r="B87" s="1202"/>
      <c r="C87" s="1202"/>
      <c r="H87" s="349"/>
      <c r="I87" s="369"/>
      <c r="J87" s="370"/>
      <c r="L87" s="394"/>
      <c r="N87" s="237"/>
      <c r="S87" s="349"/>
      <c r="T87" s="369"/>
      <c r="U87" s="370"/>
      <c r="V87" s="391"/>
    </row>
    <row r="88" spans="1:22" ht="15">
      <c r="A88" s="237"/>
      <c r="B88" s="1202"/>
      <c r="C88" s="1202"/>
      <c r="H88" s="349"/>
      <c r="I88" s="369"/>
      <c r="J88" s="370"/>
      <c r="N88" s="237"/>
      <c r="S88" s="349"/>
      <c r="T88" s="369"/>
      <c r="U88" s="370"/>
      <c r="V88" s="395"/>
    </row>
    <row r="89" spans="1:22" ht="15">
      <c r="A89" s="237"/>
      <c r="B89" s="1202"/>
      <c r="C89" s="1202"/>
      <c r="H89" s="349"/>
      <c r="I89" s="369"/>
      <c r="J89" s="370"/>
      <c r="N89" s="237"/>
      <c r="S89" s="349"/>
      <c r="T89" s="369"/>
      <c r="U89" s="370"/>
      <c r="V89" s="370"/>
    </row>
    <row r="90" spans="1:22" ht="15">
      <c r="A90" s="237"/>
      <c r="B90" s="1202"/>
      <c r="C90" s="1202"/>
      <c r="H90" s="349"/>
      <c r="I90" s="369"/>
      <c r="J90" s="370"/>
      <c r="N90" s="237"/>
      <c r="S90" s="349"/>
      <c r="T90" s="369"/>
      <c r="U90" s="370"/>
      <c r="V90" s="391"/>
    </row>
    <row r="91" spans="1:22" ht="15">
      <c r="A91" s="237"/>
      <c r="B91" s="1202"/>
      <c r="C91" s="1202"/>
      <c r="H91" s="349"/>
      <c r="I91" s="369"/>
      <c r="J91" s="370"/>
      <c r="N91" s="237"/>
      <c r="S91" s="349"/>
      <c r="T91" s="369"/>
      <c r="U91" s="370"/>
      <c r="V91" s="370"/>
    </row>
    <row r="92" spans="1:22" ht="15">
      <c r="A92" s="237"/>
      <c r="B92" s="1202"/>
      <c r="C92" s="1202"/>
      <c r="H92" s="349"/>
      <c r="I92" s="369"/>
      <c r="J92" s="370"/>
      <c r="N92" s="237"/>
      <c r="P92" s="237"/>
      <c r="Q92" s="237"/>
      <c r="S92" s="349"/>
      <c r="T92" s="369"/>
      <c r="U92" s="370"/>
      <c r="V92" s="391"/>
    </row>
    <row r="93" spans="1:22" ht="15">
      <c r="A93" s="237"/>
      <c r="B93" s="1202"/>
      <c r="C93" s="1202"/>
      <c r="H93" s="349"/>
      <c r="I93" s="369"/>
      <c r="J93" s="370"/>
      <c r="N93" s="237"/>
      <c r="P93" s="237"/>
      <c r="Q93" s="237"/>
      <c r="S93" s="349"/>
      <c r="T93" s="369"/>
      <c r="U93" s="370"/>
      <c r="V93" s="391"/>
    </row>
    <row r="94" spans="1:22" ht="15">
      <c r="A94" s="237"/>
      <c r="B94" s="1202"/>
      <c r="C94" s="1202"/>
      <c r="H94" s="349"/>
      <c r="I94" s="369"/>
      <c r="J94" s="370"/>
      <c r="N94" s="237"/>
      <c r="P94" s="237"/>
      <c r="Q94" s="237"/>
      <c r="S94" s="349"/>
      <c r="T94" s="369"/>
      <c r="U94" s="370"/>
      <c r="V94" s="391"/>
    </row>
    <row r="95" spans="1:22" ht="15">
      <c r="A95" s="237"/>
      <c r="B95" s="1206"/>
      <c r="C95" s="1202"/>
      <c r="H95" s="349"/>
      <c r="I95" s="369"/>
      <c r="J95" s="370"/>
      <c r="N95" s="237"/>
      <c r="P95" s="237"/>
      <c r="Q95" s="237"/>
      <c r="S95" s="349"/>
      <c r="T95" s="369"/>
      <c r="U95" s="370"/>
      <c r="V95" s="391"/>
    </row>
    <row r="96" spans="1:22" ht="15">
      <c r="A96" s="237"/>
      <c r="B96" s="1202"/>
      <c r="C96" s="1202"/>
      <c r="H96" s="349"/>
      <c r="I96" s="369"/>
      <c r="J96" s="370"/>
      <c r="N96" s="237"/>
      <c r="P96" s="237"/>
      <c r="Q96" s="237"/>
      <c r="S96" s="349"/>
      <c r="T96" s="369"/>
      <c r="U96" s="370"/>
      <c r="V96" s="391"/>
    </row>
    <row r="97" spans="1:23" ht="15">
      <c r="A97" s="237"/>
      <c r="B97" s="1202"/>
      <c r="C97" s="1202"/>
      <c r="H97" s="349"/>
      <c r="I97" s="369"/>
      <c r="J97" s="370"/>
      <c r="N97" s="237"/>
      <c r="P97" s="237"/>
      <c r="Q97" s="237"/>
      <c r="S97" s="349"/>
      <c r="T97" s="369"/>
      <c r="U97" s="370"/>
      <c r="V97" s="391"/>
    </row>
    <row r="98" spans="1:23" ht="15">
      <c r="A98" s="237"/>
      <c r="B98" s="1202"/>
      <c r="C98" s="1202"/>
      <c r="H98" s="349"/>
      <c r="I98" s="369"/>
      <c r="J98" s="370"/>
      <c r="N98" s="237"/>
      <c r="P98" s="237"/>
      <c r="Q98" s="237"/>
      <c r="S98" s="349"/>
      <c r="T98" s="369"/>
      <c r="U98" s="370"/>
      <c r="V98" s="391"/>
    </row>
    <row r="99" spans="1:23" ht="15">
      <c r="A99" s="237"/>
      <c r="B99" s="1202"/>
      <c r="C99" s="1202"/>
      <c r="H99" s="349"/>
      <c r="I99" s="369"/>
      <c r="J99" s="370"/>
      <c r="N99" s="237"/>
      <c r="P99" s="237"/>
      <c r="Q99" s="237"/>
      <c r="S99" s="349"/>
      <c r="T99" s="369"/>
      <c r="U99" s="370"/>
      <c r="V99" s="391"/>
    </row>
    <row r="100" spans="1:23" ht="15">
      <c r="A100" s="237"/>
      <c r="B100" s="1202"/>
      <c r="C100" s="1202"/>
      <c r="H100" s="349"/>
      <c r="I100" s="369"/>
      <c r="J100" s="370"/>
      <c r="N100" s="237"/>
      <c r="P100" s="237"/>
      <c r="Q100" s="237"/>
      <c r="R100" s="396"/>
      <c r="S100" s="349"/>
      <c r="T100" s="369"/>
      <c r="U100" s="370"/>
      <c r="V100" s="391"/>
    </row>
    <row r="101" spans="1:23" ht="15">
      <c r="A101" s="237"/>
      <c r="B101" s="1202"/>
      <c r="C101" s="1202"/>
      <c r="H101" s="349"/>
      <c r="I101" s="369"/>
      <c r="J101" s="370"/>
      <c r="L101" s="237"/>
      <c r="N101" s="237"/>
      <c r="P101" s="237"/>
      <c r="Q101" s="237"/>
      <c r="R101" s="397"/>
      <c r="S101" s="349"/>
      <c r="T101" s="369"/>
      <c r="U101" s="370"/>
      <c r="V101" s="391"/>
      <c r="W101" s="237"/>
    </row>
    <row r="102" spans="1:23" ht="15">
      <c r="A102" s="237"/>
      <c r="B102" s="1202"/>
      <c r="C102" s="1202"/>
      <c r="H102" s="349"/>
      <c r="I102" s="369"/>
      <c r="J102" s="370"/>
      <c r="L102" s="237"/>
      <c r="N102" s="237"/>
      <c r="P102" s="237"/>
      <c r="Q102" s="237"/>
      <c r="S102" s="349"/>
      <c r="T102" s="369"/>
      <c r="U102" s="370"/>
      <c r="V102" s="391"/>
      <c r="W102" s="237"/>
    </row>
    <row r="103" spans="1:23" ht="15">
      <c r="A103" s="237"/>
      <c r="B103" s="1202"/>
      <c r="C103" s="1202"/>
      <c r="H103" s="349"/>
      <c r="I103" s="369"/>
      <c r="J103" s="370"/>
      <c r="L103" s="237"/>
      <c r="N103" s="237"/>
      <c r="P103" s="237"/>
      <c r="Q103" s="237"/>
      <c r="S103" s="349"/>
      <c r="T103" s="369"/>
      <c r="U103" s="370"/>
      <c r="V103" s="391"/>
      <c r="W103" s="237"/>
    </row>
    <row r="104" spans="1:23" ht="15">
      <c r="A104" s="237"/>
      <c r="B104" s="1202"/>
      <c r="C104" s="1202"/>
      <c r="H104" s="349"/>
      <c r="I104" s="369"/>
      <c r="J104" s="370"/>
      <c r="L104" s="237"/>
      <c r="N104" s="237"/>
      <c r="P104" s="237"/>
      <c r="Q104" s="237"/>
      <c r="S104" s="349"/>
      <c r="T104" s="369"/>
      <c r="U104" s="370"/>
      <c r="V104" s="398"/>
      <c r="W104" s="237"/>
    </row>
    <row r="105" spans="1:23" ht="15">
      <c r="A105" s="237"/>
      <c r="B105" s="1202"/>
      <c r="C105" s="1202"/>
      <c r="H105" s="349"/>
      <c r="I105" s="369"/>
      <c r="J105" s="370"/>
      <c r="L105" s="237"/>
      <c r="N105" s="237"/>
      <c r="P105" s="237"/>
      <c r="Q105" s="237"/>
      <c r="S105" s="349"/>
      <c r="T105" s="369"/>
      <c r="U105" s="370"/>
      <c r="V105" s="398"/>
      <c r="W105" s="237"/>
    </row>
    <row r="106" spans="1:23" ht="15">
      <c r="A106" s="237"/>
      <c r="B106" s="1202"/>
      <c r="C106" s="1202"/>
      <c r="H106" s="349"/>
      <c r="I106" s="369"/>
      <c r="J106" s="370"/>
      <c r="L106" s="348"/>
      <c r="N106" s="237"/>
      <c r="P106" s="348"/>
      <c r="Q106" s="237"/>
      <c r="S106" s="349"/>
      <c r="T106" s="369"/>
      <c r="U106" s="370"/>
      <c r="V106" s="398"/>
      <c r="W106" s="348"/>
    </row>
    <row r="107" spans="1:23" ht="15">
      <c r="A107" s="237"/>
      <c r="B107" s="1202"/>
      <c r="C107" s="1202"/>
      <c r="H107" s="349"/>
      <c r="I107" s="369"/>
      <c r="J107" s="370"/>
      <c r="L107" s="348"/>
      <c r="N107" s="237"/>
      <c r="P107" s="348"/>
      <c r="Q107" s="237"/>
      <c r="S107" s="349"/>
      <c r="T107" s="369"/>
      <c r="U107" s="370"/>
      <c r="V107" s="398"/>
      <c r="W107" s="348"/>
    </row>
    <row r="108" spans="1:23" ht="15">
      <c r="A108" s="237"/>
      <c r="B108" s="1202"/>
      <c r="C108" s="1202"/>
      <c r="H108" s="349"/>
      <c r="I108" s="369"/>
      <c r="J108" s="370"/>
      <c r="N108" s="237"/>
      <c r="P108" s="237"/>
      <c r="Q108" s="237"/>
      <c r="S108" s="349"/>
      <c r="T108" s="369"/>
      <c r="U108" s="370"/>
      <c r="V108" s="398"/>
    </row>
    <row r="109" spans="1:23" ht="15">
      <c r="A109" s="237"/>
      <c r="B109" s="1202"/>
      <c r="C109" s="1202"/>
      <c r="H109" s="349"/>
      <c r="I109" s="369"/>
      <c r="J109" s="370"/>
      <c r="N109" s="237"/>
      <c r="P109" s="237"/>
      <c r="Q109" s="237"/>
      <c r="S109" s="349"/>
      <c r="T109" s="369"/>
      <c r="U109" s="370"/>
      <c r="V109" s="398"/>
    </row>
    <row r="110" spans="1:23" ht="15">
      <c r="A110" s="237"/>
      <c r="B110" s="1202"/>
      <c r="C110" s="1202"/>
      <c r="H110" s="349"/>
      <c r="I110" s="369"/>
      <c r="J110" s="370"/>
      <c r="N110" s="237"/>
      <c r="P110" s="237"/>
      <c r="Q110" s="237"/>
      <c r="S110" s="349"/>
      <c r="T110" s="369"/>
      <c r="U110" s="370"/>
      <c r="V110" s="398"/>
    </row>
    <row r="111" spans="1:23" ht="15">
      <c r="A111" s="237"/>
      <c r="B111" s="1202"/>
      <c r="C111" s="1202"/>
      <c r="H111" s="349"/>
      <c r="I111" s="369"/>
      <c r="J111" s="370"/>
      <c r="N111" s="237"/>
      <c r="P111" s="237"/>
      <c r="Q111" s="237"/>
      <c r="S111" s="349"/>
      <c r="T111" s="369"/>
      <c r="U111" s="370"/>
      <c r="V111" s="398"/>
    </row>
    <row r="112" spans="1:23" ht="15">
      <c r="A112" s="237"/>
      <c r="B112" s="1202"/>
      <c r="C112" s="1202"/>
      <c r="H112" s="349"/>
      <c r="I112" s="369"/>
      <c r="J112" s="370"/>
      <c r="N112" s="237"/>
      <c r="P112" s="237"/>
      <c r="Q112" s="237"/>
      <c r="S112" s="349"/>
      <c r="T112" s="369"/>
      <c r="U112" s="370"/>
      <c r="V112" s="398"/>
    </row>
    <row r="113" spans="1:23" ht="15">
      <c r="A113" s="237"/>
      <c r="B113" s="1202"/>
      <c r="C113" s="1202"/>
      <c r="H113" s="349"/>
      <c r="I113" s="369"/>
      <c r="J113" s="370"/>
      <c r="N113" s="237"/>
      <c r="S113" s="349"/>
      <c r="T113" s="369"/>
      <c r="U113" s="370"/>
      <c r="V113" s="398"/>
    </row>
    <row r="114" spans="1:23" ht="15">
      <c r="A114" s="237"/>
      <c r="B114" s="1202"/>
      <c r="C114" s="1202"/>
      <c r="H114" s="349"/>
      <c r="I114" s="369"/>
      <c r="J114" s="370"/>
      <c r="N114" s="237"/>
      <c r="S114" s="349"/>
      <c r="T114" s="369"/>
      <c r="U114" s="370"/>
      <c r="V114" s="398"/>
    </row>
    <row r="115" spans="1:23" ht="15">
      <c r="A115" s="237"/>
      <c r="B115" s="1206"/>
      <c r="C115" s="1202"/>
      <c r="H115" s="349"/>
      <c r="I115" s="369"/>
      <c r="J115" s="370"/>
      <c r="N115" s="237"/>
      <c r="O115" s="237"/>
      <c r="P115" s="237"/>
      <c r="S115" s="349"/>
      <c r="T115" s="369"/>
      <c r="U115" s="370"/>
      <c r="V115" s="391"/>
    </row>
    <row r="116" spans="1:23" ht="15">
      <c r="A116" s="237"/>
      <c r="B116" s="1206"/>
      <c r="C116" s="1202"/>
      <c r="H116" s="349"/>
      <c r="I116" s="369"/>
      <c r="J116" s="370"/>
      <c r="N116" s="237"/>
      <c r="O116" s="237"/>
      <c r="P116" s="237"/>
      <c r="S116" s="349"/>
      <c r="T116" s="369"/>
      <c r="U116" s="370"/>
      <c r="V116" s="391"/>
    </row>
    <row r="117" spans="1:23" ht="15">
      <c r="A117" s="237"/>
      <c r="B117" s="1202"/>
      <c r="C117" s="1202"/>
      <c r="H117" s="349"/>
      <c r="I117" s="369"/>
      <c r="J117" s="370"/>
      <c r="N117" s="237"/>
      <c r="O117" s="237"/>
      <c r="P117" s="237"/>
      <c r="S117" s="349"/>
      <c r="T117" s="369"/>
      <c r="U117" s="370"/>
      <c r="V117" s="391"/>
    </row>
    <row r="118" spans="1:23" ht="15">
      <c r="A118" s="237"/>
      <c r="B118" s="1206"/>
      <c r="C118" s="1202"/>
      <c r="H118" s="349"/>
      <c r="I118" s="369"/>
      <c r="J118" s="370"/>
      <c r="N118" s="237"/>
      <c r="O118" s="237"/>
      <c r="P118" s="237"/>
      <c r="S118" s="349"/>
      <c r="T118" s="369"/>
      <c r="U118" s="370"/>
      <c r="V118" s="391"/>
    </row>
    <row r="119" spans="1:23" ht="15">
      <c r="A119" s="237"/>
      <c r="B119" s="1202"/>
      <c r="C119" s="1202"/>
      <c r="H119" s="349"/>
      <c r="I119" s="369"/>
      <c r="J119" s="370"/>
      <c r="N119" s="237"/>
      <c r="O119" s="237"/>
      <c r="P119" s="237"/>
      <c r="S119" s="349"/>
      <c r="T119" s="369"/>
      <c r="U119" s="370"/>
      <c r="V119" s="391"/>
    </row>
    <row r="120" spans="1:23" ht="15">
      <c r="A120" s="237"/>
      <c r="B120" s="1202"/>
      <c r="C120" s="1202"/>
      <c r="H120" s="349"/>
      <c r="I120" s="369"/>
      <c r="J120" s="370"/>
      <c r="N120" s="237"/>
      <c r="O120" s="237"/>
      <c r="P120" s="237"/>
      <c r="S120" s="349"/>
      <c r="T120" s="369"/>
      <c r="U120" s="370"/>
      <c r="V120" s="391"/>
    </row>
    <row r="121" spans="1:23" ht="15">
      <c r="A121" s="237"/>
      <c r="B121" s="1202"/>
      <c r="C121" s="1202"/>
      <c r="H121" s="349"/>
      <c r="I121" s="369"/>
      <c r="J121" s="370"/>
      <c r="N121" s="237"/>
      <c r="O121" s="237"/>
      <c r="P121" s="237"/>
      <c r="S121" s="349"/>
      <c r="T121" s="369"/>
      <c r="U121" s="370"/>
      <c r="V121" s="399"/>
      <c r="W121" s="237"/>
    </row>
    <row r="122" spans="1:23" ht="15">
      <c r="A122" s="237"/>
      <c r="B122" s="1202"/>
      <c r="C122" s="1202"/>
      <c r="H122" s="349"/>
      <c r="I122" s="369"/>
      <c r="J122" s="370"/>
      <c r="L122" s="394"/>
      <c r="N122" s="237"/>
      <c r="O122" s="237"/>
      <c r="P122" s="348"/>
      <c r="S122" s="349"/>
      <c r="T122" s="369"/>
      <c r="U122" s="370"/>
      <c r="V122" s="399"/>
      <c r="W122" s="348"/>
    </row>
    <row r="123" spans="1:23" ht="15">
      <c r="A123" s="237"/>
      <c r="B123" s="1202"/>
      <c r="C123" s="1202"/>
      <c r="H123" s="349"/>
      <c r="I123" s="369"/>
      <c r="J123" s="370"/>
      <c r="N123" s="237"/>
      <c r="O123" s="237"/>
      <c r="P123" s="237"/>
      <c r="S123" s="349"/>
      <c r="T123" s="369"/>
      <c r="U123" s="370"/>
      <c r="V123" s="399"/>
      <c r="W123" s="237"/>
    </row>
    <row r="124" spans="1:23" ht="15">
      <c r="A124" s="237"/>
      <c r="B124" s="1202"/>
      <c r="C124" s="1202"/>
      <c r="H124" s="349"/>
      <c r="I124" s="369"/>
      <c r="J124" s="370"/>
      <c r="N124" s="237"/>
      <c r="O124" s="237"/>
      <c r="P124" s="237"/>
      <c r="S124" s="349"/>
      <c r="T124" s="369"/>
      <c r="U124" s="370"/>
      <c r="V124" s="399"/>
      <c r="W124" s="237"/>
    </row>
    <row r="125" spans="1:23" ht="15">
      <c r="A125" s="237"/>
      <c r="B125" s="1202"/>
      <c r="C125" s="1202"/>
      <c r="H125" s="349"/>
      <c r="I125" s="369"/>
      <c r="J125" s="370"/>
      <c r="N125" s="237"/>
      <c r="O125" s="237"/>
      <c r="P125" s="237"/>
      <c r="S125" s="349"/>
      <c r="T125" s="369"/>
      <c r="U125" s="370"/>
      <c r="V125" s="399"/>
      <c r="W125" s="237"/>
    </row>
    <row r="126" spans="1:23" ht="15">
      <c r="A126" s="237"/>
      <c r="B126" s="1202"/>
      <c r="C126" s="1202"/>
      <c r="H126" s="349"/>
      <c r="I126" s="369"/>
      <c r="J126" s="370"/>
      <c r="N126" s="237"/>
      <c r="O126" s="237"/>
      <c r="P126" s="237"/>
      <c r="S126" s="349"/>
      <c r="T126" s="369"/>
      <c r="U126" s="370"/>
      <c r="V126" s="399"/>
      <c r="W126" s="237"/>
    </row>
    <row r="127" spans="1:23" ht="15">
      <c r="A127" s="237"/>
      <c r="B127" s="1206"/>
      <c r="C127" s="1202"/>
      <c r="H127" s="349"/>
      <c r="I127" s="369"/>
      <c r="J127" s="370"/>
      <c r="N127" s="237"/>
      <c r="O127" s="237"/>
      <c r="P127" s="237"/>
      <c r="S127" s="349"/>
      <c r="T127" s="369"/>
      <c r="U127" s="370"/>
      <c r="V127" s="399"/>
      <c r="W127" s="237"/>
    </row>
    <row r="128" spans="1:23" ht="15">
      <c r="A128" s="237"/>
      <c r="B128" s="1202"/>
      <c r="C128" s="1202"/>
      <c r="H128" s="349"/>
      <c r="I128" s="369"/>
      <c r="J128" s="370"/>
      <c r="N128" s="237"/>
      <c r="O128" s="237"/>
      <c r="P128" s="237"/>
      <c r="S128" s="349"/>
      <c r="T128" s="369"/>
      <c r="U128" s="370"/>
      <c r="V128" s="399"/>
      <c r="W128" s="237"/>
    </row>
    <row r="129" spans="1:24" ht="15">
      <c r="A129" s="237"/>
      <c r="B129" s="1202"/>
      <c r="C129" s="1202"/>
      <c r="H129" s="349"/>
      <c r="I129" s="369"/>
      <c r="J129" s="370"/>
      <c r="N129" s="237"/>
      <c r="O129" s="237"/>
      <c r="P129" s="237"/>
      <c r="S129" s="349"/>
      <c r="T129" s="369"/>
      <c r="U129" s="370"/>
      <c r="V129" s="399"/>
      <c r="W129" s="237"/>
    </row>
    <row r="130" spans="1:24" ht="15">
      <c r="A130" s="237"/>
      <c r="B130" s="1202"/>
      <c r="C130" s="1202"/>
      <c r="H130" s="349"/>
      <c r="I130" s="369"/>
      <c r="J130" s="370"/>
      <c r="N130" s="237"/>
      <c r="O130" s="237"/>
      <c r="P130" s="237"/>
      <c r="S130" s="349"/>
      <c r="T130" s="369"/>
      <c r="U130" s="370"/>
      <c r="V130" s="399"/>
      <c r="W130" s="237"/>
    </row>
    <row r="131" spans="1:24" ht="15">
      <c r="A131" s="237"/>
      <c r="B131" s="1202"/>
      <c r="C131" s="1202"/>
      <c r="H131" s="349"/>
      <c r="I131" s="369"/>
      <c r="J131" s="370"/>
      <c r="N131" s="237"/>
      <c r="O131" s="237"/>
      <c r="P131" s="237"/>
      <c r="S131" s="349"/>
      <c r="T131" s="369"/>
      <c r="U131" s="370"/>
      <c r="V131" s="399"/>
      <c r="W131" s="237"/>
    </row>
    <row r="132" spans="1:24" ht="15">
      <c r="A132" s="237"/>
      <c r="B132" s="1202"/>
      <c r="C132" s="1202"/>
      <c r="H132" s="349"/>
      <c r="I132" s="369"/>
      <c r="J132" s="370"/>
      <c r="N132" s="237"/>
      <c r="O132" s="237"/>
      <c r="P132" s="237"/>
      <c r="S132" s="349"/>
      <c r="T132" s="369"/>
      <c r="U132" s="370"/>
      <c r="V132" s="399"/>
      <c r="W132" s="237"/>
    </row>
    <row r="133" spans="1:24" ht="15">
      <c r="A133" s="237"/>
      <c r="B133" s="1202"/>
      <c r="C133" s="1202"/>
      <c r="H133" s="349"/>
      <c r="I133" s="369"/>
      <c r="J133" s="370"/>
      <c r="L133" s="394"/>
      <c r="N133" s="237"/>
      <c r="O133" s="237"/>
      <c r="P133" s="348"/>
      <c r="S133" s="349"/>
      <c r="T133" s="369"/>
      <c r="U133" s="370"/>
      <c r="V133" s="399"/>
      <c r="W133" s="348"/>
    </row>
    <row r="134" spans="1:24" ht="15">
      <c r="A134" s="237"/>
      <c r="B134" s="1202"/>
      <c r="C134" s="1202"/>
      <c r="H134" s="349"/>
      <c r="I134" s="369"/>
      <c r="J134" s="370"/>
      <c r="N134" s="237"/>
      <c r="O134" s="237"/>
      <c r="P134" s="237"/>
      <c r="S134" s="349"/>
      <c r="T134" s="369"/>
      <c r="U134" s="370"/>
      <c r="V134" s="399"/>
      <c r="W134" s="237"/>
    </row>
    <row r="135" spans="1:24">
      <c r="A135" s="237"/>
      <c r="B135" s="1202"/>
      <c r="C135" s="1202"/>
      <c r="D135" s="237"/>
      <c r="E135" s="237"/>
      <c r="F135" s="237"/>
      <c r="G135" s="237"/>
      <c r="H135" s="237"/>
      <c r="I135" s="237"/>
      <c r="J135" s="237"/>
      <c r="K135" s="237"/>
      <c r="L135" s="237"/>
      <c r="M135" s="237"/>
      <c r="N135" s="237"/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</row>
    <row r="136" spans="1:24" ht="15">
      <c r="A136" s="237"/>
      <c r="B136" s="1202"/>
      <c r="C136" s="1202"/>
      <c r="H136" s="349"/>
      <c r="I136" s="369"/>
      <c r="J136" s="370"/>
      <c r="N136" s="237"/>
      <c r="O136" s="237"/>
      <c r="P136" s="237"/>
      <c r="S136" s="349"/>
      <c r="T136" s="369"/>
      <c r="U136" s="370"/>
      <c r="V136" s="399"/>
      <c r="W136" s="237"/>
    </row>
    <row r="137" spans="1:24" ht="15">
      <c r="A137" s="237"/>
      <c r="B137" s="1202"/>
      <c r="C137" s="1202"/>
      <c r="H137" s="349"/>
      <c r="I137" s="369"/>
      <c r="J137" s="370"/>
      <c r="N137" s="237"/>
      <c r="O137" s="237"/>
      <c r="P137" s="237"/>
      <c r="S137" s="349"/>
      <c r="T137" s="369"/>
      <c r="U137" s="370"/>
      <c r="V137" s="399"/>
      <c r="W137" s="237"/>
    </row>
    <row r="138" spans="1:24" ht="15">
      <c r="A138" s="237"/>
      <c r="B138" s="1202"/>
      <c r="C138" s="1202"/>
      <c r="H138" s="349"/>
      <c r="I138" s="369"/>
      <c r="J138" s="370"/>
      <c r="N138" s="237"/>
      <c r="O138" s="237"/>
      <c r="P138" s="237"/>
      <c r="S138" s="349"/>
      <c r="T138" s="369"/>
      <c r="U138" s="370"/>
      <c r="V138" s="399"/>
      <c r="W138" s="237"/>
    </row>
    <row r="139" spans="1:24" ht="15">
      <c r="A139" s="237"/>
      <c r="B139" s="1206"/>
      <c r="C139" s="1202"/>
      <c r="H139" s="349"/>
      <c r="I139" s="369"/>
      <c r="J139" s="370"/>
      <c r="N139" s="237"/>
      <c r="O139" s="237"/>
      <c r="P139" s="237"/>
      <c r="S139" s="349"/>
      <c r="T139" s="369"/>
      <c r="U139" s="370"/>
      <c r="V139" s="399"/>
      <c r="W139" s="237"/>
    </row>
    <row r="140" spans="1:24" ht="15">
      <c r="A140" s="237"/>
      <c r="B140" s="1202"/>
      <c r="C140" s="1202"/>
      <c r="H140" s="349"/>
      <c r="I140" s="369"/>
      <c r="J140" s="370"/>
      <c r="N140" s="237"/>
      <c r="O140" s="237"/>
      <c r="P140" s="237"/>
      <c r="S140" s="349"/>
      <c r="T140" s="369"/>
      <c r="U140" s="370"/>
      <c r="V140" s="399"/>
      <c r="W140" s="237"/>
    </row>
    <row r="141" spans="1:24" ht="15">
      <c r="A141" s="237"/>
      <c r="B141" s="1206"/>
      <c r="C141" s="1202"/>
      <c r="H141" s="349"/>
      <c r="I141" s="369"/>
      <c r="J141" s="370"/>
      <c r="N141" s="237"/>
      <c r="O141" s="237"/>
      <c r="P141" s="237"/>
      <c r="S141" s="349"/>
      <c r="T141" s="369"/>
      <c r="U141" s="370"/>
      <c r="V141" s="399"/>
      <c r="W141" s="237"/>
    </row>
    <row r="142" spans="1:24" ht="15">
      <c r="A142" s="237"/>
      <c r="B142" s="1202"/>
      <c r="C142" s="1202"/>
      <c r="H142" s="349"/>
      <c r="I142" s="369"/>
      <c r="J142" s="370"/>
      <c r="N142" s="237"/>
      <c r="O142" s="237"/>
      <c r="P142" s="237"/>
      <c r="S142" s="349"/>
      <c r="T142" s="369"/>
      <c r="U142" s="370"/>
      <c r="V142" s="399"/>
      <c r="W142" s="237"/>
    </row>
    <row r="143" spans="1:24" ht="15">
      <c r="A143" s="237"/>
      <c r="B143" s="1202"/>
      <c r="C143" s="1202"/>
      <c r="H143" s="349"/>
      <c r="I143" s="369"/>
      <c r="J143" s="370"/>
      <c r="N143" s="237"/>
      <c r="O143" s="237"/>
      <c r="P143" s="237"/>
      <c r="S143" s="349"/>
      <c r="T143" s="369"/>
      <c r="U143" s="370"/>
      <c r="V143" s="399"/>
      <c r="W143" s="237"/>
    </row>
    <row r="144" spans="1:24" ht="15">
      <c r="A144" s="237"/>
      <c r="B144" s="1202"/>
      <c r="C144" s="1202"/>
      <c r="H144" s="349"/>
      <c r="I144" s="369"/>
      <c r="J144" s="370"/>
      <c r="N144" s="237"/>
      <c r="O144" s="237"/>
      <c r="P144" s="237"/>
      <c r="S144" s="349"/>
      <c r="T144" s="369"/>
      <c r="U144" s="370"/>
      <c r="V144" s="399"/>
      <c r="W144" s="237"/>
    </row>
    <row r="145" spans="1:23" ht="15">
      <c r="A145" s="237"/>
      <c r="B145" s="1202"/>
      <c r="C145" s="1202"/>
      <c r="H145" s="349"/>
      <c r="I145" s="369"/>
      <c r="J145" s="370"/>
      <c r="N145" s="237"/>
      <c r="O145" s="237"/>
      <c r="P145" s="237"/>
      <c r="S145" s="349"/>
      <c r="T145" s="369"/>
      <c r="U145" s="370"/>
      <c r="V145" s="399"/>
      <c r="W145" s="237"/>
    </row>
    <row r="146" spans="1:23" ht="15">
      <c r="A146" s="237"/>
      <c r="B146" s="1202"/>
      <c r="C146" s="1202"/>
      <c r="H146" s="349"/>
      <c r="I146" s="369"/>
      <c r="J146" s="370"/>
      <c r="N146" s="237"/>
      <c r="O146" s="237"/>
      <c r="P146" s="237"/>
      <c r="R146" s="396"/>
      <c r="S146" s="349"/>
      <c r="T146" s="369"/>
      <c r="U146" s="370"/>
      <c r="V146" s="399"/>
      <c r="W146" s="237"/>
    </row>
    <row r="147" spans="1:23" ht="15">
      <c r="A147" s="237"/>
      <c r="B147" s="1202"/>
      <c r="C147" s="1202"/>
      <c r="H147" s="349"/>
      <c r="I147" s="369"/>
      <c r="J147" s="370"/>
      <c r="N147" s="237"/>
      <c r="O147" s="237"/>
      <c r="P147" s="237"/>
      <c r="R147" s="397"/>
      <c r="S147" s="349"/>
      <c r="T147" s="369"/>
      <c r="U147" s="370"/>
      <c r="V147" s="399"/>
      <c r="W147" s="237"/>
    </row>
    <row r="148" spans="1:23" ht="15">
      <c r="A148" s="237"/>
      <c r="B148" s="1202"/>
      <c r="C148" s="1202"/>
      <c r="H148" s="349"/>
      <c r="I148" s="369"/>
      <c r="J148" s="370"/>
      <c r="N148" s="237"/>
      <c r="O148" s="237"/>
      <c r="P148" s="237"/>
      <c r="S148" s="349"/>
      <c r="T148" s="369"/>
      <c r="U148" s="370"/>
      <c r="V148" s="399"/>
      <c r="W148" s="237"/>
    </row>
    <row r="149" spans="1:23" ht="15">
      <c r="A149" s="237"/>
      <c r="B149" s="1202"/>
      <c r="C149" s="1202"/>
      <c r="H149" s="349"/>
      <c r="I149" s="369"/>
      <c r="J149" s="370"/>
      <c r="N149" s="237"/>
      <c r="O149" s="237"/>
      <c r="P149" s="237"/>
      <c r="S149" s="349"/>
      <c r="T149" s="369"/>
      <c r="U149" s="370"/>
      <c r="V149" s="399"/>
      <c r="W149" s="237"/>
    </row>
    <row r="150" spans="1:23" ht="15">
      <c r="A150" s="237"/>
      <c r="B150" s="1202"/>
      <c r="C150" s="1202"/>
      <c r="H150" s="349"/>
      <c r="I150" s="369"/>
      <c r="J150" s="370"/>
      <c r="N150" s="237"/>
      <c r="O150" s="237"/>
      <c r="P150" s="237"/>
      <c r="S150" s="349"/>
      <c r="T150" s="369"/>
      <c r="U150" s="370"/>
      <c r="V150" s="398"/>
    </row>
    <row r="151" spans="1:23" ht="15">
      <c r="A151" s="237"/>
      <c r="B151" s="1202"/>
      <c r="C151" s="1202"/>
      <c r="H151" s="349"/>
      <c r="I151" s="369"/>
      <c r="J151" s="370"/>
      <c r="N151" s="237"/>
      <c r="O151" s="237"/>
      <c r="P151" s="237"/>
      <c r="S151" s="349"/>
      <c r="T151" s="369"/>
      <c r="U151" s="370"/>
      <c r="V151" s="398"/>
    </row>
    <row r="152" spans="1:23" ht="15">
      <c r="A152" s="237"/>
      <c r="B152" s="1202"/>
      <c r="C152" s="1202"/>
      <c r="H152" s="349"/>
      <c r="I152" s="369"/>
      <c r="J152" s="370"/>
      <c r="N152" s="237"/>
      <c r="O152" s="237"/>
      <c r="P152" s="237"/>
      <c r="S152" s="349"/>
      <c r="T152" s="369"/>
      <c r="U152" s="370"/>
      <c r="V152" s="398"/>
    </row>
    <row r="153" spans="1:23" ht="15">
      <c r="A153" s="237"/>
      <c r="B153" s="1202"/>
      <c r="C153" s="1202"/>
      <c r="H153" s="349"/>
      <c r="I153" s="369"/>
      <c r="J153" s="370"/>
      <c r="N153" s="237"/>
      <c r="O153" s="237"/>
      <c r="P153" s="237"/>
      <c r="S153" s="349"/>
      <c r="T153" s="369"/>
      <c r="U153" s="370"/>
      <c r="V153" s="398"/>
    </row>
    <row r="154" spans="1:23" ht="15">
      <c r="A154" s="237"/>
      <c r="B154" s="1202"/>
      <c r="C154" s="1202"/>
      <c r="H154" s="349"/>
      <c r="I154" s="369"/>
      <c r="J154" s="370"/>
      <c r="N154" s="237"/>
      <c r="O154" s="237"/>
      <c r="P154" s="237"/>
      <c r="S154" s="349"/>
      <c r="T154" s="369"/>
      <c r="U154" s="370"/>
      <c r="V154" s="398"/>
    </row>
    <row r="155" spans="1:23" ht="15">
      <c r="A155" s="237"/>
      <c r="B155" s="1202"/>
      <c r="C155" s="1202"/>
      <c r="H155" s="349"/>
      <c r="I155" s="369"/>
      <c r="J155" s="370"/>
      <c r="N155" s="237"/>
      <c r="O155" s="237"/>
      <c r="P155" s="237"/>
      <c r="S155" s="349"/>
      <c r="T155" s="369"/>
      <c r="U155" s="370"/>
      <c r="V155" s="398"/>
    </row>
    <row r="156" spans="1:23" ht="15">
      <c r="A156" s="237"/>
      <c r="B156" s="1202"/>
      <c r="C156" s="1202"/>
      <c r="H156" s="349"/>
      <c r="I156" s="369"/>
      <c r="J156" s="370"/>
      <c r="N156" s="237"/>
      <c r="O156" s="237"/>
      <c r="P156" s="237"/>
      <c r="S156" s="349"/>
      <c r="T156" s="369"/>
      <c r="U156" s="370"/>
      <c r="V156" s="398"/>
    </row>
    <row r="157" spans="1:23" ht="15">
      <c r="A157" s="237"/>
      <c r="B157" s="1202"/>
      <c r="C157" s="1202"/>
      <c r="H157" s="349"/>
      <c r="I157" s="369"/>
      <c r="J157" s="370"/>
      <c r="N157" s="237"/>
      <c r="O157" s="237"/>
      <c r="P157" s="237"/>
      <c r="S157" s="349"/>
      <c r="T157" s="369"/>
      <c r="U157" s="370"/>
      <c r="V157" s="398"/>
    </row>
    <row r="158" spans="1:23" ht="15">
      <c r="A158" s="237"/>
      <c r="B158" s="1202"/>
      <c r="C158" s="1202"/>
      <c r="H158" s="349"/>
      <c r="I158" s="369"/>
      <c r="J158" s="370"/>
      <c r="N158" s="237"/>
      <c r="O158" s="237"/>
      <c r="P158" s="237"/>
      <c r="S158" s="349"/>
      <c r="T158" s="369"/>
      <c r="U158" s="370"/>
      <c r="V158" s="398"/>
    </row>
    <row r="159" spans="1:23" ht="15">
      <c r="A159" s="237"/>
      <c r="B159" s="1202"/>
      <c r="C159" s="1202"/>
      <c r="H159" s="349"/>
      <c r="I159" s="369"/>
      <c r="J159" s="370"/>
      <c r="N159" s="237"/>
      <c r="O159" s="237"/>
      <c r="P159" s="237"/>
      <c r="S159" s="349"/>
      <c r="T159" s="369"/>
      <c r="U159" s="370"/>
      <c r="V159" s="398"/>
    </row>
    <row r="160" spans="1:23" ht="15">
      <c r="A160" s="237"/>
      <c r="B160" s="1202"/>
      <c r="C160" s="1202"/>
      <c r="H160" s="349"/>
      <c r="I160" s="369"/>
      <c r="J160" s="370"/>
      <c r="N160" s="237"/>
      <c r="O160" s="237"/>
      <c r="P160" s="237"/>
      <c r="S160" s="349"/>
      <c r="T160" s="369"/>
      <c r="U160" s="370"/>
      <c r="V160" s="398"/>
    </row>
    <row r="161" spans="1:22" ht="15">
      <c r="A161" s="237"/>
      <c r="B161" s="1202"/>
      <c r="C161" s="1202"/>
      <c r="H161" s="349"/>
      <c r="I161" s="369"/>
      <c r="J161" s="370"/>
      <c r="N161" s="237"/>
      <c r="O161" s="237"/>
      <c r="P161" s="237"/>
      <c r="S161" s="349"/>
      <c r="T161" s="369"/>
      <c r="U161" s="370"/>
      <c r="V161" s="398"/>
    </row>
    <row r="162" spans="1:22" ht="15">
      <c r="A162" s="237"/>
      <c r="B162" s="1202"/>
      <c r="C162" s="1202"/>
      <c r="H162" s="349"/>
      <c r="I162" s="369"/>
      <c r="J162" s="370"/>
      <c r="N162" s="237"/>
      <c r="O162" s="237"/>
      <c r="P162" s="237"/>
      <c r="S162" s="349"/>
      <c r="T162" s="369"/>
      <c r="U162" s="370"/>
      <c r="V162" s="398"/>
    </row>
    <row r="163" spans="1:22" ht="15">
      <c r="A163" s="237"/>
      <c r="B163" s="1206"/>
      <c r="C163" s="1202"/>
      <c r="H163" s="349"/>
      <c r="I163" s="369"/>
      <c r="J163" s="370"/>
      <c r="N163" s="237"/>
      <c r="S163" s="349"/>
      <c r="T163" s="369"/>
      <c r="U163" s="370"/>
      <c r="V163" s="391"/>
    </row>
    <row r="164" spans="1:22" ht="15">
      <c r="A164" s="237"/>
      <c r="B164" s="1206"/>
      <c r="C164" s="1202"/>
      <c r="H164" s="349"/>
      <c r="I164" s="369"/>
      <c r="J164" s="370"/>
      <c r="N164" s="237"/>
      <c r="S164" s="349"/>
      <c r="T164" s="369"/>
      <c r="U164" s="370"/>
      <c r="V164" s="391"/>
    </row>
    <row r="165" spans="1:22" ht="15">
      <c r="A165" s="237"/>
      <c r="B165" s="1202"/>
      <c r="C165" s="1202"/>
      <c r="H165" s="349"/>
      <c r="I165" s="369"/>
      <c r="J165" s="370"/>
      <c r="N165" s="237"/>
      <c r="S165" s="349"/>
      <c r="T165" s="369"/>
      <c r="U165" s="370"/>
      <c r="V165" s="391"/>
    </row>
    <row r="166" spans="1:22" ht="15">
      <c r="A166" s="237"/>
      <c r="B166" s="1206"/>
      <c r="C166" s="1202"/>
      <c r="H166" s="349"/>
      <c r="I166" s="369"/>
      <c r="J166" s="370"/>
      <c r="N166" s="237"/>
      <c r="S166" s="349"/>
      <c r="T166" s="369"/>
      <c r="U166" s="370"/>
      <c r="V166" s="391"/>
    </row>
    <row r="167" spans="1:22" ht="15">
      <c r="A167" s="237"/>
      <c r="B167" s="1202"/>
      <c r="C167" s="1202"/>
      <c r="H167" s="349"/>
      <c r="I167" s="369"/>
      <c r="J167" s="370"/>
      <c r="N167" s="237"/>
      <c r="S167" s="349"/>
      <c r="T167" s="369"/>
      <c r="U167" s="370"/>
      <c r="V167" s="391"/>
    </row>
    <row r="168" spans="1:22" ht="15">
      <c r="A168" s="237"/>
      <c r="B168" s="1202"/>
      <c r="C168" s="1202"/>
      <c r="H168" s="349"/>
      <c r="I168" s="369"/>
      <c r="J168" s="370"/>
      <c r="N168" s="237"/>
      <c r="S168" s="349"/>
      <c r="T168" s="369"/>
      <c r="U168" s="370"/>
      <c r="V168" s="391"/>
    </row>
    <row r="169" spans="1:22" ht="15">
      <c r="A169" s="237"/>
      <c r="B169" s="1202"/>
      <c r="C169" s="1202"/>
      <c r="H169" s="349"/>
      <c r="I169" s="369"/>
      <c r="J169" s="370"/>
      <c r="N169" s="237"/>
      <c r="S169" s="349"/>
      <c r="T169" s="369"/>
      <c r="U169" s="370"/>
      <c r="V169" s="391"/>
    </row>
    <row r="170" spans="1:22" ht="15">
      <c r="A170" s="237"/>
      <c r="B170" s="1202"/>
      <c r="C170" s="1202"/>
      <c r="H170" s="349"/>
      <c r="I170" s="369"/>
      <c r="J170" s="370"/>
      <c r="N170" s="237"/>
      <c r="S170" s="349"/>
      <c r="T170" s="369"/>
      <c r="U170" s="370"/>
      <c r="V170" s="391"/>
    </row>
    <row r="171" spans="1:22" ht="15">
      <c r="A171" s="237"/>
      <c r="B171" s="1202"/>
      <c r="C171" s="1202"/>
      <c r="H171" s="349"/>
      <c r="I171" s="369"/>
      <c r="J171" s="370"/>
      <c r="N171" s="237"/>
      <c r="S171" s="349"/>
      <c r="T171" s="369"/>
      <c r="U171" s="370"/>
      <c r="V171" s="391"/>
    </row>
    <row r="172" spans="1:22" ht="15">
      <c r="A172" s="237"/>
      <c r="B172" s="1202"/>
      <c r="C172" s="1202"/>
      <c r="H172" s="349"/>
      <c r="I172" s="369"/>
      <c r="J172" s="370"/>
      <c r="N172" s="237"/>
      <c r="S172" s="349"/>
      <c r="T172" s="369"/>
      <c r="U172" s="370"/>
      <c r="V172" s="391"/>
    </row>
    <row r="173" spans="1:22" ht="15">
      <c r="A173" s="237"/>
      <c r="B173" s="1202"/>
      <c r="C173" s="1202"/>
      <c r="H173" s="349"/>
      <c r="I173" s="369"/>
      <c r="J173" s="370"/>
      <c r="N173" s="237"/>
      <c r="S173" s="349"/>
      <c r="T173" s="369"/>
      <c r="U173" s="370"/>
      <c r="V173" s="391"/>
    </row>
    <row r="174" spans="1:22" ht="15">
      <c r="A174" s="237"/>
      <c r="B174" s="1202"/>
      <c r="C174" s="1202"/>
      <c r="H174" s="349"/>
      <c r="I174" s="369"/>
      <c r="J174" s="370"/>
      <c r="N174" s="237"/>
      <c r="S174" s="349"/>
      <c r="T174" s="369"/>
      <c r="U174" s="370"/>
      <c r="V174" s="391"/>
    </row>
    <row r="175" spans="1:22" ht="15">
      <c r="A175" s="237"/>
      <c r="B175" s="1206"/>
      <c r="C175" s="1202"/>
      <c r="H175" s="349"/>
      <c r="I175" s="369"/>
      <c r="J175" s="370"/>
      <c r="N175" s="237"/>
      <c r="S175" s="349"/>
      <c r="T175" s="369"/>
      <c r="U175" s="370"/>
      <c r="V175" s="391"/>
    </row>
    <row r="176" spans="1:22" ht="15">
      <c r="A176" s="237"/>
      <c r="B176" s="1202"/>
      <c r="C176" s="1202"/>
      <c r="H176" s="349"/>
      <c r="I176" s="369"/>
      <c r="J176" s="370"/>
      <c r="N176" s="237"/>
      <c r="S176" s="349"/>
      <c r="T176" s="369"/>
      <c r="U176" s="370"/>
      <c r="V176" s="391"/>
    </row>
    <row r="177" spans="1:22" ht="15">
      <c r="A177" s="237"/>
      <c r="B177" s="1202"/>
      <c r="C177" s="1202"/>
      <c r="H177" s="349"/>
      <c r="I177" s="369"/>
      <c r="J177" s="370"/>
      <c r="N177" s="237"/>
      <c r="S177" s="349"/>
      <c r="T177" s="369"/>
      <c r="U177" s="370"/>
      <c r="V177" s="391"/>
    </row>
    <row r="178" spans="1:22" ht="15">
      <c r="A178" s="237"/>
      <c r="B178" s="1202"/>
      <c r="C178" s="1202"/>
      <c r="H178" s="349"/>
      <c r="I178" s="369"/>
      <c r="J178" s="370"/>
      <c r="N178" s="237"/>
      <c r="S178" s="349"/>
      <c r="T178" s="369"/>
      <c r="U178" s="370"/>
      <c r="V178" s="391"/>
    </row>
    <row r="179" spans="1:22" ht="15">
      <c r="A179" s="237"/>
      <c r="B179" s="1202"/>
      <c r="C179" s="1202"/>
      <c r="H179" s="349"/>
      <c r="I179" s="369"/>
      <c r="J179" s="370"/>
      <c r="N179" s="237"/>
      <c r="U179" s="370"/>
      <c r="V179" s="395"/>
    </row>
    <row r="180" spans="1:22" ht="15">
      <c r="A180" s="237"/>
      <c r="B180" s="1202"/>
      <c r="C180" s="1202"/>
      <c r="H180" s="349"/>
      <c r="I180" s="369"/>
      <c r="J180" s="370"/>
      <c r="U180" s="370"/>
      <c r="V180" s="391"/>
    </row>
    <row r="181" spans="1:22" ht="15">
      <c r="A181" s="237"/>
      <c r="B181" s="1202"/>
      <c r="C181" s="1202"/>
      <c r="H181" s="349"/>
      <c r="I181" s="369"/>
      <c r="J181" s="370"/>
      <c r="U181" s="370"/>
      <c r="V181" s="395"/>
    </row>
    <row r="182" spans="1:22" ht="15">
      <c r="A182" s="237"/>
      <c r="B182" s="1202"/>
      <c r="C182" s="1202"/>
      <c r="H182" s="349"/>
      <c r="I182" s="369"/>
      <c r="J182" s="370"/>
      <c r="U182" s="370"/>
      <c r="V182" s="370"/>
    </row>
    <row r="183" spans="1:22" ht="15">
      <c r="A183" s="237"/>
      <c r="B183" s="1202"/>
      <c r="C183" s="1202"/>
      <c r="H183" s="349"/>
      <c r="I183" s="369"/>
      <c r="J183" s="370"/>
      <c r="T183" s="237" t="s">
        <v>190</v>
      </c>
      <c r="U183" s="370"/>
      <c r="V183" s="391"/>
    </row>
    <row r="184" spans="1:22" ht="15">
      <c r="A184" s="237"/>
      <c r="B184" s="1202"/>
      <c r="C184" s="1202"/>
      <c r="H184" s="349"/>
      <c r="I184" s="369"/>
      <c r="J184" s="370"/>
      <c r="U184" s="370"/>
      <c r="V184" s="370"/>
    </row>
    <row r="185" spans="1:22" ht="15">
      <c r="A185" s="237"/>
      <c r="B185" s="1202"/>
      <c r="C185" s="1202"/>
      <c r="H185" s="349"/>
      <c r="I185" s="369"/>
      <c r="J185" s="370"/>
      <c r="T185" s="237" t="s">
        <v>118</v>
      </c>
      <c r="U185" s="370"/>
      <c r="V185" s="391"/>
    </row>
    <row r="186" spans="1:22" ht="15">
      <c r="A186" s="237"/>
      <c r="B186" s="1202"/>
      <c r="C186" s="1202"/>
      <c r="H186" s="349"/>
      <c r="I186" s="369"/>
      <c r="J186" s="370"/>
      <c r="U186" s="370"/>
      <c r="V186" s="391"/>
    </row>
    <row r="187" spans="1:22" ht="15">
      <c r="A187" s="237"/>
      <c r="B187" s="1202"/>
      <c r="C187" s="1202"/>
      <c r="H187" s="349"/>
      <c r="I187" s="369"/>
      <c r="J187" s="370"/>
      <c r="U187" s="370"/>
      <c r="V187" s="391"/>
    </row>
    <row r="188" spans="1:22" ht="15">
      <c r="A188" s="237"/>
      <c r="B188" s="1206"/>
      <c r="C188" s="1202"/>
      <c r="H188" s="349"/>
      <c r="I188" s="369"/>
      <c r="J188" s="370"/>
      <c r="U188" s="370"/>
      <c r="V188" s="391"/>
    </row>
    <row r="189" spans="1:22" ht="15">
      <c r="A189" s="237"/>
      <c r="B189" s="1202"/>
      <c r="C189" s="1202"/>
      <c r="H189" s="349"/>
      <c r="I189" s="369"/>
      <c r="J189" s="370"/>
      <c r="U189" s="370"/>
      <c r="V189" s="391"/>
    </row>
    <row r="190" spans="1:22" ht="15">
      <c r="A190" s="237"/>
      <c r="B190" s="1202"/>
      <c r="C190" s="1202"/>
      <c r="H190" s="349"/>
      <c r="I190" s="369"/>
      <c r="J190" s="370"/>
      <c r="T190" s="400" t="s">
        <v>191</v>
      </c>
      <c r="U190" s="370"/>
      <c r="V190" s="391"/>
    </row>
    <row r="191" spans="1:22" ht="15">
      <c r="A191" s="237"/>
      <c r="B191" s="1202"/>
      <c r="C191" s="1202"/>
      <c r="H191" s="349"/>
      <c r="I191" s="369"/>
      <c r="J191" s="370"/>
      <c r="T191" s="237" t="s">
        <v>192</v>
      </c>
      <c r="U191" s="370"/>
      <c r="V191" s="391"/>
    </row>
    <row r="192" spans="1:22" ht="15">
      <c r="A192" s="237"/>
      <c r="B192" s="1202"/>
      <c r="C192" s="1202"/>
      <c r="H192" s="349"/>
      <c r="I192" s="369"/>
      <c r="J192" s="370"/>
      <c r="U192" s="370"/>
      <c r="V192" s="391"/>
    </row>
    <row r="193" spans="1:22" ht="15">
      <c r="A193" s="237"/>
      <c r="B193" s="1202"/>
      <c r="C193" s="1202"/>
      <c r="H193" s="349"/>
      <c r="I193" s="369"/>
      <c r="J193" s="370"/>
      <c r="R193" s="396"/>
      <c r="S193" s="396"/>
      <c r="T193" s="396"/>
      <c r="U193" s="370"/>
      <c r="V193" s="391"/>
    </row>
    <row r="194" spans="1:22" ht="15">
      <c r="A194" s="237"/>
      <c r="B194" s="1202"/>
      <c r="C194" s="1202"/>
      <c r="H194" s="349"/>
      <c r="I194" s="369"/>
      <c r="J194" s="370"/>
      <c r="R194" s="397"/>
      <c r="S194" s="397"/>
      <c r="T194" s="397"/>
      <c r="U194" s="370"/>
      <c r="V194" s="391"/>
    </row>
    <row r="195" spans="1:22" ht="15">
      <c r="A195" s="237"/>
      <c r="B195" s="1202"/>
      <c r="C195" s="1202"/>
      <c r="H195" s="349"/>
      <c r="I195" s="369"/>
      <c r="J195" s="370"/>
      <c r="U195" s="370"/>
      <c r="V195" s="391"/>
    </row>
    <row r="196" spans="1:22" ht="15">
      <c r="A196" s="237"/>
      <c r="B196" s="1202"/>
      <c r="C196" s="1202"/>
      <c r="H196" s="349"/>
      <c r="I196" s="369"/>
      <c r="J196" s="370"/>
      <c r="U196" s="370"/>
      <c r="V196" s="391"/>
    </row>
    <row r="197" spans="1:22" ht="15">
      <c r="B197" s="1202"/>
      <c r="C197" s="1202"/>
      <c r="H197" s="349"/>
      <c r="I197" s="369"/>
      <c r="J197" s="370"/>
    </row>
    <row r="198" spans="1:22" ht="15">
      <c r="B198" s="1202"/>
      <c r="C198" s="1202"/>
      <c r="H198" s="349"/>
      <c r="I198" s="369"/>
      <c r="J198" s="370"/>
    </row>
    <row r="199" spans="1:22" ht="15">
      <c r="B199" s="1202"/>
      <c r="C199" s="1202"/>
      <c r="H199" s="349"/>
      <c r="I199" s="369"/>
      <c r="J199" s="370"/>
    </row>
    <row r="200" spans="1:22" ht="15">
      <c r="B200" s="1202"/>
      <c r="C200" s="1202"/>
      <c r="H200" s="349"/>
      <c r="I200" s="369"/>
      <c r="J200" s="370"/>
    </row>
    <row r="201" spans="1:22" ht="15">
      <c r="B201" s="1202"/>
      <c r="C201" s="1202"/>
      <c r="H201" s="349"/>
      <c r="I201" s="369"/>
      <c r="J201" s="370"/>
    </row>
    <row r="202" spans="1:22" ht="15">
      <c r="B202" s="1202"/>
      <c r="C202" s="1202"/>
      <c r="H202" s="349"/>
      <c r="I202" s="369"/>
      <c r="J202" s="370"/>
    </row>
    <row r="203" spans="1:22" ht="15">
      <c r="B203" s="1202"/>
      <c r="C203" s="1202"/>
      <c r="H203" s="349"/>
      <c r="I203" s="369"/>
      <c r="J203" s="370"/>
    </row>
    <row r="204" spans="1:22" ht="15">
      <c r="B204" s="1202"/>
      <c r="C204" s="1202"/>
      <c r="H204" s="349"/>
      <c r="I204" s="369"/>
      <c r="J204" s="370"/>
    </row>
    <row r="205" spans="1:22" ht="15">
      <c r="B205" s="1202"/>
      <c r="C205" s="1202"/>
      <c r="H205" s="349"/>
      <c r="I205" s="369"/>
      <c r="J205" s="370"/>
    </row>
    <row r="206" spans="1:22" ht="15">
      <c r="B206" s="1202"/>
      <c r="C206" s="1202"/>
      <c r="H206" s="349"/>
      <c r="I206" s="369"/>
      <c r="J206" s="370"/>
    </row>
    <row r="207" spans="1:22" ht="15">
      <c r="B207" s="1202"/>
      <c r="C207" s="1202"/>
      <c r="H207" s="349"/>
      <c r="I207" s="369"/>
      <c r="J207" s="370"/>
    </row>
    <row r="208" spans="1:22" ht="15">
      <c r="B208" s="1202"/>
      <c r="C208" s="1202"/>
      <c r="H208" s="349"/>
      <c r="I208" s="369"/>
      <c r="J208" s="370"/>
    </row>
    <row r="209" spans="2:10" ht="15">
      <c r="B209" s="1202"/>
      <c r="C209" s="1202"/>
      <c r="H209" s="349"/>
      <c r="I209" s="369"/>
      <c r="J209" s="370"/>
    </row>
  </sheetData>
  <mergeCells count="210">
    <mergeCell ref="I4:S4"/>
    <mergeCell ref="I5:S5"/>
    <mergeCell ref="B7:C7"/>
    <mergeCell ref="F7:H7"/>
    <mergeCell ref="K7:L7"/>
    <mergeCell ref="P7:Q7"/>
    <mergeCell ref="B14:C14"/>
    <mergeCell ref="B15:C15"/>
    <mergeCell ref="B16:C16"/>
    <mergeCell ref="B17:C17"/>
    <mergeCell ref="B18:C18"/>
    <mergeCell ref="B19:C19"/>
    <mergeCell ref="B8:C8"/>
    <mergeCell ref="K8:L8"/>
    <mergeCell ref="B9:C9"/>
    <mergeCell ref="B10:C10"/>
    <mergeCell ref="B12:C12"/>
    <mergeCell ref="B13:C13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38:C38"/>
    <mergeCell ref="B39:C39"/>
    <mergeCell ref="S39:U39"/>
    <mergeCell ref="B40:C40"/>
    <mergeCell ref="B41:C41"/>
    <mergeCell ref="B42:C42"/>
    <mergeCell ref="B32:C32"/>
    <mergeCell ref="B33:C33"/>
    <mergeCell ref="B34:C34"/>
    <mergeCell ref="B35:C35"/>
    <mergeCell ref="B36:C36"/>
    <mergeCell ref="B37:C37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205:C205"/>
    <mergeCell ref="B206:C206"/>
    <mergeCell ref="B207:C207"/>
    <mergeCell ref="B208:C208"/>
    <mergeCell ref="B209:C209"/>
    <mergeCell ref="A7:A9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</mergeCells>
  <pageMargins left="0.43" right="0.55000000000000004" top="0.51" bottom="0.51" header="0.24" footer="0.24"/>
  <pageSetup paperSize="5" scale="62" orientation="landscape" verticalDpi="360" r:id="rId1"/>
  <headerFooter alignWithMargins="0"/>
  <rowBreaks count="2" manualBreakCount="2">
    <brk id="57" max="23" man="1"/>
    <brk id="134" max="2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2"/>
  </sheetPr>
  <dimension ref="A1:AA750"/>
  <sheetViews>
    <sheetView view="pageBreakPreview" zoomScale="60" zoomScaleNormal="50" workbookViewId="0">
      <selection activeCell="B15" sqref="A15:Y734"/>
    </sheetView>
  </sheetViews>
  <sheetFormatPr defaultRowHeight="12.75"/>
  <cols>
    <col min="1" max="1" width="4.7109375" style="238" customWidth="1"/>
    <col min="2" max="2" width="7.28515625" style="237" customWidth="1"/>
    <col min="3" max="3" width="5.85546875" style="238" customWidth="1"/>
    <col min="4" max="4" width="17.28515625" style="237" customWidth="1"/>
    <col min="5" max="5" width="8.85546875" style="237" customWidth="1"/>
    <col min="6" max="6" width="8.42578125" style="237" customWidth="1"/>
    <col min="7" max="7" width="9.140625" style="237" customWidth="1"/>
    <col min="8" max="8" width="8.7109375" style="238" customWidth="1"/>
    <col min="9" max="9" width="10.28515625" style="239" customWidth="1"/>
    <col min="10" max="10" width="42.42578125" style="238" customWidth="1"/>
    <col min="11" max="11" width="12.7109375" style="238" customWidth="1"/>
    <col min="12" max="12" width="26.42578125" style="238" customWidth="1"/>
    <col min="13" max="13" width="11.85546875" style="238" customWidth="1"/>
    <col min="14" max="14" width="8.42578125" style="238" customWidth="1"/>
    <col min="15" max="15" width="5.85546875" style="238" customWidth="1"/>
    <col min="16" max="16" width="11.42578125" style="238" customWidth="1"/>
    <col min="17" max="17" width="8" style="238" customWidth="1"/>
    <col min="18" max="18" width="8.5703125" style="238" customWidth="1"/>
    <col min="19" max="19" width="21.42578125" style="240" customWidth="1"/>
    <col min="20" max="20" width="10.5703125" style="239" customWidth="1"/>
    <col min="21" max="21" width="42.85546875" style="238" customWidth="1"/>
    <col min="22" max="22" width="12.5703125" style="238" customWidth="1"/>
    <col min="23" max="23" width="15.28515625" style="238" customWidth="1"/>
    <col min="24" max="24" width="13.42578125" style="238" customWidth="1"/>
    <col min="25" max="25" width="11.28515625" style="238" customWidth="1"/>
    <col min="26" max="16384" width="9.140625" style="238"/>
  </cols>
  <sheetData>
    <row r="1" spans="1:25" ht="15.75">
      <c r="A1" s="241" t="s">
        <v>47</v>
      </c>
      <c r="B1" s="242"/>
      <c r="C1" s="241" t="s">
        <v>121</v>
      </c>
      <c r="D1" s="241" t="s">
        <v>193</v>
      </c>
      <c r="E1" s="241"/>
      <c r="F1" s="241"/>
      <c r="G1" s="243"/>
      <c r="H1" s="244"/>
      <c r="I1" s="265"/>
      <c r="J1" s="244"/>
      <c r="K1" s="244"/>
      <c r="L1" s="244"/>
      <c r="M1" s="244"/>
      <c r="N1" s="244"/>
      <c r="O1" s="244"/>
      <c r="P1" s="244"/>
      <c r="Q1" s="244"/>
      <c r="R1" s="244"/>
      <c r="S1" s="281"/>
      <c r="T1" s="265"/>
      <c r="U1" s="244"/>
      <c r="V1" s="244"/>
      <c r="W1" s="244"/>
      <c r="X1" s="244"/>
      <c r="Y1" s="9" t="s">
        <v>194</v>
      </c>
    </row>
    <row r="2" spans="1:25" ht="15.75">
      <c r="A2" s="241" t="s">
        <v>123</v>
      </c>
      <c r="B2" s="242"/>
      <c r="C2" s="241" t="s">
        <v>121</v>
      </c>
      <c r="D2" s="1243" t="s">
        <v>50</v>
      </c>
      <c r="E2" s="1243"/>
      <c r="F2" s="1243"/>
      <c r="G2" s="243"/>
      <c r="H2" s="244"/>
      <c r="I2" s="265"/>
      <c r="J2" s="244"/>
      <c r="K2" s="244"/>
      <c r="L2" s="244"/>
      <c r="M2" s="244"/>
      <c r="N2" s="244"/>
      <c r="O2" s="244"/>
      <c r="P2" s="244"/>
      <c r="Q2" s="244"/>
      <c r="R2" s="244"/>
      <c r="S2" s="281"/>
      <c r="T2" s="265"/>
      <c r="U2" s="244"/>
      <c r="V2" s="244"/>
      <c r="W2" s="244"/>
      <c r="X2" s="244"/>
      <c r="Y2" s="244"/>
    </row>
    <row r="3" spans="1:25" ht="15.75">
      <c r="A3" s="241" t="s">
        <v>51</v>
      </c>
      <c r="B3" s="242"/>
      <c r="C3" s="241" t="s">
        <v>121</v>
      </c>
      <c r="D3" s="1243" t="s">
        <v>52</v>
      </c>
      <c r="E3" s="1243"/>
      <c r="F3" s="1243"/>
      <c r="G3" s="243"/>
      <c r="H3" s="244"/>
      <c r="I3" s="265"/>
      <c r="J3" s="244"/>
      <c r="K3" s="244"/>
      <c r="L3" s="244"/>
      <c r="M3" s="244"/>
      <c r="N3" s="244"/>
      <c r="O3" s="244"/>
      <c r="P3" s="244"/>
      <c r="Q3" s="244"/>
      <c r="R3" s="244"/>
      <c r="S3" s="281"/>
      <c r="T3" s="265"/>
      <c r="U3" s="244"/>
      <c r="V3" s="244"/>
      <c r="W3" s="244"/>
      <c r="X3" s="244"/>
      <c r="Y3" s="244"/>
    </row>
    <row r="4" spans="1:25" ht="18.75">
      <c r="A4" s="1218" t="s">
        <v>195</v>
      </c>
      <c r="B4" s="1218"/>
      <c r="C4" s="1218"/>
      <c r="D4" s="1218"/>
      <c r="E4" s="1218"/>
      <c r="F4" s="1218"/>
      <c r="G4" s="1218"/>
      <c r="H4" s="1218"/>
      <c r="I4" s="1244"/>
      <c r="J4" s="1218"/>
      <c r="K4" s="1218"/>
      <c r="L4" s="1218"/>
      <c r="M4" s="1218"/>
      <c r="N4" s="1218"/>
      <c r="O4" s="1218"/>
      <c r="P4" s="1218"/>
      <c r="Q4" s="1218"/>
      <c r="R4" s="1218"/>
      <c r="S4" s="1218"/>
      <c r="T4" s="1244"/>
      <c r="U4" s="1218"/>
      <c r="V4" s="1218"/>
      <c r="W4" s="1218"/>
      <c r="X4" s="1218"/>
      <c r="Y4" s="1218"/>
    </row>
    <row r="5" spans="1:25" ht="18.75">
      <c r="A5" s="246"/>
      <c r="B5" s="1218" t="s">
        <v>359</v>
      </c>
      <c r="C5" s="1218"/>
      <c r="D5" s="1218"/>
      <c r="E5" s="1218"/>
      <c r="F5" s="1218"/>
      <c r="G5" s="1218"/>
      <c r="H5" s="1218"/>
      <c r="I5" s="1244"/>
      <c r="J5" s="1218"/>
      <c r="K5" s="1218"/>
      <c r="L5" s="1218"/>
      <c r="M5" s="1218"/>
      <c r="N5" s="1218"/>
      <c r="O5" s="1218"/>
      <c r="P5" s="1218"/>
      <c r="Q5" s="1218"/>
      <c r="R5" s="1218"/>
      <c r="S5" s="1218"/>
      <c r="T5" s="1244"/>
      <c r="U5" s="1218"/>
      <c r="V5" s="1218"/>
      <c r="W5" s="1218"/>
      <c r="X5" s="1218"/>
      <c r="Y5" s="1218"/>
    </row>
    <row r="6" spans="1:25" ht="17.25">
      <c r="A6" s="247"/>
      <c r="B6" s="248"/>
      <c r="C6" s="248"/>
      <c r="D6" s="248"/>
      <c r="E6" s="248"/>
      <c r="F6" s="248"/>
      <c r="G6" s="248"/>
      <c r="H6" s="248"/>
      <c r="I6" s="266"/>
      <c r="J6" s="248"/>
      <c r="K6" s="248"/>
      <c r="L6" s="248"/>
      <c r="M6" s="248"/>
      <c r="N6" s="248"/>
      <c r="O6" s="248"/>
      <c r="P6" s="248"/>
      <c r="Q6" s="248"/>
      <c r="R6" s="248"/>
      <c r="S6" s="282"/>
      <c r="T6" s="266"/>
      <c r="U6" s="248"/>
      <c r="V6" s="248"/>
      <c r="W6" s="248"/>
      <c r="X6" s="248"/>
      <c r="Y6" s="248"/>
    </row>
    <row r="8" spans="1:25" ht="16.5">
      <c r="A8" s="1229" t="s">
        <v>2</v>
      </c>
      <c r="B8" s="1245"/>
      <c r="C8" s="1246"/>
      <c r="D8" s="568"/>
      <c r="E8" s="1247" t="s">
        <v>127</v>
      </c>
      <c r="F8" s="1248"/>
      <c r="G8" s="1247" t="s">
        <v>196</v>
      </c>
      <c r="H8" s="1248"/>
      <c r="I8" s="267"/>
      <c r="J8" s="268"/>
      <c r="K8" s="268"/>
      <c r="L8" s="1245" t="s">
        <v>128</v>
      </c>
      <c r="M8" s="1246"/>
      <c r="N8" s="268"/>
      <c r="O8" s="268"/>
      <c r="P8" s="268"/>
      <c r="Q8" s="1247" t="s">
        <v>129</v>
      </c>
      <c r="R8" s="1248"/>
      <c r="S8" s="283"/>
      <c r="T8" s="267"/>
      <c r="U8" s="268"/>
      <c r="V8" s="268"/>
      <c r="W8" s="268"/>
      <c r="X8" s="284"/>
      <c r="Y8" s="293"/>
    </row>
    <row r="9" spans="1:25" ht="16.5">
      <c r="A9" s="1229"/>
      <c r="B9" s="1237" t="s">
        <v>130</v>
      </c>
      <c r="C9" s="1238"/>
      <c r="D9" s="270" t="s">
        <v>4</v>
      </c>
      <c r="E9" s="571" t="s">
        <v>13</v>
      </c>
      <c r="F9" s="250" t="s">
        <v>136</v>
      </c>
      <c r="G9" s="250" t="s">
        <v>197</v>
      </c>
      <c r="H9" s="250" t="s">
        <v>13</v>
      </c>
      <c r="I9" s="269" t="s">
        <v>198</v>
      </c>
      <c r="J9" s="270" t="s">
        <v>132</v>
      </c>
      <c r="K9" s="249" t="s">
        <v>133</v>
      </c>
      <c r="L9" s="1237" t="s">
        <v>199</v>
      </c>
      <c r="M9" s="1238"/>
      <c r="N9" s="249" t="s">
        <v>45</v>
      </c>
      <c r="O9" s="249" t="s">
        <v>2</v>
      </c>
      <c r="P9" s="249" t="s">
        <v>130</v>
      </c>
      <c r="Q9" s="249" t="s">
        <v>2</v>
      </c>
      <c r="R9" s="249" t="s">
        <v>136</v>
      </c>
      <c r="S9" s="260" t="s">
        <v>43</v>
      </c>
      <c r="T9" s="269" t="s">
        <v>200</v>
      </c>
      <c r="U9" s="249" t="s">
        <v>201</v>
      </c>
      <c r="V9" s="249" t="s">
        <v>137</v>
      </c>
      <c r="W9" s="249" t="s">
        <v>138</v>
      </c>
      <c r="X9" s="270" t="s">
        <v>202</v>
      </c>
      <c r="Y9" s="294" t="s">
        <v>45</v>
      </c>
    </row>
    <row r="10" spans="1:25" ht="16.5">
      <c r="A10" s="1229"/>
      <c r="B10" s="1237" t="s">
        <v>136</v>
      </c>
      <c r="C10" s="1238"/>
      <c r="D10" s="270"/>
      <c r="E10" s="567"/>
      <c r="F10" s="249"/>
      <c r="G10" s="249" t="s">
        <v>203</v>
      </c>
      <c r="H10" s="251"/>
      <c r="I10" s="269" t="s">
        <v>204</v>
      </c>
      <c r="J10" s="270" t="s">
        <v>140</v>
      </c>
      <c r="K10" s="249" t="s">
        <v>141</v>
      </c>
      <c r="L10" s="250" t="s">
        <v>13</v>
      </c>
      <c r="M10" s="250" t="s">
        <v>3</v>
      </c>
      <c r="N10" s="249"/>
      <c r="O10" s="249" t="s">
        <v>143</v>
      </c>
      <c r="P10" s="249" t="s">
        <v>136</v>
      </c>
      <c r="Q10" s="249"/>
      <c r="R10" s="249"/>
      <c r="S10" s="260"/>
      <c r="T10" s="269" t="s">
        <v>204</v>
      </c>
      <c r="U10" s="249" t="s">
        <v>205</v>
      </c>
      <c r="V10" s="249" t="s">
        <v>141</v>
      </c>
      <c r="W10" s="249" t="s">
        <v>133</v>
      </c>
      <c r="X10" s="270" t="s">
        <v>144</v>
      </c>
      <c r="Y10" s="295"/>
    </row>
    <row r="11" spans="1:25" s="237" customFormat="1" ht="14.25" customHeight="1">
      <c r="A11" s="252">
        <v>1</v>
      </c>
      <c r="B11" s="1239">
        <v>2</v>
      </c>
      <c r="C11" s="1240"/>
      <c r="D11" s="271">
        <v>3</v>
      </c>
      <c r="E11" s="572">
        <v>4</v>
      </c>
      <c r="F11" s="253">
        <v>5</v>
      </c>
      <c r="G11" s="253">
        <v>6</v>
      </c>
      <c r="H11" s="253">
        <v>7</v>
      </c>
      <c r="I11" s="253">
        <v>8</v>
      </c>
      <c r="J11" s="271">
        <v>9</v>
      </c>
      <c r="K11" s="253">
        <v>10</v>
      </c>
      <c r="L11" s="253">
        <v>11</v>
      </c>
      <c r="M11" s="253">
        <v>12</v>
      </c>
      <c r="N11" s="253">
        <v>13</v>
      </c>
      <c r="O11" s="253">
        <v>14</v>
      </c>
      <c r="P11" s="253">
        <v>15</v>
      </c>
      <c r="Q11" s="253">
        <v>16</v>
      </c>
      <c r="R11" s="253">
        <v>17</v>
      </c>
      <c r="S11" s="253">
        <v>18</v>
      </c>
      <c r="T11" s="253">
        <v>19</v>
      </c>
      <c r="U11" s="253">
        <v>20</v>
      </c>
      <c r="V11" s="253">
        <v>21</v>
      </c>
      <c r="W11" s="253">
        <v>22</v>
      </c>
      <c r="X11" s="271">
        <v>23</v>
      </c>
      <c r="Y11" s="296">
        <v>24</v>
      </c>
    </row>
    <row r="12" spans="1:25" ht="16.5">
      <c r="A12" s="254"/>
      <c r="B12" s="1241"/>
      <c r="C12" s="1242"/>
      <c r="D12" s="573"/>
      <c r="E12" s="571"/>
      <c r="F12" s="250"/>
      <c r="G12" s="250"/>
      <c r="H12" s="257"/>
      <c r="I12" s="272"/>
      <c r="J12" s="273"/>
      <c r="K12" s="274"/>
      <c r="L12" s="257"/>
      <c r="M12" s="255"/>
      <c r="N12" s="257"/>
      <c r="O12" s="250"/>
      <c r="P12" s="275"/>
      <c r="Q12" s="250"/>
      <c r="R12" s="255"/>
      <c r="S12" s="256"/>
      <c r="T12" s="285"/>
      <c r="U12" s="257"/>
      <c r="V12" s="286"/>
      <c r="W12" s="287"/>
      <c r="X12" s="288"/>
      <c r="Y12" s="297"/>
    </row>
    <row r="13" spans="1:25" ht="16.5">
      <c r="A13" s="1223" t="str">
        <f>'LAMP.8 (I)'!A10</f>
        <v>1. Alat Tulis Kantor</v>
      </c>
      <c r="B13" s="1223"/>
      <c r="C13" s="1223"/>
      <c r="D13" s="1223"/>
      <c r="E13" s="1223"/>
      <c r="F13" s="1223"/>
      <c r="G13" s="1223"/>
      <c r="H13" s="1223"/>
      <c r="I13" s="1224"/>
      <c r="J13" s="1223"/>
      <c r="K13" s="1223"/>
      <c r="L13" s="1223"/>
      <c r="M13" s="1223"/>
      <c r="N13" s="1223"/>
      <c r="O13" s="1223"/>
      <c r="P13" s="1223"/>
      <c r="Q13" s="1223"/>
      <c r="R13" s="1223"/>
      <c r="S13" s="1223"/>
      <c r="T13" s="1224"/>
      <c r="U13" s="1223"/>
      <c r="V13" s="1223"/>
      <c r="W13" s="1223"/>
      <c r="X13" s="1223"/>
      <c r="Y13" s="1225"/>
    </row>
    <row r="14" spans="1:25" ht="16.5">
      <c r="A14" s="258"/>
      <c r="B14" s="1235"/>
      <c r="C14" s="1236"/>
      <c r="D14" s="574"/>
      <c r="E14" s="567"/>
      <c r="F14" s="249"/>
      <c r="G14" s="249"/>
      <c r="H14" s="251"/>
      <c r="I14" s="272"/>
      <c r="J14" s="273"/>
      <c r="K14" s="274"/>
      <c r="L14" s="251"/>
      <c r="M14" s="259"/>
      <c r="N14" s="251"/>
      <c r="O14" s="249"/>
      <c r="P14" s="276"/>
      <c r="Q14" s="249"/>
      <c r="R14" s="259"/>
      <c r="S14" s="260"/>
      <c r="T14" s="269"/>
      <c r="U14" s="251"/>
      <c r="V14" s="289"/>
      <c r="W14" s="289"/>
      <c r="X14" s="288"/>
      <c r="Y14" s="295"/>
    </row>
    <row r="15" spans="1:25" ht="17.25" customHeight="1">
      <c r="A15" s="261"/>
      <c r="B15" s="1226"/>
      <c r="C15" s="1227"/>
      <c r="D15" s="575"/>
      <c r="E15" s="570"/>
      <c r="F15" s="263"/>
      <c r="G15" s="263"/>
      <c r="H15" s="264"/>
      <c r="I15" s="277"/>
      <c r="J15" s="278"/>
      <c r="K15" s="279"/>
      <c r="L15" s="264"/>
      <c r="M15" s="280"/>
      <c r="N15" s="264"/>
      <c r="O15" s="263"/>
      <c r="P15" s="280"/>
      <c r="Q15" s="263"/>
      <c r="R15" s="290"/>
      <c r="S15" s="262"/>
      <c r="T15" s="291"/>
      <c r="U15" s="264"/>
      <c r="V15" s="292"/>
      <c r="W15" s="292"/>
      <c r="X15" s="280"/>
      <c r="Y15" s="298"/>
    </row>
    <row r="16" spans="1:25" ht="17.25" customHeight="1">
      <c r="A16" s="261"/>
      <c r="B16" s="1226"/>
      <c r="C16" s="1227"/>
      <c r="D16" s="1226"/>
      <c r="E16" s="1227"/>
      <c r="F16" s="263"/>
      <c r="G16" s="263"/>
      <c r="H16" s="264"/>
      <c r="I16" s="277"/>
      <c r="J16" s="278"/>
      <c r="K16" s="279"/>
      <c r="L16" s="264"/>
      <c r="M16" s="264"/>
      <c r="N16" s="264"/>
      <c r="O16" s="263"/>
      <c r="P16" s="280"/>
      <c r="Q16" s="263"/>
      <c r="R16" s="290"/>
      <c r="S16" s="262"/>
      <c r="T16" s="291"/>
      <c r="U16" s="264"/>
      <c r="V16" s="292"/>
      <c r="W16" s="292"/>
      <c r="X16" s="280"/>
      <c r="Y16" s="298"/>
    </row>
    <row r="17" spans="1:26" ht="17.25" customHeight="1">
      <c r="A17" s="261"/>
      <c r="B17" s="1226"/>
      <c r="C17" s="1227"/>
      <c r="D17" s="1226"/>
      <c r="E17" s="1227"/>
      <c r="F17" s="263"/>
      <c r="G17" s="263"/>
      <c r="H17" s="264"/>
      <c r="I17" s="277"/>
      <c r="J17" s="278"/>
      <c r="K17" s="279"/>
      <c r="L17" s="264"/>
      <c r="M17" s="264"/>
      <c r="N17" s="264"/>
      <c r="O17" s="263"/>
      <c r="P17" s="280"/>
      <c r="Q17" s="263"/>
      <c r="R17" s="290"/>
      <c r="S17" s="262"/>
      <c r="T17" s="291"/>
      <c r="U17" s="264"/>
      <c r="V17" s="292"/>
      <c r="W17" s="292"/>
      <c r="X17" s="280"/>
      <c r="Y17" s="298"/>
    </row>
    <row r="18" spans="1:26" ht="17.25" customHeight="1">
      <c r="A18" s="261"/>
      <c r="B18" s="1226"/>
      <c r="C18" s="1227"/>
      <c r="D18" s="1226"/>
      <c r="E18" s="1227"/>
      <c r="F18" s="263"/>
      <c r="G18" s="263"/>
      <c r="H18" s="264"/>
      <c r="I18" s="277"/>
      <c r="J18" s="278"/>
      <c r="K18" s="279"/>
      <c r="L18" s="264"/>
      <c r="M18" s="264"/>
      <c r="N18" s="264"/>
      <c r="O18" s="263"/>
      <c r="P18" s="280"/>
      <c r="Q18" s="263"/>
      <c r="R18" s="290"/>
      <c r="S18" s="262"/>
      <c r="T18" s="291"/>
      <c r="U18" s="264"/>
      <c r="V18" s="292"/>
      <c r="W18" s="292"/>
      <c r="X18" s="280"/>
      <c r="Y18" s="298"/>
    </row>
    <row r="19" spans="1:26" ht="17.25" customHeight="1">
      <c r="A19" s="261"/>
      <c r="B19" s="1226"/>
      <c r="C19" s="1227"/>
      <c r="D19" s="1226"/>
      <c r="E19" s="1227"/>
      <c r="F19" s="263"/>
      <c r="G19" s="263"/>
      <c r="H19" s="264"/>
      <c r="I19" s="277"/>
      <c r="J19" s="278"/>
      <c r="K19" s="279"/>
      <c r="L19" s="264"/>
      <c r="M19" s="264"/>
      <c r="N19" s="264"/>
      <c r="O19" s="263"/>
      <c r="P19" s="280"/>
      <c r="Q19" s="263"/>
      <c r="R19" s="290"/>
      <c r="S19" s="262"/>
      <c r="T19" s="291"/>
      <c r="U19" s="264"/>
      <c r="V19" s="292"/>
      <c r="W19" s="292"/>
      <c r="X19" s="280"/>
      <c r="Y19" s="298"/>
    </row>
    <row r="20" spans="1:26" ht="17.25" customHeight="1">
      <c r="A20" s="261"/>
      <c r="B20" s="1226"/>
      <c r="C20" s="1227"/>
      <c r="D20" s="1226"/>
      <c r="E20" s="1227"/>
      <c r="F20" s="263"/>
      <c r="G20" s="263"/>
      <c r="H20" s="264"/>
      <c r="I20" s="277"/>
      <c r="J20" s="278"/>
      <c r="K20" s="279"/>
      <c r="L20" s="264"/>
      <c r="M20" s="264"/>
      <c r="N20" s="264"/>
      <c r="O20" s="263"/>
      <c r="P20" s="280"/>
      <c r="Q20" s="263"/>
      <c r="R20" s="290"/>
      <c r="S20" s="262"/>
      <c r="T20" s="291"/>
      <c r="U20" s="264"/>
      <c r="V20" s="292"/>
      <c r="W20" s="292"/>
      <c r="X20" s="280"/>
      <c r="Y20" s="298"/>
    </row>
    <row r="21" spans="1:26" ht="17.25" customHeight="1">
      <c r="A21" s="261"/>
      <c r="B21" s="1226"/>
      <c r="C21" s="1227"/>
      <c r="D21" s="1226"/>
      <c r="E21" s="1227"/>
      <c r="F21" s="263"/>
      <c r="G21" s="263"/>
      <c r="H21" s="264"/>
      <c r="I21" s="277"/>
      <c r="J21" s="278"/>
      <c r="K21" s="279"/>
      <c r="L21" s="264"/>
      <c r="M21" s="264"/>
      <c r="N21" s="264"/>
      <c r="O21" s="263"/>
      <c r="P21" s="280"/>
      <c r="Q21" s="263"/>
      <c r="R21" s="290"/>
      <c r="S21" s="262"/>
      <c r="T21" s="291"/>
      <c r="U21" s="264"/>
      <c r="V21" s="292"/>
      <c r="W21" s="292"/>
      <c r="X21" s="280"/>
      <c r="Y21" s="298"/>
    </row>
    <row r="22" spans="1:26" ht="17.25" customHeight="1">
      <c r="A22" s="261"/>
      <c r="B22" s="1226"/>
      <c r="C22" s="1227"/>
      <c r="D22" s="1226"/>
      <c r="E22" s="1227"/>
      <c r="F22" s="263"/>
      <c r="G22" s="263"/>
      <c r="H22" s="264"/>
      <c r="I22" s="277"/>
      <c r="J22" s="278"/>
      <c r="K22" s="279"/>
      <c r="L22" s="264"/>
      <c r="M22" s="264"/>
      <c r="N22" s="264"/>
      <c r="O22" s="263"/>
      <c r="P22" s="280"/>
      <c r="Q22" s="263"/>
      <c r="R22" s="290"/>
      <c r="S22" s="262"/>
      <c r="T22" s="291"/>
      <c r="U22" s="264"/>
      <c r="V22" s="292"/>
      <c r="W22" s="292"/>
      <c r="X22" s="280"/>
      <c r="Y22" s="298"/>
    </row>
    <row r="23" spans="1:26" ht="17.25" customHeight="1">
      <c r="A23" s="261"/>
      <c r="B23" s="1226"/>
      <c r="C23" s="1227"/>
      <c r="D23" s="1226"/>
      <c r="E23" s="1227"/>
      <c r="F23" s="263"/>
      <c r="G23" s="263"/>
      <c r="H23" s="264"/>
      <c r="I23" s="277"/>
      <c r="J23" s="278"/>
      <c r="K23" s="279"/>
      <c r="L23" s="264"/>
      <c r="M23" s="264"/>
      <c r="N23" s="264"/>
      <c r="O23" s="263"/>
      <c r="P23" s="280"/>
      <c r="Q23" s="263"/>
      <c r="R23" s="290"/>
      <c r="S23" s="262"/>
      <c r="T23" s="291"/>
      <c r="U23" s="264"/>
      <c r="V23" s="292"/>
      <c r="W23" s="292"/>
      <c r="X23" s="280"/>
      <c r="Y23" s="298"/>
    </row>
    <row r="24" spans="1:26" ht="17.25" customHeight="1">
      <c r="A24" s="261"/>
      <c r="B24" s="1226"/>
      <c r="C24" s="1227"/>
      <c r="D24" s="1226"/>
      <c r="E24" s="1227"/>
      <c r="F24" s="263"/>
      <c r="G24" s="263"/>
      <c r="H24" s="264"/>
      <c r="I24" s="277"/>
      <c r="J24" s="278"/>
      <c r="K24" s="279"/>
      <c r="L24" s="264"/>
      <c r="M24" s="264"/>
      <c r="N24" s="264"/>
      <c r="O24" s="263"/>
      <c r="P24" s="280"/>
      <c r="Q24" s="263"/>
      <c r="R24" s="290"/>
      <c r="S24" s="262"/>
      <c r="T24" s="291"/>
      <c r="U24" s="264"/>
      <c r="V24" s="292"/>
      <c r="W24" s="292"/>
      <c r="X24" s="280"/>
      <c r="Y24" s="298"/>
    </row>
    <row r="25" spans="1:26" ht="17.25" customHeight="1">
      <c r="A25" s="261"/>
      <c r="B25" s="1226"/>
      <c r="C25" s="1227"/>
      <c r="D25" s="1226"/>
      <c r="E25" s="1227"/>
      <c r="F25" s="263"/>
      <c r="G25" s="263"/>
      <c r="H25" s="264"/>
      <c r="I25" s="277"/>
      <c r="J25" s="277"/>
      <c r="K25" s="277"/>
      <c r="L25" s="277"/>
      <c r="M25" s="277"/>
      <c r="N25" s="277"/>
      <c r="O25" s="277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</row>
    <row r="26" spans="1:26" ht="17.25" customHeight="1">
      <c r="A26" s="261"/>
      <c r="B26" s="1226"/>
      <c r="C26" s="1227"/>
      <c r="D26" s="575"/>
      <c r="E26" s="570"/>
      <c r="F26" s="263"/>
      <c r="G26" s="263"/>
      <c r="H26" s="264"/>
      <c r="I26" s="277"/>
      <c r="J26" s="278"/>
      <c r="K26" s="279"/>
      <c r="L26" s="264"/>
      <c r="M26" s="280"/>
      <c r="N26" s="264"/>
      <c r="O26" s="263"/>
      <c r="P26" s="280"/>
      <c r="Q26" s="263"/>
      <c r="R26" s="290"/>
      <c r="S26" s="262"/>
      <c r="T26" s="291"/>
      <c r="U26" s="264"/>
      <c r="V26" s="292"/>
      <c r="W26" s="292"/>
      <c r="X26" s="280"/>
      <c r="Y26" s="298"/>
    </row>
    <row r="27" spans="1:26" ht="17.25" customHeight="1">
      <c r="A27" s="261"/>
      <c r="B27" s="1226"/>
      <c r="C27" s="1227"/>
      <c r="D27" s="1226"/>
      <c r="E27" s="1227"/>
      <c r="F27" s="263"/>
      <c r="G27" s="263"/>
      <c r="H27" s="264"/>
      <c r="I27" s="277"/>
      <c r="J27" s="278"/>
      <c r="K27" s="279"/>
      <c r="L27" s="264"/>
      <c r="M27" s="264"/>
      <c r="N27" s="264"/>
      <c r="O27" s="264"/>
      <c r="P27" s="264"/>
      <c r="Q27" s="264"/>
      <c r="R27" s="264"/>
      <c r="S27" s="264"/>
      <c r="T27" s="291"/>
      <c r="U27" s="264"/>
      <c r="V27" s="292"/>
      <c r="W27" s="292"/>
      <c r="X27" s="280"/>
      <c r="Y27" s="298"/>
    </row>
    <row r="28" spans="1:26" ht="17.25" customHeight="1">
      <c r="A28" s="261"/>
      <c r="B28" s="1226"/>
      <c r="C28" s="1227"/>
      <c r="D28" s="1226"/>
      <c r="E28" s="1227"/>
      <c r="F28" s="263"/>
      <c r="G28" s="263"/>
      <c r="H28" s="264"/>
      <c r="I28" s="277"/>
      <c r="J28" s="278"/>
      <c r="K28" s="279"/>
      <c r="L28" s="264"/>
      <c r="M28" s="264"/>
      <c r="N28" s="264"/>
      <c r="O28" s="264"/>
      <c r="P28" s="264"/>
      <c r="Q28" s="264"/>
      <c r="R28" s="264"/>
      <c r="S28" s="264"/>
      <c r="T28" s="291"/>
      <c r="U28" s="264"/>
      <c r="V28" s="292"/>
      <c r="W28" s="292"/>
      <c r="X28" s="280"/>
      <c r="Y28" s="298"/>
    </row>
    <row r="29" spans="1:26" ht="17.25" customHeight="1">
      <c r="A29" s="261"/>
      <c r="B29" s="1226"/>
      <c r="C29" s="1227"/>
      <c r="D29" s="1226"/>
      <c r="E29" s="1227"/>
      <c r="F29" s="263"/>
      <c r="G29" s="263"/>
      <c r="H29" s="264"/>
      <c r="I29" s="277"/>
      <c r="J29" s="278"/>
      <c r="K29" s="279"/>
      <c r="L29" s="264"/>
      <c r="M29" s="264"/>
      <c r="N29" s="264"/>
      <c r="O29" s="264"/>
      <c r="P29" s="264"/>
      <c r="Q29" s="264"/>
      <c r="R29" s="264"/>
      <c r="S29" s="264"/>
      <c r="T29" s="291"/>
      <c r="U29" s="264"/>
      <c r="V29" s="292"/>
      <c r="W29" s="292"/>
      <c r="X29" s="280"/>
      <c r="Y29" s="298"/>
    </row>
    <row r="30" spans="1:26" ht="17.25" customHeight="1">
      <c r="A30" s="261"/>
      <c r="B30" s="1226"/>
      <c r="C30" s="1227"/>
      <c r="D30" s="1226"/>
      <c r="E30" s="1227"/>
      <c r="F30" s="263"/>
      <c r="G30" s="263"/>
      <c r="H30" s="264"/>
      <c r="I30" s="277"/>
      <c r="J30" s="278"/>
      <c r="K30" s="279"/>
      <c r="L30" s="264"/>
      <c r="M30" s="264"/>
      <c r="N30" s="264"/>
      <c r="O30" s="264"/>
      <c r="P30" s="264"/>
      <c r="Q30" s="264"/>
      <c r="R30" s="264"/>
      <c r="S30" s="264"/>
      <c r="T30" s="291"/>
      <c r="U30" s="264"/>
      <c r="V30" s="292"/>
      <c r="W30" s="292"/>
      <c r="X30" s="280"/>
      <c r="Y30" s="298"/>
    </row>
    <row r="31" spans="1:26" ht="17.25" customHeight="1">
      <c r="A31" s="261"/>
      <c r="B31" s="1226"/>
      <c r="C31" s="1227"/>
      <c r="D31" s="1226"/>
      <c r="E31" s="1227"/>
      <c r="F31" s="263"/>
      <c r="G31" s="263"/>
      <c r="H31" s="264"/>
      <c r="I31" s="277"/>
      <c r="J31" s="278"/>
      <c r="K31" s="279"/>
      <c r="L31" s="264"/>
      <c r="M31" s="264"/>
      <c r="N31" s="264"/>
      <c r="O31" s="264"/>
      <c r="P31" s="264"/>
      <c r="Q31" s="264"/>
      <c r="R31" s="264"/>
      <c r="S31" s="264"/>
      <c r="T31" s="291"/>
      <c r="U31" s="264"/>
      <c r="V31" s="292"/>
      <c r="W31" s="292"/>
      <c r="X31" s="280"/>
      <c r="Y31" s="298"/>
    </row>
    <row r="32" spans="1:26" ht="17.25" customHeight="1">
      <c r="A32" s="261"/>
      <c r="B32" s="1226"/>
      <c r="C32" s="1227"/>
      <c r="D32" s="1226"/>
      <c r="E32" s="1227"/>
      <c r="F32" s="263"/>
      <c r="G32" s="263"/>
      <c r="H32" s="264"/>
      <c r="I32" s="277"/>
      <c r="J32" s="278"/>
      <c r="K32" s="279"/>
      <c r="L32" s="264"/>
      <c r="M32" s="264"/>
      <c r="N32" s="264"/>
      <c r="O32" s="264"/>
      <c r="P32" s="264"/>
      <c r="Q32" s="264"/>
      <c r="R32" s="264"/>
      <c r="S32" s="264"/>
      <c r="T32" s="291"/>
      <c r="U32" s="264"/>
      <c r="V32" s="292"/>
      <c r="W32" s="292"/>
      <c r="X32" s="280"/>
      <c r="Y32" s="298"/>
    </row>
    <row r="33" spans="1:25" ht="17.25" customHeight="1">
      <c r="A33" s="261"/>
      <c r="B33" s="1226"/>
      <c r="C33" s="1227"/>
      <c r="D33" s="1226"/>
      <c r="E33" s="1227"/>
      <c r="F33" s="263"/>
      <c r="G33" s="263"/>
      <c r="H33" s="264"/>
      <c r="I33" s="277"/>
      <c r="J33" s="278"/>
      <c r="K33" s="279"/>
      <c r="L33" s="264"/>
      <c r="M33" s="264"/>
      <c r="N33" s="264"/>
      <c r="O33" s="264"/>
      <c r="P33" s="264"/>
      <c r="Q33" s="264"/>
      <c r="R33" s="264"/>
      <c r="S33" s="264"/>
      <c r="T33" s="291"/>
      <c r="U33" s="264"/>
      <c r="V33" s="292"/>
      <c r="W33" s="292"/>
      <c r="X33" s="280"/>
      <c r="Y33" s="298"/>
    </row>
    <row r="34" spans="1:25" ht="17.25" customHeight="1">
      <c r="A34" s="261"/>
      <c r="B34" s="1226"/>
      <c r="C34" s="1227"/>
      <c r="D34" s="1226"/>
      <c r="E34" s="1227"/>
      <c r="F34" s="263"/>
      <c r="G34" s="263"/>
      <c r="H34" s="264"/>
      <c r="I34" s="277"/>
      <c r="J34" s="278"/>
      <c r="K34" s="279"/>
      <c r="L34" s="264"/>
      <c r="M34" s="264"/>
      <c r="N34" s="264"/>
      <c r="O34" s="264"/>
      <c r="P34" s="264"/>
      <c r="Q34" s="264"/>
      <c r="R34" s="264"/>
      <c r="S34" s="264"/>
      <c r="T34" s="291"/>
      <c r="U34" s="264"/>
      <c r="V34" s="292"/>
      <c r="W34" s="292"/>
      <c r="X34" s="280"/>
      <c r="Y34" s="298"/>
    </row>
    <row r="35" spans="1:25" ht="17.25" customHeight="1">
      <c r="A35" s="261"/>
      <c r="B35" s="1226"/>
      <c r="C35" s="1227"/>
      <c r="D35" s="1226"/>
      <c r="E35" s="1227"/>
      <c r="F35" s="263"/>
      <c r="G35" s="263"/>
      <c r="H35" s="264"/>
      <c r="I35" s="277"/>
      <c r="J35" s="278"/>
      <c r="K35" s="279"/>
      <c r="L35" s="264"/>
      <c r="M35" s="264"/>
      <c r="N35" s="264"/>
      <c r="O35" s="264"/>
      <c r="P35" s="264"/>
      <c r="Q35" s="264"/>
      <c r="R35" s="264"/>
      <c r="S35" s="264"/>
      <c r="T35" s="291"/>
      <c r="U35" s="264"/>
      <c r="V35" s="292"/>
      <c r="W35" s="292"/>
      <c r="X35" s="280"/>
      <c r="Y35" s="298"/>
    </row>
    <row r="36" spans="1:25" ht="17.25" customHeight="1">
      <c r="A36" s="261"/>
      <c r="B36" s="1226"/>
      <c r="C36" s="1227"/>
      <c r="D36" s="1226"/>
      <c r="E36" s="1227"/>
      <c r="F36" s="263"/>
      <c r="G36" s="263"/>
      <c r="H36" s="264"/>
      <c r="I36" s="277"/>
      <c r="J36" s="278"/>
      <c r="K36" s="279"/>
      <c r="L36" s="264"/>
      <c r="M36" s="264"/>
      <c r="N36" s="264"/>
      <c r="O36" s="264"/>
      <c r="P36" s="264"/>
      <c r="Q36" s="264"/>
      <c r="R36" s="264"/>
      <c r="S36" s="264"/>
      <c r="T36" s="291"/>
      <c r="U36" s="264"/>
      <c r="V36" s="292"/>
      <c r="W36" s="292"/>
      <c r="X36" s="280"/>
      <c r="Y36" s="298"/>
    </row>
    <row r="37" spans="1:25" ht="17.25" customHeight="1">
      <c r="A37" s="261"/>
      <c r="B37" s="1226"/>
      <c r="C37" s="1227"/>
      <c r="D37" s="1226"/>
      <c r="E37" s="1227"/>
      <c r="F37" s="263"/>
      <c r="G37" s="263"/>
      <c r="H37" s="264"/>
      <c r="I37" s="277"/>
      <c r="J37" s="278"/>
      <c r="K37" s="279"/>
      <c r="L37" s="264"/>
      <c r="M37" s="264"/>
      <c r="N37" s="264"/>
      <c r="O37" s="264"/>
      <c r="P37" s="264"/>
      <c r="Q37" s="264"/>
      <c r="R37" s="264"/>
      <c r="S37" s="264"/>
      <c r="T37" s="291"/>
      <c r="U37" s="264"/>
      <c r="V37" s="292"/>
      <c r="W37" s="292"/>
      <c r="X37" s="280"/>
      <c r="Y37" s="298"/>
    </row>
    <row r="38" spans="1:25" ht="17.25" customHeight="1">
      <c r="A38" s="261"/>
      <c r="B38" s="1226"/>
      <c r="C38" s="1227"/>
      <c r="D38" s="1226"/>
      <c r="E38" s="1227"/>
      <c r="F38" s="263"/>
      <c r="G38" s="263"/>
      <c r="H38" s="264"/>
      <c r="I38" s="277"/>
      <c r="J38" s="278"/>
      <c r="K38" s="279"/>
      <c r="L38" s="264"/>
      <c r="M38" s="264"/>
      <c r="N38" s="264"/>
      <c r="O38" s="264"/>
      <c r="P38" s="264"/>
      <c r="Q38" s="264"/>
      <c r="R38" s="264"/>
      <c r="S38" s="264"/>
      <c r="T38" s="291"/>
      <c r="U38" s="264"/>
      <c r="V38" s="292"/>
      <c r="W38" s="292"/>
      <c r="X38" s="280"/>
      <c r="Y38" s="298"/>
    </row>
    <row r="39" spans="1:25" ht="17.25" customHeight="1">
      <c r="A39" s="261"/>
      <c r="B39" s="1226"/>
      <c r="C39" s="1227"/>
      <c r="D39" s="1226"/>
      <c r="E39" s="1227"/>
      <c r="F39" s="263"/>
      <c r="G39" s="263"/>
      <c r="H39" s="264"/>
      <c r="I39" s="277"/>
      <c r="J39" s="278"/>
      <c r="K39" s="279"/>
      <c r="L39" s="264"/>
      <c r="M39" s="264"/>
      <c r="N39" s="264"/>
      <c r="O39" s="264"/>
      <c r="P39" s="264"/>
      <c r="Q39" s="264"/>
      <c r="R39" s="264"/>
      <c r="S39" s="264"/>
      <c r="T39" s="291"/>
      <c r="U39" s="264"/>
      <c r="V39" s="292"/>
      <c r="W39" s="292"/>
      <c r="X39" s="280"/>
      <c r="Y39" s="298"/>
    </row>
    <row r="40" spans="1:25" ht="17.25" customHeight="1">
      <c r="A40" s="261"/>
      <c r="B40" s="1226"/>
      <c r="C40" s="1227"/>
      <c r="D40" s="1226"/>
      <c r="E40" s="1227"/>
      <c r="F40" s="263"/>
      <c r="G40" s="263"/>
      <c r="H40" s="264"/>
      <c r="I40" s="277"/>
      <c r="J40" s="278"/>
      <c r="K40" s="279"/>
      <c r="L40" s="264"/>
      <c r="M40" s="264"/>
      <c r="N40" s="264"/>
      <c r="O40" s="264"/>
      <c r="P40" s="264"/>
      <c r="Q40" s="264"/>
      <c r="R40" s="264"/>
      <c r="S40" s="264"/>
      <c r="T40" s="291"/>
      <c r="U40" s="264"/>
      <c r="V40" s="292"/>
      <c r="W40" s="292"/>
      <c r="X40" s="280"/>
      <c r="Y40" s="298"/>
    </row>
    <row r="41" spans="1:25" ht="17.25" customHeight="1">
      <c r="A41" s="261"/>
      <c r="B41" s="1226"/>
      <c r="C41" s="1227"/>
      <c r="D41" s="1226"/>
      <c r="E41" s="1227"/>
      <c r="F41" s="263"/>
      <c r="G41" s="263"/>
      <c r="H41" s="264"/>
      <c r="I41" s="277"/>
      <c r="J41" s="278"/>
      <c r="K41" s="279"/>
      <c r="L41" s="264"/>
      <c r="M41" s="264"/>
      <c r="N41" s="264"/>
      <c r="O41" s="264"/>
      <c r="P41" s="264"/>
      <c r="Q41" s="264"/>
      <c r="R41" s="264"/>
      <c r="S41" s="264"/>
      <c r="T41" s="291"/>
      <c r="U41" s="264"/>
      <c r="V41" s="292"/>
      <c r="W41" s="292"/>
      <c r="X41" s="280"/>
      <c r="Y41" s="298"/>
    </row>
    <row r="42" spans="1:25" ht="17.25" customHeight="1">
      <c r="A42" s="261"/>
      <c r="B42" s="1226"/>
      <c r="C42" s="1227"/>
      <c r="D42" s="1226"/>
      <c r="E42" s="1227"/>
      <c r="F42" s="263"/>
      <c r="G42" s="263"/>
      <c r="H42" s="264"/>
      <c r="I42" s="277"/>
      <c r="J42" s="278"/>
      <c r="K42" s="279"/>
      <c r="L42" s="264"/>
      <c r="M42" s="264"/>
      <c r="N42" s="264"/>
      <c r="O42" s="264"/>
      <c r="P42" s="264"/>
      <c r="Q42" s="264"/>
      <c r="R42" s="264"/>
      <c r="S42" s="264"/>
      <c r="T42" s="291"/>
      <c r="U42" s="264"/>
      <c r="V42" s="292"/>
      <c r="W42" s="292"/>
      <c r="X42" s="280"/>
      <c r="Y42" s="298"/>
    </row>
    <row r="43" spans="1:25" ht="17.25" customHeight="1">
      <c r="A43" s="261"/>
      <c r="B43" s="1226"/>
      <c r="C43" s="1227"/>
      <c r="D43" s="1226"/>
      <c r="E43" s="1227"/>
      <c r="F43" s="263"/>
      <c r="G43" s="263"/>
      <c r="H43" s="264"/>
      <c r="I43" s="277"/>
      <c r="J43" s="278"/>
      <c r="K43" s="279"/>
      <c r="L43" s="264"/>
      <c r="M43" s="264"/>
      <c r="N43" s="264"/>
      <c r="O43" s="264"/>
      <c r="P43" s="264"/>
      <c r="Q43" s="264"/>
      <c r="R43" s="264"/>
      <c r="S43" s="264"/>
      <c r="T43" s="291"/>
      <c r="U43" s="264"/>
      <c r="V43" s="292"/>
      <c r="W43" s="292"/>
      <c r="X43" s="280"/>
      <c r="Y43" s="298"/>
    </row>
    <row r="44" spans="1:25" ht="17.25" customHeight="1">
      <c r="A44" s="261"/>
      <c r="B44" s="1226"/>
      <c r="C44" s="1227"/>
      <c r="D44" s="1226"/>
      <c r="E44" s="1227"/>
      <c r="F44" s="263"/>
      <c r="G44" s="263"/>
      <c r="H44" s="264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</row>
    <row r="45" spans="1:25" ht="17.25" customHeight="1">
      <c r="A45" s="261"/>
      <c r="B45" s="1226"/>
      <c r="C45" s="1227"/>
      <c r="D45" s="575"/>
      <c r="E45" s="570"/>
      <c r="F45" s="263"/>
      <c r="G45" s="263"/>
      <c r="H45" s="264"/>
      <c r="I45" s="277"/>
      <c r="J45" s="278"/>
      <c r="K45" s="279"/>
      <c r="L45" s="264"/>
      <c r="M45" s="280"/>
      <c r="N45" s="264"/>
      <c r="O45" s="263"/>
      <c r="P45" s="280"/>
      <c r="Q45" s="263"/>
      <c r="R45" s="290"/>
      <c r="S45" s="262"/>
      <c r="T45" s="291"/>
      <c r="U45" s="264"/>
      <c r="V45" s="292"/>
      <c r="W45" s="292"/>
      <c r="X45" s="280"/>
      <c r="Y45" s="298"/>
    </row>
    <row r="46" spans="1:25" ht="17.25" customHeight="1">
      <c r="A46" s="261"/>
      <c r="B46" s="1226"/>
      <c r="C46" s="1227"/>
      <c r="D46" s="1226"/>
      <c r="E46" s="1227"/>
      <c r="F46" s="263"/>
      <c r="G46" s="263"/>
      <c r="H46" s="264"/>
      <c r="I46" s="277"/>
      <c r="J46" s="278"/>
      <c r="K46" s="279"/>
      <c r="L46" s="264"/>
      <c r="M46" s="264"/>
      <c r="N46" s="264"/>
      <c r="O46" s="263"/>
      <c r="P46" s="280"/>
      <c r="Q46" s="263"/>
      <c r="R46" s="290"/>
      <c r="S46" s="262"/>
      <c r="T46" s="291"/>
      <c r="U46" s="264"/>
      <c r="V46" s="292"/>
      <c r="W46" s="292"/>
      <c r="X46" s="280"/>
      <c r="Y46" s="298"/>
    </row>
    <row r="47" spans="1:25" ht="17.25" customHeight="1">
      <c r="A47" s="261"/>
      <c r="B47" s="1226"/>
      <c r="C47" s="1227"/>
      <c r="D47" s="1226"/>
      <c r="E47" s="1227"/>
      <c r="F47" s="263"/>
      <c r="G47" s="263"/>
      <c r="H47" s="264"/>
      <c r="I47" s="277"/>
      <c r="J47" s="278"/>
      <c r="K47" s="279"/>
      <c r="L47" s="264"/>
      <c r="M47" s="264"/>
      <c r="N47" s="264"/>
      <c r="O47" s="263"/>
      <c r="P47" s="280"/>
      <c r="Q47" s="263"/>
      <c r="R47" s="290"/>
      <c r="S47" s="262"/>
      <c r="T47" s="291"/>
      <c r="U47" s="264"/>
      <c r="V47" s="292"/>
      <c r="W47" s="292"/>
      <c r="X47" s="280"/>
      <c r="Y47" s="298"/>
    </row>
    <row r="48" spans="1:25" ht="17.25" customHeight="1">
      <c r="A48" s="261"/>
      <c r="B48" s="1226"/>
      <c r="C48" s="1227"/>
      <c r="D48" s="1226"/>
      <c r="E48" s="1227"/>
      <c r="F48" s="263"/>
      <c r="G48" s="263"/>
      <c r="H48" s="264"/>
      <c r="I48" s="277"/>
      <c r="J48" s="278"/>
      <c r="K48" s="279"/>
      <c r="L48" s="264"/>
      <c r="M48" s="264"/>
      <c r="N48" s="264"/>
      <c r="O48" s="263"/>
      <c r="P48" s="280"/>
      <c r="Q48" s="263"/>
      <c r="R48" s="290"/>
      <c r="S48" s="262"/>
      <c r="T48" s="291"/>
      <c r="U48" s="264"/>
      <c r="V48" s="292"/>
      <c r="W48" s="292"/>
      <c r="X48" s="280"/>
      <c r="Y48" s="298"/>
    </row>
    <row r="49" spans="1:25" ht="17.25" customHeight="1">
      <c r="A49" s="261"/>
      <c r="B49" s="1226"/>
      <c r="C49" s="1227"/>
      <c r="D49" s="1226"/>
      <c r="E49" s="1227"/>
      <c r="F49" s="263"/>
      <c r="G49" s="263"/>
      <c r="H49" s="264"/>
      <c r="I49" s="277"/>
      <c r="J49" s="278"/>
      <c r="K49" s="279"/>
      <c r="L49" s="264"/>
      <c r="M49" s="264"/>
      <c r="N49" s="264"/>
      <c r="O49" s="263"/>
      <c r="P49" s="280"/>
      <c r="Q49" s="263"/>
      <c r="R49" s="290"/>
      <c r="S49" s="262"/>
      <c r="T49" s="291"/>
      <c r="U49" s="264"/>
      <c r="V49" s="292"/>
      <c r="W49" s="292"/>
      <c r="X49" s="280"/>
      <c r="Y49" s="298"/>
    </row>
    <row r="50" spans="1:25" ht="17.25" customHeight="1">
      <c r="A50" s="261"/>
      <c r="B50" s="1226"/>
      <c r="C50" s="1227"/>
      <c r="D50" s="1226"/>
      <c r="E50" s="1227"/>
      <c r="F50" s="263"/>
      <c r="G50" s="263"/>
      <c r="H50" s="264"/>
      <c r="I50" s="277"/>
      <c r="J50" s="278"/>
      <c r="K50" s="279"/>
      <c r="L50" s="264"/>
      <c r="M50" s="264"/>
      <c r="N50" s="264"/>
      <c r="O50" s="263"/>
      <c r="P50" s="280"/>
      <c r="Q50" s="263"/>
      <c r="R50" s="290"/>
      <c r="S50" s="262"/>
      <c r="T50" s="291"/>
      <c r="U50" s="264"/>
      <c r="V50" s="292"/>
      <c r="W50" s="292"/>
      <c r="X50" s="280"/>
      <c r="Y50" s="298"/>
    </row>
    <row r="51" spans="1:25" ht="17.25" customHeight="1">
      <c r="A51" s="261"/>
      <c r="B51" s="1226"/>
      <c r="C51" s="1227"/>
      <c r="D51" s="1226"/>
      <c r="E51" s="1227"/>
      <c r="F51" s="263"/>
      <c r="G51" s="263"/>
      <c r="H51" s="264"/>
      <c r="I51" s="277"/>
      <c r="J51" s="278"/>
      <c r="K51" s="279"/>
      <c r="L51" s="264"/>
      <c r="M51" s="264"/>
      <c r="N51" s="264"/>
      <c r="O51" s="263"/>
      <c r="P51" s="280"/>
      <c r="Q51" s="263"/>
      <c r="R51" s="290"/>
      <c r="S51" s="262"/>
      <c r="T51" s="291"/>
      <c r="U51" s="264"/>
      <c r="V51" s="292"/>
      <c r="W51" s="292"/>
      <c r="X51" s="280"/>
      <c r="Y51" s="298"/>
    </row>
    <row r="52" spans="1:25" ht="17.25" customHeight="1">
      <c r="A52" s="261"/>
      <c r="B52" s="1226"/>
      <c r="C52" s="1227"/>
      <c r="D52" s="1226"/>
      <c r="E52" s="1227"/>
      <c r="F52" s="263"/>
      <c r="G52" s="263"/>
      <c r="H52" s="264"/>
      <c r="I52" s="277"/>
      <c r="J52" s="278"/>
      <c r="K52" s="279"/>
      <c r="L52" s="264"/>
      <c r="M52" s="264"/>
      <c r="N52" s="264"/>
      <c r="O52" s="263"/>
      <c r="P52" s="280"/>
      <c r="Q52" s="263"/>
      <c r="R52" s="290"/>
      <c r="S52" s="262"/>
      <c r="T52" s="291"/>
      <c r="U52" s="264"/>
      <c r="V52" s="292"/>
      <c r="W52" s="292"/>
      <c r="X52" s="280"/>
      <c r="Y52" s="298"/>
    </row>
    <row r="53" spans="1:25" ht="17.25" customHeight="1">
      <c r="A53" s="261"/>
      <c r="B53" s="1226"/>
      <c r="C53" s="1227"/>
      <c r="D53" s="1226"/>
      <c r="E53" s="1227"/>
      <c r="F53" s="263"/>
      <c r="G53" s="263"/>
      <c r="H53" s="264"/>
      <c r="I53" s="277"/>
      <c r="J53" s="278"/>
      <c r="K53" s="279"/>
      <c r="L53" s="264"/>
      <c r="M53" s="264"/>
      <c r="N53" s="264"/>
      <c r="O53" s="263"/>
      <c r="P53" s="280"/>
      <c r="Q53" s="263"/>
      <c r="R53" s="290"/>
      <c r="S53" s="262"/>
      <c r="T53" s="291"/>
      <c r="U53" s="264"/>
      <c r="V53" s="292"/>
      <c r="W53" s="292"/>
      <c r="X53" s="280"/>
      <c r="Y53" s="298"/>
    </row>
    <row r="54" spans="1:25" ht="17.25" customHeight="1">
      <c r="A54" s="261"/>
      <c r="B54" s="1226"/>
      <c r="C54" s="1227"/>
      <c r="D54" s="1226"/>
      <c r="E54" s="1227"/>
      <c r="F54" s="263"/>
      <c r="G54" s="263"/>
      <c r="H54" s="264"/>
      <c r="I54" s="277"/>
      <c r="J54" s="278"/>
      <c r="K54" s="279"/>
      <c r="L54" s="264"/>
      <c r="M54" s="264"/>
      <c r="N54" s="264"/>
      <c r="O54" s="263"/>
      <c r="P54" s="280"/>
      <c r="Q54" s="263"/>
      <c r="R54" s="290"/>
      <c r="S54" s="262"/>
      <c r="T54" s="291"/>
      <c r="U54" s="264"/>
      <c r="V54" s="292"/>
      <c r="W54" s="292"/>
      <c r="X54" s="280"/>
      <c r="Y54" s="298"/>
    </row>
    <row r="55" spans="1:25" ht="17.25" customHeight="1">
      <c r="A55" s="261"/>
      <c r="B55" s="1226"/>
      <c r="C55" s="1227"/>
      <c r="D55" s="1226"/>
      <c r="E55" s="1227"/>
      <c r="F55" s="263"/>
      <c r="G55" s="263"/>
      <c r="H55" s="264"/>
      <c r="I55" s="277"/>
      <c r="J55" s="278"/>
      <c r="K55" s="279"/>
      <c r="L55" s="264"/>
      <c r="M55" s="264"/>
      <c r="N55" s="264"/>
      <c r="O55" s="263"/>
      <c r="P55" s="280"/>
      <c r="Q55" s="263"/>
      <c r="R55" s="290"/>
      <c r="S55" s="262"/>
      <c r="T55" s="291"/>
      <c r="U55" s="264"/>
      <c r="V55" s="292"/>
      <c r="W55" s="292"/>
      <c r="X55" s="280"/>
      <c r="Y55" s="298"/>
    </row>
    <row r="56" spans="1:25" ht="17.25" customHeight="1">
      <c r="A56" s="261"/>
      <c r="B56" s="1226"/>
      <c r="C56" s="1227"/>
      <c r="D56" s="1226"/>
      <c r="E56" s="1227"/>
      <c r="F56" s="263"/>
      <c r="G56" s="263"/>
      <c r="H56" s="264"/>
      <c r="I56" s="277"/>
      <c r="J56" s="278"/>
      <c r="K56" s="279"/>
      <c r="L56" s="264"/>
      <c r="M56" s="264"/>
      <c r="N56" s="264"/>
      <c r="O56" s="263"/>
      <c r="P56" s="280"/>
      <c r="Q56" s="263"/>
      <c r="R56" s="290"/>
      <c r="S56" s="262"/>
      <c r="T56" s="291"/>
      <c r="U56" s="264"/>
      <c r="V56" s="292"/>
      <c r="W56" s="292"/>
      <c r="X56" s="280"/>
      <c r="Y56" s="298"/>
    </row>
    <row r="57" spans="1:25" ht="17.25" customHeight="1">
      <c r="A57" s="261"/>
      <c r="B57" s="1226"/>
      <c r="C57" s="1227"/>
      <c r="D57" s="1226"/>
      <c r="E57" s="1227"/>
      <c r="F57" s="263"/>
      <c r="G57" s="263"/>
      <c r="H57" s="264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</row>
    <row r="58" spans="1:25" ht="17.25" customHeight="1">
      <c r="A58" s="261"/>
      <c r="B58" s="1226"/>
      <c r="C58" s="1227"/>
      <c r="D58" s="575"/>
      <c r="E58" s="570"/>
      <c r="F58" s="263"/>
      <c r="G58" s="263"/>
      <c r="H58" s="264"/>
      <c r="I58" s="277"/>
      <c r="J58" s="278"/>
      <c r="K58" s="279"/>
      <c r="L58" s="264"/>
      <c r="M58" s="280"/>
      <c r="N58" s="264"/>
      <c r="O58" s="263"/>
      <c r="P58" s="280"/>
      <c r="Q58" s="263"/>
      <c r="R58" s="290"/>
      <c r="S58" s="262"/>
      <c r="T58" s="291"/>
      <c r="U58" s="264"/>
      <c r="V58" s="292"/>
      <c r="W58" s="292"/>
      <c r="X58" s="280"/>
      <c r="Y58" s="298"/>
    </row>
    <row r="59" spans="1:25" ht="17.25" customHeight="1">
      <c r="A59" s="261"/>
      <c r="B59" s="1226"/>
      <c r="C59" s="1227"/>
      <c r="D59" s="1226"/>
      <c r="E59" s="1227"/>
      <c r="F59" s="263"/>
      <c r="G59" s="263"/>
      <c r="H59" s="264"/>
      <c r="I59" s="277"/>
      <c r="J59" s="278"/>
      <c r="K59" s="279"/>
      <c r="L59" s="264"/>
      <c r="M59" s="264"/>
      <c r="N59" s="264"/>
      <c r="O59" s="263"/>
      <c r="P59" s="280"/>
      <c r="Q59" s="263"/>
      <c r="R59" s="290"/>
      <c r="S59" s="262"/>
      <c r="T59" s="291"/>
      <c r="U59" s="264"/>
      <c r="V59" s="292"/>
      <c r="W59" s="292"/>
      <c r="X59" s="280"/>
      <c r="Y59" s="298"/>
    </row>
    <row r="60" spans="1:25" ht="17.25" customHeight="1">
      <c r="A60" s="261"/>
      <c r="B60" s="1226"/>
      <c r="C60" s="1227"/>
      <c r="D60" s="1226"/>
      <c r="E60" s="1227"/>
      <c r="F60" s="263"/>
      <c r="G60" s="263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</row>
    <row r="61" spans="1:25" ht="17.25" customHeight="1">
      <c r="A61" s="261"/>
      <c r="B61" s="1226"/>
      <c r="C61" s="1227"/>
      <c r="D61" s="575"/>
      <c r="E61" s="570"/>
      <c r="F61" s="263"/>
      <c r="G61" s="263"/>
      <c r="H61" s="264"/>
      <c r="I61" s="277"/>
      <c r="J61" s="278"/>
      <c r="K61" s="279"/>
      <c r="L61" s="264"/>
      <c r="M61" s="280"/>
      <c r="N61" s="264"/>
      <c r="O61" s="263"/>
      <c r="P61" s="280"/>
      <c r="Q61" s="263"/>
      <c r="R61" s="290"/>
      <c r="S61" s="262"/>
      <c r="T61" s="291"/>
      <c r="U61" s="264"/>
      <c r="V61" s="292"/>
      <c r="W61" s="292"/>
      <c r="X61" s="280"/>
      <c r="Y61" s="298"/>
    </row>
    <row r="62" spans="1:25" ht="17.25" customHeight="1">
      <c r="A62" s="261"/>
      <c r="B62" s="1226"/>
      <c r="C62" s="1227"/>
      <c r="D62" s="1226"/>
      <c r="E62" s="1227"/>
      <c r="F62" s="263"/>
      <c r="G62" s="263"/>
      <c r="H62" s="264"/>
      <c r="I62" s="277"/>
      <c r="J62" s="278"/>
      <c r="K62" s="279"/>
      <c r="L62" s="264"/>
      <c r="M62" s="264"/>
      <c r="N62" s="264"/>
      <c r="O62" s="264"/>
      <c r="P62" s="264"/>
      <c r="Q62" s="264"/>
      <c r="R62" s="264"/>
      <c r="S62" s="264"/>
      <c r="T62" s="291"/>
      <c r="U62" s="264"/>
      <c r="V62" s="292"/>
      <c r="W62" s="292"/>
      <c r="X62" s="280"/>
      <c r="Y62" s="298"/>
    </row>
    <row r="63" spans="1:25" ht="17.25" customHeight="1">
      <c r="A63" s="261"/>
      <c r="B63" s="1226"/>
      <c r="C63" s="1227"/>
      <c r="D63" s="1226"/>
      <c r="E63" s="1227"/>
      <c r="F63" s="263"/>
      <c r="G63" s="263"/>
      <c r="H63" s="264"/>
      <c r="I63" s="277"/>
      <c r="J63" s="278"/>
      <c r="K63" s="279"/>
      <c r="L63" s="264"/>
      <c r="M63" s="264"/>
      <c r="N63" s="264"/>
      <c r="O63" s="264"/>
      <c r="P63" s="264"/>
      <c r="Q63" s="264"/>
      <c r="R63" s="264"/>
      <c r="S63" s="264"/>
      <c r="T63" s="291"/>
      <c r="U63" s="264"/>
      <c r="V63" s="292"/>
      <c r="W63" s="292"/>
      <c r="X63" s="280"/>
      <c r="Y63" s="298"/>
    </row>
    <row r="64" spans="1:25" ht="17.25" customHeight="1">
      <c r="A64" s="261"/>
      <c r="B64" s="1226"/>
      <c r="C64" s="1227"/>
      <c r="D64" s="1226"/>
      <c r="E64" s="1227"/>
      <c r="F64" s="263"/>
      <c r="G64" s="263"/>
      <c r="H64" s="264"/>
      <c r="I64" s="277"/>
      <c r="J64" s="278"/>
      <c r="K64" s="279"/>
      <c r="L64" s="264"/>
      <c r="M64" s="264"/>
      <c r="N64" s="264"/>
      <c r="O64" s="264"/>
      <c r="P64" s="264"/>
      <c r="Q64" s="264"/>
      <c r="R64" s="264"/>
      <c r="S64" s="264"/>
      <c r="T64" s="291"/>
      <c r="U64" s="264"/>
      <c r="V64" s="292"/>
      <c r="W64" s="292"/>
      <c r="X64" s="280"/>
      <c r="Y64" s="298"/>
    </row>
    <row r="65" spans="1:25" ht="17.25" customHeight="1">
      <c r="A65" s="261"/>
      <c r="B65" s="1226"/>
      <c r="C65" s="1227"/>
      <c r="D65" s="1226"/>
      <c r="E65" s="1227"/>
      <c r="F65" s="263"/>
      <c r="G65" s="263"/>
      <c r="H65" s="264"/>
      <c r="I65" s="277"/>
      <c r="J65" s="278"/>
      <c r="K65" s="279"/>
      <c r="L65" s="264"/>
      <c r="M65" s="264"/>
      <c r="N65" s="264"/>
      <c r="O65" s="264"/>
      <c r="P65" s="264"/>
      <c r="Q65" s="264"/>
      <c r="R65" s="264"/>
      <c r="S65" s="264"/>
      <c r="T65" s="291"/>
      <c r="U65" s="264"/>
      <c r="V65" s="292"/>
      <c r="W65" s="292"/>
      <c r="X65" s="280"/>
      <c r="Y65" s="298"/>
    </row>
    <row r="66" spans="1:25" ht="17.25" customHeight="1">
      <c r="A66" s="261"/>
      <c r="B66" s="1226"/>
      <c r="C66" s="1227"/>
      <c r="D66" s="1226"/>
      <c r="E66" s="1227"/>
      <c r="F66" s="263"/>
      <c r="G66" s="263"/>
      <c r="H66" s="264"/>
      <c r="I66" s="277"/>
      <c r="J66" s="278"/>
      <c r="K66" s="279"/>
      <c r="L66" s="264"/>
      <c r="M66" s="264"/>
      <c r="N66" s="264"/>
      <c r="O66" s="264"/>
      <c r="P66" s="264"/>
      <c r="Q66" s="264"/>
      <c r="R66" s="264"/>
      <c r="S66" s="264"/>
      <c r="T66" s="291"/>
      <c r="U66" s="264"/>
      <c r="V66" s="292"/>
      <c r="W66" s="292"/>
      <c r="X66" s="280"/>
      <c r="Y66" s="298"/>
    </row>
    <row r="67" spans="1:25" ht="17.25" customHeight="1">
      <c r="A67" s="261"/>
      <c r="B67" s="1226"/>
      <c r="C67" s="1227"/>
      <c r="D67" s="1226"/>
      <c r="E67" s="1227"/>
      <c r="F67" s="263"/>
      <c r="G67" s="263"/>
      <c r="H67" s="264"/>
      <c r="I67" s="277"/>
      <c r="J67" s="278"/>
      <c r="K67" s="279"/>
      <c r="L67" s="264"/>
      <c r="M67" s="264"/>
      <c r="N67" s="264"/>
      <c r="O67" s="264"/>
      <c r="P67" s="264"/>
      <c r="Q67" s="264"/>
      <c r="R67" s="264"/>
      <c r="S67" s="264"/>
      <c r="T67" s="291"/>
      <c r="U67" s="264"/>
      <c r="V67" s="292"/>
      <c r="W67" s="292"/>
      <c r="X67" s="280"/>
      <c r="Y67" s="298"/>
    </row>
    <row r="68" spans="1:25" ht="17.25" customHeight="1">
      <c r="A68" s="261"/>
      <c r="B68" s="1226"/>
      <c r="C68" s="1227"/>
      <c r="D68" s="1226"/>
      <c r="E68" s="1227"/>
      <c r="F68" s="263"/>
      <c r="G68" s="263"/>
      <c r="H68" s="264"/>
      <c r="I68" s="277"/>
      <c r="J68" s="278"/>
      <c r="K68" s="279"/>
      <c r="L68" s="264"/>
      <c r="M68" s="264"/>
      <c r="N68" s="264"/>
      <c r="O68" s="264"/>
      <c r="P68" s="264"/>
      <c r="Q68" s="264"/>
      <c r="R68" s="264"/>
      <c r="S68" s="264"/>
      <c r="T68" s="291"/>
      <c r="U68" s="264"/>
      <c r="V68" s="292"/>
      <c r="W68" s="292"/>
      <c r="X68" s="280"/>
      <c r="Y68" s="298"/>
    </row>
    <row r="69" spans="1:25" ht="17.25" customHeight="1">
      <c r="A69" s="261"/>
      <c r="B69" s="1226"/>
      <c r="C69" s="1227"/>
      <c r="D69" s="1226"/>
      <c r="E69" s="1227"/>
      <c r="F69" s="263"/>
      <c r="G69" s="263"/>
      <c r="H69" s="264"/>
      <c r="I69" s="277"/>
      <c r="J69" s="278"/>
      <c r="K69" s="279"/>
      <c r="L69" s="264"/>
      <c r="M69" s="264"/>
      <c r="N69" s="264"/>
      <c r="O69" s="264"/>
      <c r="P69" s="264"/>
      <c r="Q69" s="264"/>
      <c r="R69" s="264"/>
      <c r="S69" s="264"/>
      <c r="T69" s="291"/>
      <c r="U69" s="264"/>
      <c r="V69" s="292"/>
      <c r="W69" s="292"/>
      <c r="X69" s="280"/>
      <c r="Y69" s="298"/>
    </row>
    <row r="70" spans="1:25" ht="17.25" customHeight="1">
      <c r="A70" s="261"/>
      <c r="B70" s="1226"/>
      <c r="C70" s="1227"/>
      <c r="D70" s="1226"/>
      <c r="E70" s="1227"/>
      <c r="F70" s="263"/>
      <c r="G70" s="263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64"/>
      <c r="V70" s="264"/>
      <c r="W70" s="264"/>
      <c r="X70" s="264"/>
      <c r="Y70" s="264"/>
    </row>
    <row r="71" spans="1:25" ht="17.25" customHeight="1">
      <c r="A71" s="261"/>
      <c r="B71" s="1226"/>
      <c r="C71" s="1227"/>
      <c r="D71" s="575"/>
      <c r="E71" s="570"/>
      <c r="F71" s="263"/>
      <c r="G71" s="263"/>
      <c r="H71" s="264"/>
      <c r="I71" s="277"/>
      <c r="J71" s="278"/>
      <c r="K71" s="279"/>
      <c r="L71" s="264"/>
      <c r="M71" s="280"/>
      <c r="N71" s="264"/>
      <c r="O71" s="263"/>
      <c r="P71" s="280"/>
      <c r="Q71" s="263"/>
      <c r="R71" s="290"/>
      <c r="S71" s="262"/>
      <c r="T71" s="291"/>
      <c r="U71" s="264"/>
      <c r="V71" s="292"/>
      <c r="W71" s="292"/>
      <c r="X71" s="280"/>
      <c r="Y71" s="298"/>
    </row>
    <row r="72" spans="1:25" ht="17.25" customHeight="1">
      <c r="A72" s="261"/>
      <c r="B72" s="1226"/>
      <c r="C72" s="1227"/>
      <c r="D72" s="1226"/>
      <c r="E72" s="1227"/>
      <c r="F72" s="263"/>
      <c r="G72" s="263"/>
      <c r="H72" s="264"/>
      <c r="I72" s="277"/>
      <c r="J72" s="278"/>
      <c r="K72" s="279"/>
      <c r="L72" s="264"/>
      <c r="M72" s="264"/>
      <c r="N72" s="264"/>
      <c r="O72" s="264"/>
      <c r="P72" s="264"/>
      <c r="Q72" s="264"/>
      <c r="R72" s="264"/>
      <c r="S72" s="264"/>
      <c r="T72" s="291"/>
      <c r="U72" s="264"/>
      <c r="V72" s="292"/>
      <c r="W72" s="292"/>
      <c r="X72" s="280"/>
      <c r="Y72" s="298"/>
    </row>
    <row r="73" spans="1:25" ht="17.25" customHeight="1">
      <c r="A73" s="261"/>
      <c r="B73" s="1226"/>
      <c r="C73" s="1227"/>
      <c r="D73" s="1226"/>
      <c r="E73" s="1227"/>
      <c r="F73" s="263"/>
      <c r="G73" s="263"/>
      <c r="H73" s="264"/>
      <c r="I73" s="277"/>
      <c r="J73" s="278"/>
      <c r="K73" s="279"/>
      <c r="L73" s="264"/>
      <c r="M73" s="264"/>
      <c r="N73" s="264"/>
      <c r="O73" s="264"/>
      <c r="P73" s="264"/>
      <c r="Q73" s="264"/>
      <c r="R73" s="264"/>
      <c r="S73" s="264"/>
      <c r="T73" s="291"/>
      <c r="U73" s="264"/>
      <c r="V73" s="292"/>
      <c r="W73" s="292"/>
      <c r="X73" s="280"/>
      <c r="Y73" s="298"/>
    </row>
    <row r="74" spans="1:25" ht="17.25" customHeight="1">
      <c r="A74" s="261"/>
      <c r="B74" s="1226"/>
      <c r="C74" s="1227"/>
      <c r="D74" s="1226"/>
      <c r="E74" s="1227"/>
      <c r="F74" s="263"/>
      <c r="G74" s="263"/>
      <c r="H74" s="264"/>
      <c r="I74" s="277"/>
      <c r="J74" s="278"/>
      <c r="K74" s="279"/>
      <c r="L74" s="264"/>
      <c r="M74" s="264"/>
      <c r="N74" s="264"/>
      <c r="O74" s="264"/>
      <c r="P74" s="264"/>
      <c r="Q74" s="264"/>
      <c r="R74" s="264"/>
      <c r="S74" s="264"/>
      <c r="T74" s="291"/>
      <c r="U74" s="264"/>
      <c r="V74" s="292"/>
      <c r="W74" s="292"/>
      <c r="X74" s="280"/>
      <c r="Y74" s="298"/>
    </row>
    <row r="75" spans="1:25" ht="17.25" customHeight="1">
      <c r="A75" s="261"/>
      <c r="B75" s="1226"/>
      <c r="C75" s="1227"/>
      <c r="D75" s="1226"/>
      <c r="E75" s="1227"/>
      <c r="F75" s="263"/>
      <c r="G75" s="263"/>
      <c r="H75" s="264"/>
      <c r="I75" s="277"/>
      <c r="J75" s="278"/>
      <c r="K75" s="279"/>
      <c r="L75" s="264"/>
      <c r="M75" s="264"/>
      <c r="N75" s="264"/>
      <c r="O75" s="264"/>
      <c r="P75" s="264"/>
      <c r="Q75" s="264"/>
      <c r="R75" s="264"/>
      <c r="S75" s="264"/>
      <c r="T75" s="291"/>
      <c r="U75" s="264"/>
      <c r="V75" s="292"/>
      <c r="W75" s="292"/>
      <c r="X75" s="280"/>
      <c r="Y75" s="298"/>
    </row>
    <row r="76" spans="1:25" ht="17.25" customHeight="1">
      <c r="A76" s="261"/>
      <c r="B76" s="1226"/>
      <c r="C76" s="1227"/>
      <c r="D76" s="575"/>
      <c r="E76" s="570"/>
      <c r="F76" s="263"/>
      <c r="G76" s="263"/>
      <c r="H76" s="264"/>
      <c r="I76" s="277"/>
      <c r="J76" s="278"/>
      <c r="K76" s="279"/>
      <c r="L76" s="264"/>
      <c r="M76" s="264"/>
      <c r="N76" s="264"/>
      <c r="O76" s="264"/>
      <c r="P76" s="264"/>
      <c r="Q76" s="264"/>
      <c r="R76" s="264"/>
      <c r="S76" s="264"/>
      <c r="T76" s="291"/>
      <c r="U76" s="264"/>
      <c r="V76" s="292"/>
      <c r="W76" s="292"/>
      <c r="X76" s="280"/>
      <c r="Y76" s="298"/>
    </row>
    <row r="77" spans="1:25" ht="17.25" customHeight="1">
      <c r="A77" s="261"/>
      <c r="B77" s="1226"/>
      <c r="C77" s="1227"/>
      <c r="D77" s="575"/>
      <c r="E77" s="570"/>
      <c r="F77" s="263"/>
      <c r="G77" s="263"/>
      <c r="H77" s="264"/>
      <c r="I77" s="277"/>
      <c r="J77" s="278"/>
      <c r="K77" s="279"/>
      <c r="L77" s="264"/>
      <c r="M77" s="264"/>
      <c r="N77" s="264"/>
      <c r="O77" s="264"/>
      <c r="P77" s="264"/>
      <c r="Q77" s="264"/>
      <c r="R77" s="264"/>
      <c r="S77" s="264"/>
      <c r="T77" s="291"/>
      <c r="U77" s="264"/>
      <c r="V77" s="292"/>
      <c r="W77" s="292"/>
      <c r="X77" s="280"/>
      <c r="Y77" s="298"/>
    </row>
    <row r="78" spans="1:25" ht="17.25" customHeight="1">
      <c r="A78" s="261"/>
      <c r="B78" s="1226"/>
      <c r="C78" s="1227"/>
      <c r="D78" s="575"/>
      <c r="E78" s="570"/>
      <c r="F78" s="263"/>
      <c r="G78" s="263"/>
      <c r="H78" s="264"/>
      <c r="I78" s="277"/>
      <c r="J78" s="278"/>
      <c r="K78" s="279"/>
      <c r="L78" s="264"/>
      <c r="M78" s="264"/>
      <c r="N78" s="264"/>
      <c r="O78" s="264"/>
      <c r="P78" s="264"/>
      <c r="Q78" s="264"/>
      <c r="R78" s="264"/>
      <c r="S78" s="264"/>
      <c r="T78" s="291"/>
      <c r="U78" s="264"/>
      <c r="V78" s="292"/>
      <c r="W78" s="292"/>
      <c r="X78" s="280"/>
      <c r="Y78" s="298"/>
    </row>
    <row r="79" spans="1:25" ht="17.25" customHeight="1">
      <c r="A79" s="261"/>
      <c r="B79" s="1226"/>
      <c r="C79" s="1227"/>
      <c r="D79" s="575"/>
      <c r="E79" s="570"/>
      <c r="F79" s="263"/>
      <c r="G79" s="263"/>
      <c r="H79" s="264"/>
      <c r="I79" s="277"/>
      <c r="J79" s="278"/>
      <c r="K79" s="279"/>
      <c r="L79" s="264"/>
      <c r="M79" s="264"/>
      <c r="N79" s="264"/>
      <c r="O79" s="264"/>
      <c r="P79" s="264"/>
      <c r="Q79" s="264"/>
      <c r="R79" s="264"/>
      <c r="S79" s="264"/>
      <c r="T79" s="291"/>
      <c r="U79" s="264"/>
      <c r="V79" s="292"/>
      <c r="W79" s="292"/>
      <c r="X79" s="280"/>
      <c r="Y79" s="298"/>
    </row>
    <row r="80" spans="1:25" ht="17.25" customHeight="1">
      <c r="A80" s="261"/>
      <c r="B80" s="1226"/>
      <c r="C80" s="1227"/>
      <c r="D80" s="575"/>
      <c r="E80" s="570"/>
      <c r="F80" s="263"/>
      <c r="G80" s="263"/>
      <c r="H80" s="264"/>
      <c r="I80" s="277"/>
      <c r="J80" s="278"/>
      <c r="K80" s="279"/>
      <c r="L80" s="264"/>
      <c r="M80" s="264"/>
      <c r="N80" s="264"/>
      <c r="O80" s="264"/>
      <c r="P80" s="264"/>
      <c r="Q80" s="264"/>
      <c r="R80" s="264"/>
      <c r="S80" s="264"/>
      <c r="T80" s="291"/>
      <c r="U80" s="264"/>
      <c r="V80" s="292"/>
      <c r="W80" s="292"/>
      <c r="X80" s="280"/>
      <c r="Y80" s="298"/>
    </row>
    <row r="81" spans="1:25" ht="17.25" customHeight="1">
      <c r="A81" s="261"/>
      <c r="B81" s="1226"/>
      <c r="C81" s="1227"/>
      <c r="D81" s="575"/>
      <c r="E81" s="570"/>
      <c r="F81" s="263"/>
      <c r="G81" s="263"/>
      <c r="H81" s="264"/>
      <c r="I81" s="277"/>
      <c r="J81" s="278"/>
      <c r="K81" s="279"/>
      <c r="L81" s="264"/>
      <c r="M81" s="264"/>
      <c r="N81" s="264"/>
      <c r="O81" s="264"/>
      <c r="P81" s="264"/>
      <c r="Q81" s="264"/>
      <c r="R81" s="264"/>
      <c r="S81" s="264"/>
      <c r="T81" s="291"/>
      <c r="U81" s="264"/>
      <c r="V81" s="292"/>
      <c r="W81" s="292"/>
      <c r="X81" s="280"/>
      <c r="Y81" s="298"/>
    </row>
    <row r="82" spans="1:25" ht="17.25" customHeight="1">
      <c r="A82" s="261"/>
      <c r="B82" s="1226"/>
      <c r="C82" s="1227"/>
      <c r="D82" s="575"/>
      <c r="E82" s="570"/>
      <c r="F82" s="263"/>
      <c r="G82" s="263"/>
      <c r="H82" s="264"/>
      <c r="I82" s="277"/>
      <c r="J82" s="278"/>
      <c r="K82" s="279"/>
      <c r="L82" s="264"/>
      <c r="M82" s="264"/>
      <c r="N82" s="264"/>
      <c r="O82" s="264"/>
      <c r="P82" s="264"/>
      <c r="Q82" s="264"/>
      <c r="R82" s="264"/>
      <c r="S82" s="264"/>
      <c r="T82" s="291"/>
      <c r="U82" s="264"/>
      <c r="V82" s="292"/>
      <c r="W82" s="292"/>
      <c r="X82" s="280"/>
      <c r="Y82" s="298"/>
    </row>
    <row r="83" spans="1:25" ht="17.25" customHeight="1">
      <c r="A83" s="261"/>
      <c r="B83" s="1226"/>
      <c r="C83" s="1227"/>
      <c r="D83" s="575"/>
      <c r="E83" s="570"/>
      <c r="F83" s="263"/>
      <c r="G83" s="263"/>
      <c r="H83" s="264"/>
      <c r="I83" s="277"/>
      <c r="J83" s="278"/>
      <c r="K83" s="279"/>
      <c r="L83" s="264"/>
      <c r="M83" s="264"/>
      <c r="N83" s="264"/>
      <c r="O83" s="264"/>
      <c r="P83" s="264"/>
      <c r="Q83" s="264"/>
      <c r="R83" s="264"/>
      <c r="S83" s="264"/>
      <c r="T83" s="291"/>
      <c r="U83" s="264"/>
      <c r="V83" s="292"/>
      <c r="W83" s="292"/>
      <c r="X83" s="280"/>
      <c r="Y83" s="298"/>
    </row>
    <row r="84" spans="1:25" ht="17.25" customHeight="1">
      <c r="A84" s="261"/>
      <c r="B84" s="1226"/>
      <c r="C84" s="1227"/>
      <c r="D84" s="575"/>
      <c r="E84" s="570"/>
      <c r="F84" s="263"/>
      <c r="G84" s="263"/>
      <c r="H84" s="264"/>
      <c r="I84" s="277"/>
      <c r="J84" s="278"/>
      <c r="K84" s="279"/>
      <c r="L84" s="264"/>
      <c r="M84" s="264"/>
      <c r="N84" s="264"/>
      <c r="O84" s="264"/>
      <c r="P84" s="264"/>
      <c r="Q84" s="264"/>
      <c r="R84" s="264"/>
      <c r="S84" s="264"/>
      <c r="T84" s="291"/>
      <c r="U84" s="264"/>
      <c r="V84" s="292"/>
      <c r="W84" s="292"/>
      <c r="X84" s="280"/>
      <c r="Y84" s="298"/>
    </row>
    <row r="85" spans="1:25" ht="17.25" customHeight="1">
      <c r="A85" s="261"/>
      <c r="B85" s="1226"/>
      <c r="C85" s="1227"/>
      <c r="D85" s="575"/>
      <c r="E85" s="570"/>
      <c r="F85" s="263"/>
      <c r="G85" s="263"/>
      <c r="H85" s="264"/>
      <c r="I85" s="277"/>
      <c r="J85" s="278"/>
      <c r="K85" s="279"/>
      <c r="L85" s="264"/>
      <c r="M85" s="264"/>
      <c r="N85" s="264"/>
      <c r="O85" s="264"/>
      <c r="P85" s="264"/>
      <c r="Q85" s="264"/>
      <c r="R85" s="264"/>
      <c r="S85" s="264"/>
      <c r="T85" s="291"/>
      <c r="U85" s="264"/>
      <c r="V85" s="292"/>
      <c r="W85" s="292"/>
      <c r="X85" s="280"/>
      <c r="Y85" s="298"/>
    </row>
    <row r="86" spans="1:25" ht="17.25" customHeight="1">
      <c r="A86" s="261"/>
      <c r="B86" s="1226"/>
      <c r="C86" s="1227"/>
      <c r="D86" s="575"/>
      <c r="E86" s="570"/>
      <c r="F86" s="263"/>
      <c r="G86" s="263"/>
      <c r="H86" s="264"/>
      <c r="I86" s="277"/>
      <c r="J86" s="278"/>
      <c r="K86" s="279"/>
      <c r="L86" s="264"/>
      <c r="M86" s="264"/>
      <c r="N86" s="264"/>
      <c r="O86" s="264"/>
      <c r="P86" s="264"/>
      <c r="Q86" s="264"/>
      <c r="R86" s="264"/>
      <c r="S86" s="264"/>
      <c r="T86" s="291"/>
      <c r="U86" s="264"/>
      <c r="V86" s="292"/>
      <c r="W86" s="292"/>
      <c r="X86" s="280"/>
      <c r="Y86" s="298"/>
    </row>
    <row r="87" spans="1:25" ht="17.25" customHeight="1">
      <c r="A87" s="261"/>
      <c r="B87" s="1226"/>
      <c r="C87" s="1227"/>
      <c r="D87" s="575"/>
      <c r="E87" s="570"/>
      <c r="F87" s="263"/>
      <c r="G87" s="263"/>
      <c r="H87" s="264"/>
      <c r="I87" s="277"/>
      <c r="J87" s="278"/>
      <c r="K87" s="279"/>
      <c r="L87" s="264"/>
      <c r="M87" s="264"/>
      <c r="N87" s="264"/>
      <c r="O87" s="264"/>
      <c r="P87" s="264"/>
      <c r="Q87" s="264"/>
      <c r="R87" s="264"/>
      <c r="S87" s="264"/>
      <c r="T87" s="291"/>
      <c r="U87" s="264"/>
      <c r="V87" s="292"/>
      <c r="W87" s="292"/>
      <c r="X87" s="280"/>
      <c r="Y87" s="298"/>
    </row>
    <row r="88" spans="1:25" ht="17.25" customHeight="1">
      <c r="A88" s="261"/>
      <c r="B88" s="1226"/>
      <c r="C88" s="1227"/>
      <c r="D88" s="575"/>
      <c r="E88" s="570"/>
      <c r="F88" s="263"/>
      <c r="G88" s="263"/>
      <c r="H88" s="264"/>
      <c r="I88" s="277"/>
      <c r="J88" s="278"/>
      <c r="K88" s="279"/>
      <c r="L88" s="264"/>
      <c r="M88" s="264"/>
      <c r="N88" s="264"/>
      <c r="O88" s="264"/>
      <c r="P88" s="264"/>
      <c r="Q88" s="264"/>
      <c r="R88" s="264"/>
      <c r="S88" s="264"/>
      <c r="T88" s="291"/>
      <c r="U88" s="264"/>
      <c r="V88" s="292"/>
      <c r="W88" s="292"/>
      <c r="X88" s="280"/>
      <c r="Y88" s="298"/>
    </row>
    <row r="89" spans="1:25" ht="17.25" customHeight="1">
      <c r="A89" s="261"/>
      <c r="B89" s="1226"/>
      <c r="C89" s="1227"/>
      <c r="D89" s="575"/>
      <c r="E89" s="570"/>
      <c r="F89" s="263"/>
      <c r="G89" s="263"/>
      <c r="H89" s="264"/>
      <c r="I89" s="264"/>
      <c r="J89" s="264"/>
      <c r="K89" s="264"/>
      <c r="L89" s="264"/>
      <c r="M89" s="264"/>
      <c r="N89" s="264"/>
      <c r="O89" s="264"/>
      <c r="P89" s="264"/>
      <c r="Q89" s="264"/>
      <c r="R89" s="264"/>
      <c r="S89" s="264"/>
      <c r="T89" s="264"/>
      <c r="U89" s="264"/>
      <c r="V89" s="264"/>
      <c r="W89" s="264"/>
      <c r="X89" s="264"/>
      <c r="Y89" s="298"/>
    </row>
    <row r="90" spans="1:25" ht="17.25" customHeight="1">
      <c r="A90" s="261"/>
      <c r="B90" s="1226"/>
      <c r="C90" s="1227"/>
      <c r="D90" s="575"/>
      <c r="E90" s="570"/>
      <c r="F90" s="263"/>
      <c r="G90" s="263"/>
      <c r="H90" s="264"/>
      <c r="I90" s="277"/>
      <c r="J90" s="278"/>
      <c r="K90" s="279"/>
      <c r="L90" s="264"/>
      <c r="M90" s="280"/>
      <c r="N90" s="264"/>
      <c r="O90" s="263"/>
      <c r="P90" s="280"/>
      <c r="Q90" s="263"/>
      <c r="R90" s="290"/>
      <c r="S90" s="262"/>
      <c r="T90" s="291"/>
      <c r="U90" s="264"/>
      <c r="V90" s="292"/>
      <c r="W90" s="292"/>
      <c r="X90" s="280"/>
      <c r="Y90" s="298"/>
    </row>
    <row r="91" spans="1:25" ht="17.25" customHeight="1">
      <c r="A91" s="261"/>
      <c r="B91" s="1226"/>
      <c r="C91" s="1227"/>
      <c r="D91" s="575"/>
      <c r="E91" s="570"/>
      <c r="F91" s="263"/>
      <c r="G91" s="263"/>
      <c r="H91" s="264"/>
      <c r="I91" s="277"/>
      <c r="J91" s="278"/>
      <c r="K91" s="279"/>
      <c r="L91" s="264"/>
      <c r="M91" s="264"/>
      <c r="N91" s="264"/>
      <c r="O91" s="264"/>
      <c r="P91" s="264"/>
      <c r="Q91" s="264"/>
      <c r="R91" s="264"/>
      <c r="S91" s="264"/>
      <c r="T91" s="291"/>
      <c r="U91" s="264"/>
      <c r="V91" s="292"/>
      <c r="W91" s="292"/>
      <c r="X91" s="280"/>
      <c r="Y91" s="298"/>
    </row>
    <row r="92" spans="1:25" ht="17.25" customHeight="1">
      <c r="A92" s="261"/>
      <c r="B92" s="1226"/>
      <c r="C92" s="1227"/>
      <c r="D92" s="575"/>
      <c r="E92" s="570"/>
      <c r="F92" s="263"/>
      <c r="G92" s="263"/>
      <c r="H92" s="264"/>
      <c r="I92" s="277"/>
      <c r="J92" s="278"/>
      <c r="K92" s="279"/>
      <c r="L92" s="264"/>
      <c r="M92" s="264"/>
      <c r="N92" s="264"/>
      <c r="O92" s="264"/>
      <c r="P92" s="264"/>
      <c r="Q92" s="264"/>
      <c r="R92" s="264"/>
      <c r="S92" s="264"/>
      <c r="T92" s="291"/>
      <c r="U92" s="264"/>
      <c r="V92" s="292"/>
      <c r="W92" s="292"/>
      <c r="X92" s="280"/>
      <c r="Y92" s="298"/>
    </row>
    <row r="93" spans="1:25" ht="17.25" customHeight="1">
      <c r="A93" s="261"/>
      <c r="B93" s="1226"/>
      <c r="C93" s="1227"/>
      <c r="D93" s="575"/>
      <c r="E93" s="570"/>
      <c r="F93" s="263"/>
      <c r="G93" s="263"/>
      <c r="H93" s="264"/>
      <c r="I93" s="277"/>
      <c r="J93" s="278"/>
      <c r="K93" s="279"/>
      <c r="L93" s="264"/>
      <c r="M93" s="264"/>
      <c r="N93" s="264"/>
      <c r="O93" s="264"/>
      <c r="P93" s="264"/>
      <c r="Q93" s="264"/>
      <c r="R93" s="264"/>
      <c r="S93" s="264"/>
      <c r="T93" s="291"/>
      <c r="U93" s="264"/>
      <c r="V93" s="292"/>
      <c r="W93" s="292"/>
      <c r="X93" s="280"/>
      <c r="Y93" s="298"/>
    </row>
    <row r="94" spans="1:25" ht="17.25" customHeight="1">
      <c r="A94" s="261"/>
      <c r="B94" s="1226"/>
      <c r="C94" s="1227"/>
      <c r="D94" s="575"/>
      <c r="E94" s="570"/>
      <c r="F94" s="263"/>
      <c r="G94" s="263"/>
      <c r="H94" s="264"/>
      <c r="I94" s="277"/>
      <c r="J94" s="278"/>
      <c r="K94" s="279"/>
      <c r="L94" s="264"/>
      <c r="M94" s="264"/>
      <c r="N94" s="264"/>
      <c r="O94" s="264"/>
      <c r="P94" s="264"/>
      <c r="Q94" s="264"/>
      <c r="R94" s="264"/>
      <c r="S94" s="264"/>
      <c r="T94" s="291"/>
      <c r="U94" s="264"/>
      <c r="V94" s="292"/>
      <c r="W94" s="292"/>
      <c r="X94" s="280"/>
      <c r="Y94" s="298"/>
    </row>
    <row r="95" spans="1:25" ht="17.25" customHeight="1">
      <c r="A95" s="261"/>
      <c r="B95" s="1226"/>
      <c r="C95" s="1227"/>
      <c r="D95" s="575"/>
      <c r="E95" s="570"/>
      <c r="F95" s="263"/>
      <c r="G95" s="263"/>
      <c r="H95" s="264"/>
      <c r="I95" s="277"/>
      <c r="J95" s="278"/>
      <c r="K95" s="279"/>
      <c r="L95" s="264"/>
      <c r="M95" s="264"/>
      <c r="N95" s="264"/>
      <c r="O95" s="264"/>
      <c r="P95" s="264"/>
      <c r="Q95" s="264"/>
      <c r="R95" s="264"/>
      <c r="S95" s="264"/>
      <c r="T95" s="291"/>
      <c r="U95" s="264"/>
      <c r="V95" s="292"/>
      <c r="W95" s="292"/>
      <c r="X95" s="280"/>
      <c r="Y95" s="298"/>
    </row>
    <row r="96" spans="1:25" ht="17.25" customHeight="1">
      <c r="A96" s="261"/>
      <c r="B96" s="1226"/>
      <c r="C96" s="1227"/>
      <c r="D96" s="575"/>
      <c r="E96" s="570"/>
      <c r="F96" s="263"/>
      <c r="G96" s="263"/>
      <c r="H96" s="264"/>
      <c r="I96" s="277"/>
      <c r="J96" s="278"/>
      <c r="K96" s="279"/>
      <c r="L96" s="264"/>
      <c r="M96" s="264"/>
      <c r="N96" s="264"/>
      <c r="O96" s="264"/>
      <c r="P96" s="264"/>
      <c r="Q96" s="264"/>
      <c r="R96" s="264"/>
      <c r="S96" s="264"/>
      <c r="T96" s="291"/>
      <c r="U96" s="264"/>
      <c r="V96" s="292"/>
      <c r="W96" s="292"/>
      <c r="X96" s="280"/>
      <c r="Y96" s="298"/>
    </row>
    <row r="97" spans="1:26" ht="17.25" customHeight="1">
      <c r="A97" s="261"/>
      <c r="B97" s="1226"/>
      <c r="C97" s="1227"/>
      <c r="D97" s="575"/>
      <c r="E97" s="570"/>
      <c r="F97" s="263"/>
      <c r="G97" s="263"/>
      <c r="H97" s="264"/>
      <c r="I97" s="277"/>
      <c r="J97" s="278"/>
      <c r="K97" s="279"/>
      <c r="L97" s="264"/>
      <c r="M97" s="280"/>
      <c r="N97" s="264"/>
      <c r="O97" s="263"/>
      <c r="P97" s="280"/>
      <c r="Q97" s="263"/>
      <c r="R97" s="290"/>
      <c r="S97" s="262"/>
      <c r="T97" s="291"/>
      <c r="U97" s="264"/>
      <c r="V97" s="292"/>
      <c r="W97" s="292"/>
      <c r="X97" s="280"/>
      <c r="Y97" s="298"/>
    </row>
    <row r="98" spans="1:26" ht="17.25" customHeight="1">
      <c r="A98" s="261"/>
      <c r="B98" s="1226"/>
      <c r="C98" s="1227"/>
      <c r="D98" s="575"/>
      <c r="E98" s="570"/>
      <c r="F98" s="263"/>
      <c r="G98" s="263"/>
      <c r="H98" s="264"/>
      <c r="I98" s="277"/>
      <c r="J98" s="278"/>
      <c r="K98" s="279"/>
      <c r="L98" s="264"/>
      <c r="M98" s="280"/>
      <c r="N98" s="264"/>
      <c r="O98" s="263"/>
      <c r="P98" s="280"/>
      <c r="Q98" s="263"/>
      <c r="R98" s="290"/>
      <c r="S98" s="262"/>
      <c r="T98" s="291"/>
      <c r="U98" s="264"/>
      <c r="V98" s="292"/>
      <c r="W98" s="292"/>
      <c r="X98" s="280"/>
      <c r="Y98" s="298"/>
    </row>
    <row r="99" spans="1:26" ht="17.25" customHeight="1">
      <c r="A99" s="261"/>
      <c r="B99" s="1226"/>
      <c r="C99" s="1227"/>
      <c r="D99" s="575"/>
      <c r="E99" s="570"/>
      <c r="F99" s="263"/>
      <c r="G99" s="263"/>
      <c r="H99" s="264"/>
      <c r="I99" s="277"/>
      <c r="J99" s="278"/>
      <c r="K99" s="279"/>
      <c r="L99" s="264"/>
      <c r="M99" s="264"/>
      <c r="N99" s="264"/>
      <c r="O99" s="264"/>
      <c r="P99" s="264"/>
      <c r="Q99" s="264"/>
      <c r="R99" s="264"/>
      <c r="S99" s="264"/>
      <c r="T99" s="291"/>
      <c r="U99" s="264"/>
      <c r="V99" s="292"/>
      <c r="W99" s="292"/>
      <c r="X99" s="280"/>
      <c r="Y99" s="298"/>
    </row>
    <row r="100" spans="1:26" ht="17.25" customHeight="1">
      <c r="A100" s="261"/>
      <c r="B100" s="1226"/>
      <c r="C100" s="1227"/>
      <c r="D100" s="575"/>
      <c r="E100" s="570"/>
      <c r="F100" s="263"/>
      <c r="G100" s="263"/>
      <c r="H100" s="264"/>
      <c r="I100" s="277"/>
      <c r="J100" s="278"/>
      <c r="K100" s="279"/>
      <c r="L100" s="264"/>
      <c r="M100" s="264"/>
      <c r="N100" s="264"/>
      <c r="O100" s="264"/>
      <c r="P100" s="264"/>
      <c r="Q100" s="264"/>
      <c r="R100" s="264"/>
      <c r="S100" s="264"/>
      <c r="T100" s="291"/>
      <c r="U100" s="264"/>
      <c r="V100" s="292"/>
      <c r="W100" s="292"/>
      <c r="X100" s="280"/>
      <c r="Y100" s="298"/>
    </row>
    <row r="101" spans="1:26" ht="17.25" customHeight="1">
      <c r="A101" s="261"/>
      <c r="B101" s="1226"/>
      <c r="C101" s="1227"/>
      <c r="D101" s="575"/>
      <c r="E101" s="570"/>
      <c r="F101" s="263"/>
      <c r="G101" s="263"/>
      <c r="H101" s="264"/>
      <c r="I101" s="277"/>
      <c r="J101" s="278"/>
      <c r="K101" s="279"/>
      <c r="L101" s="264"/>
      <c r="M101" s="264"/>
      <c r="N101" s="264"/>
      <c r="O101" s="264"/>
      <c r="P101" s="264"/>
      <c r="Q101" s="264"/>
      <c r="R101" s="264"/>
      <c r="S101" s="264"/>
      <c r="T101" s="291"/>
      <c r="U101" s="264"/>
      <c r="V101" s="292"/>
      <c r="W101" s="292"/>
      <c r="X101" s="280"/>
      <c r="Y101" s="298"/>
    </row>
    <row r="102" spans="1:26" ht="17.25" customHeight="1">
      <c r="A102" s="261"/>
      <c r="B102" s="1226"/>
      <c r="C102" s="1227"/>
      <c r="D102" s="575"/>
      <c r="E102" s="570"/>
      <c r="F102" s="263"/>
      <c r="G102" s="263"/>
      <c r="H102" s="264"/>
      <c r="I102" s="277"/>
      <c r="J102" s="278"/>
      <c r="K102" s="279"/>
      <c r="L102" s="264"/>
      <c r="M102" s="264"/>
      <c r="N102" s="264"/>
      <c r="O102" s="264"/>
      <c r="P102" s="264"/>
      <c r="Q102" s="264"/>
      <c r="R102" s="264"/>
      <c r="S102" s="264"/>
      <c r="T102" s="291"/>
      <c r="U102" s="264"/>
      <c r="V102" s="292"/>
      <c r="W102" s="292"/>
      <c r="X102" s="280"/>
      <c r="Y102" s="298"/>
    </row>
    <row r="103" spans="1:26" ht="17.25" customHeight="1">
      <c r="A103" s="261"/>
      <c r="B103" s="1226"/>
      <c r="C103" s="1227"/>
      <c r="D103" s="575"/>
      <c r="E103" s="570"/>
      <c r="F103" s="263"/>
      <c r="G103" s="263"/>
      <c r="H103" s="264"/>
      <c r="I103" s="277"/>
      <c r="J103" s="278"/>
      <c r="K103" s="279"/>
      <c r="L103" s="264"/>
      <c r="M103" s="264"/>
      <c r="N103" s="264"/>
      <c r="O103" s="264"/>
      <c r="P103" s="264"/>
      <c r="Q103" s="264"/>
      <c r="R103" s="264"/>
      <c r="S103" s="264"/>
      <c r="T103" s="291"/>
      <c r="U103" s="264"/>
      <c r="V103" s="292"/>
      <c r="W103" s="292"/>
      <c r="X103" s="280"/>
      <c r="Y103" s="298"/>
    </row>
    <row r="104" spans="1:26" ht="17.25" customHeight="1">
      <c r="A104" s="261"/>
      <c r="B104" s="1226"/>
      <c r="C104" s="1227"/>
      <c r="D104" s="575"/>
      <c r="E104" s="570"/>
      <c r="F104" s="263"/>
      <c r="G104" s="263"/>
      <c r="H104" s="264"/>
      <c r="I104" s="277"/>
      <c r="J104" s="278"/>
      <c r="K104" s="279"/>
      <c r="L104" s="264"/>
      <c r="M104" s="264"/>
      <c r="N104" s="264"/>
      <c r="O104" s="264"/>
      <c r="P104" s="264"/>
      <c r="Q104" s="264"/>
      <c r="R104" s="264"/>
      <c r="S104" s="264"/>
      <c r="T104" s="291"/>
      <c r="U104" s="264"/>
      <c r="V104" s="292"/>
      <c r="W104" s="292"/>
      <c r="X104" s="280"/>
      <c r="Y104" s="298"/>
    </row>
    <row r="105" spans="1:26" ht="17.25" customHeight="1">
      <c r="A105" s="261"/>
      <c r="B105" s="1226"/>
      <c r="C105" s="1227"/>
      <c r="D105" s="575"/>
      <c r="E105" s="570"/>
      <c r="F105" s="263"/>
      <c r="G105" s="263"/>
      <c r="H105" s="264"/>
      <c r="I105" s="277"/>
      <c r="J105" s="278"/>
      <c r="K105" s="279"/>
      <c r="L105" s="264"/>
      <c r="M105" s="264"/>
      <c r="N105" s="264"/>
      <c r="O105" s="264"/>
      <c r="P105" s="264"/>
      <c r="Q105" s="264"/>
      <c r="R105" s="264"/>
      <c r="S105" s="264"/>
      <c r="T105" s="291"/>
      <c r="U105" s="264"/>
      <c r="V105" s="292"/>
      <c r="W105" s="292"/>
      <c r="X105" s="280"/>
      <c r="Y105" s="298"/>
    </row>
    <row r="106" spans="1:26" ht="17.25" customHeight="1">
      <c r="A106" s="261"/>
      <c r="B106" s="1226"/>
      <c r="C106" s="1227"/>
      <c r="D106" s="575"/>
      <c r="E106" s="570"/>
      <c r="F106" s="263"/>
      <c r="G106" s="263"/>
      <c r="H106" s="264"/>
      <c r="I106" s="277"/>
      <c r="J106" s="278"/>
      <c r="K106" s="279"/>
      <c r="L106" s="264"/>
      <c r="M106" s="264"/>
      <c r="N106" s="264"/>
      <c r="O106" s="264"/>
      <c r="P106" s="264"/>
      <c r="Q106" s="264"/>
      <c r="R106" s="264"/>
      <c r="S106" s="264"/>
      <c r="T106" s="291"/>
      <c r="U106" s="264"/>
      <c r="V106" s="292"/>
      <c r="W106" s="292"/>
      <c r="X106" s="280"/>
      <c r="Y106" s="298"/>
    </row>
    <row r="107" spans="1:26" ht="17.25" customHeight="1">
      <c r="A107" s="261"/>
      <c r="B107" s="1226"/>
      <c r="C107" s="1227"/>
      <c r="D107" s="575"/>
      <c r="E107" s="570"/>
      <c r="F107" s="263"/>
      <c r="G107" s="263"/>
      <c r="H107" s="264"/>
      <c r="I107" s="277"/>
      <c r="J107" s="278"/>
      <c r="K107" s="279"/>
      <c r="L107" s="264"/>
      <c r="M107" s="264"/>
      <c r="N107" s="264"/>
      <c r="O107" s="264"/>
      <c r="P107" s="264"/>
      <c r="Q107" s="264"/>
      <c r="R107" s="264"/>
      <c r="S107" s="264"/>
      <c r="T107" s="291"/>
      <c r="U107" s="264"/>
      <c r="V107" s="292"/>
      <c r="W107" s="292"/>
      <c r="X107" s="280"/>
      <c r="Y107" s="298"/>
    </row>
    <row r="108" spans="1:26" ht="17.25" customHeight="1">
      <c r="A108" s="261"/>
      <c r="B108" s="1226"/>
      <c r="C108" s="1227"/>
      <c r="D108" s="575"/>
      <c r="E108" s="570"/>
      <c r="F108" s="263"/>
      <c r="G108" s="263"/>
      <c r="H108" s="264"/>
      <c r="I108" s="277"/>
      <c r="J108" s="278"/>
      <c r="K108" s="278"/>
      <c r="L108" s="278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80"/>
      <c r="Y108" s="278"/>
      <c r="Z108" s="278"/>
    </row>
    <row r="109" spans="1:26" ht="17.25" customHeight="1">
      <c r="A109" s="261"/>
      <c r="B109" s="1226"/>
      <c r="C109" s="1227"/>
      <c r="D109" s="575"/>
      <c r="E109" s="570"/>
      <c r="F109" s="263"/>
      <c r="G109" s="263"/>
      <c r="H109" s="264"/>
      <c r="I109" s="277"/>
      <c r="J109" s="278"/>
      <c r="K109" s="279"/>
      <c r="L109" s="264"/>
      <c r="M109" s="280"/>
      <c r="N109" s="264"/>
      <c r="O109" s="263"/>
      <c r="P109" s="280"/>
      <c r="Q109" s="263"/>
      <c r="R109" s="290"/>
      <c r="S109" s="262"/>
      <c r="T109" s="291"/>
      <c r="U109" s="264"/>
      <c r="V109" s="292"/>
      <c r="W109" s="292"/>
      <c r="X109" s="280"/>
      <c r="Y109" s="298"/>
    </row>
    <row r="110" spans="1:26" ht="17.25" customHeight="1">
      <c r="A110" s="261"/>
      <c r="B110" s="1226"/>
      <c r="C110" s="1227"/>
      <c r="D110" s="575"/>
      <c r="E110" s="570"/>
      <c r="F110" s="263"/>
      <c r="G110" s="263"/>
      <c r="H110" s="264"/>
      <c r="I110" s="277"/>
      <c r="J110" s="278"/>
      <c r="K110" s="279"/>
      <c r="L110" s="264"/>
      <c r="M110" s="264"/>
      <c r="N110" s="264"/>
      <c r="O110" s="264"/>
      <c r="P110" s="264"/>
      <c r="Q110" s="264"/>
      <c r="R110" s="264"/>
      <c r="S110" s="264"/>
      <c r="T110" s="291"/>
      <c r="U110" s="264"/>
      <c r="V110" s="292"/>
      <c r="W110" s="292"/>
      <c r="X110" s="280"/>
      <c r="Y110" s="298"/>
    </row>
    <row r="111" spans="1:26" ht="17.25" customHeight="1">
      <c r="A111" s="261"/>
      <c r="B111" s="1226"/>
      <c r="C111" s="1227"/>
      <c r="D111" s="575"/>
      <c r="E111" s="570"/>
      <c r="F111" s="263"/>
      <c r="G111" s="263"/>
      <c r="H111" s="264"/>
      <c r="I111" s="277"/>
      <c r="J111" s="278"/>
      <c r="K111" s="279"/>
      <c r="L111" s="264"/>
      <c r="M111" s="264"/>
      <c r="N111" s="264"/>
      <c r="O111" s="264"/>
      <c r="P111" s="264"/>
      <c r="Q111" s="264"/>
      <c r="R111" s="264"/>
      <c r="S111" s="264"/>
      <c r="T111" s="291"/>
      <c r="U111" s="264"/>
      <c r="V111" s="292"/>
      <c r="W111" s="292"/>
      <c r="X111" s="280"/>
      <c r="Y111" s="298"/>
    </row>
    <row r="112" spans="1:26" ht="17.25" customHeight="1">
      <c r="A112" s="261"/>
      <c r="B112" s="1226"/>
      <c r="C112" s="1227"/>
      <c r="D112" s="575"/>
      <c r="E112" s="570"/>
      <c r="F112" s="263"/>
      <c r="G112" s="263"/>
      <c r="H112" s="264"/>
      <c r="I112" s="277"/>
      <c r="J112" s="278"/>
      <c r="K112" s="279"/>
      <c r="L112" s="264"/>
      <c r="M112" s="264"/>
      <c r="N112" s="264"/>
      <c r="O112" s="264"/>
      <c r="P112" s="264"/>
      <c r="Q112" s="264"/>
      <c r="R112" s="264"/>
      <c r="S112" s="264"/>
      <c r="T112" s="291"/>
      <c r="U112" s="264"/>
      <c r="V112" s="292"/>
      <c r="W112" s="292"/>
      <c r="X112" s="280"/>
      <c r="Y112" s="298"/>
    </row>
    <row r="113" spans="1:27" ht="17.25" customHeight="1">
      <c r="A113" s="261"/>
      <c r="B113" s="1226"/>
      <c r="C113" s="1227"/>
      <c r="D113" s="575"/>
      <c r="E113" s="570"/>
      <c r="F113" s="263"/>
      <c r="G113" s="263"/>
      <c r="H113" s="264"/>
      <c r="I113" s="277"/>
      <c r="J113" s="278"/>
      <c r="K113" s="279"/>
      <c r="L113" s="264"/>
      <c r="M113" s="264"/>
      <c r="N113" s="264"/>
      <c r="O113" s="264"/>
      <c r="P113" s="264"/>
      <c r="Q113" s="264"/>
      <c r="R113" s="264"/>
      <c r="S113" s="264"/>
      <c r="T113" s="291"/>
      <c r="U113" s="264"/>
      <c r="V113" s="292"/>
      <c r="W113" s="292"/>
      <c r="X113" s="280"/>
      <c r="Y113" s="298"/>
    </row>
    <row r="114" spans="1:27" ht="17.25" customHeight="1">
      <c r="A114" s="261"/>
      <c r="B114" s="1226"/>
      <c r="C114" s="1227"/>
      <c r="D114" s="575"/>
      <c r="E114" s="570"/>
      <c r="F114" s="263"/>
      <c r="G114" s="263"/>
      <c r="H114" s="264"/>
      <c r="I114" s="277"/>
      <c r="J114" s="278"/>
      <c r="K114" s="279"/>
      <c r="L114" s="264"/>
      <c r="M114" s="264"/>
      <c r="N114" s="264"/>
      <c r="O114" s="264"/>
      <c r="P114" s="264"/>
      <c r="Q114" s="264"/>
      <c r="R114" s="264"/>
      <c r="S114" s="264"/>
      <c r="T114" s="291"/>
      <c r="U114" s="264"/>
      <c r="V114" s="292"/>
      <c r="W114" s="292"/>
      <c r="X114" s="280"/>
      <c r="Y114" s="298"/>
    </row>
    <row r="115" spans="1:27" ht="17.25" customHeight="1">
      <c r="A115" s="261"/>
      <c r="B115" s="1226"/>
      <c r="C115" s="1227"/>
      <c r="D115" s="575"/>
      <c r="E115" s="570"/>
      <c r="F115" s="263"/>
      <c r="G115" s="263"/>
      <c r="H115" s="264"/>
      <c r="I115" s="277"/>
      <c r="J115" s="278"/>
      <c r="K115" s="279"/>
      <c r="L115" s="264"/>
      <c r="M115" s="264"/>
      <c r="N115" s="264"/>
      <c r="O115" s="264"/>
      <c r="P115" s="264"/>
      <c r="Q115" s="264"/>
      <c r="R115" s="264"/>
      <c r="S115" s="264"/>
      <c r="T115" s="291"/>
      <c r="U115" s="264"/>
      <c r="V115" s="292"/>
      <c r="W115" s="292"/>
      <c r="X115" s="280"/>
      <c r="Y115" s="298"/>
    </row>
    <row r="116" spans="1:27" ht="17.25" customHeight="1">
      <c r="A116" s="261"/>
      <c r="B116" s="1226"/>
      <c r="C116" s="1227"/>
      <c r="D116" s="575"/>
      <c r="E116" s="570"/>
      <c r="F116" s="263"/>
      <c r="G116" s="263"/>
      <c r="H116" s="264"/>
      <c r="I116" s="277"/>
      <c r="J116" s="278"/>
      <c r="K116" s="279"/>
      <c r="L116" s="264"/>
      <c r="M116" s="264"/>
      <c r="N116" s="264"/>
      <c r="O116" s="264"/>
      <c r="P116" s="264"/>
      <c r="Q116" s="264"/>
      <c r="R116" s="264"/>
      <c r="S116" s="264"/>
      <c r="T116" s="291"/>
      <c r="U116" s="264"/>
      <c r="V116" s="292"/>
      <c r="W116" s="292"/>
      <c r="X116" s="280"/>
      <c r="Y116" s="298"/>
    </row>
    <row r="117" spans="1:27" ht="17.25" customHeight="1">
      <c r="A117" s="261"/>
      <c r="B117" s="1226"/>
      <c r="C117" s="1227"/>
      <c r="D117" s="575"/>
      <c r="E117" s="570"/>
      <c r="F117" s="263"/>
      <c r="G117" s="263"/>
      <c r="H117" s="264"/>
      <c r="I117" s="277"/>
      <c r="J117" s="278"/>
      <c r="K117" s="279"/>
      <c r="L117" s="264"/>
      <c r="M117" s="264"/>
      <c r="N117" s="264"/>
      <c r="O117" s="264"/>
      <c r="P117" s="264"/>
      <c r="Q117" s="264"/>
      <c r="R117" s="264"/>
      <c r="S117" s="264"/>
      <c r="T117" s="291"/>
      <c r="U117" s="264"/>
      <c r="V117" s="292"/>
      <c r="W117" s="292"/>
      <c r="X117" s="280"/>
      <c r="Y117" s="298"/>
    </row>
    <row r="118" spans="1:27" ht="17.25" customHeight="1">
      <c r="A118" s="261"/>
      <c r="B118" s="1226"/>
      <c r="C118" s="1227"/>
      <c r="D118" s="575"/>
      <c r="E118" s="570"/>
      <c r="F118" s="263"/>
      <c r="G118" s="263"/>
      <c r="H118" s="264"/>
      <c r="I118" s="277"/>
      <c r="J118" s="278"/>
      <c r="K118" s="279"/>
      <c r="L118" s="264"/>
      <c r="M118" s="264"/>
      <c r="N118" s="264"/>
      <c r="O118" s="264"/>
      <c r="P118" s="264"/>
      <c r="Q118" s="264"/>
      <c r="R118" s="264"/>
      <c r="S118" s="264"/>
      <c r="T118" s="291"/>
      <c r="U118" s="264"/>
      <c r="V118" s="292"/>
      <c r="W118" s="292"/>
      <c r="X118" s="280"/>
      <c r="Y118" s="298"/>
    </row>
    <row r="119" spans="1:27" ht="17.25" customHeight="1">
      <c r="A119" s="261"/>
      <c r="B119" s="1226"/>
      <c r="C119" s="1227"/>
      <c r="D119" s="575"/>
      <c r="E119" s="570"/>
      <c r="F119" s="263"/>
      <c r="G119" s="263"/>
      <c r="H119" s="264"/>
      <c r="I119" s="277"/>
      <c r="J119" s="278"/>
      <c r="K119" s="279"/>
      <c r="L119" s="264"/>
      <c r="M119" s="264"/>
      <c r="N119" s="264"/>
      <c r="O119" s="264"/>
      <c r="P119" s="264"/>
      <c r="Q119" s="264"/>
      <c r="R119" s="264"/>
      <c r="S119" s="264"/>
      <c r="T119" s="291"/>
      <c r="U119" s="264"/>
      <c r="V119" s="292"/>
      <c r="W119" s="292"/>
      <c r="X119" s="280"/>
      <c r="Y119" s="298"/>
    </row>
    <row r="120" spans="1:27" ht="17.25" customHeight="1">
      <c r="A120" s="261"/>
      <c r="B120" s="1226"/>
      <c r="C120" s="1227"/>
      <c r="D120" s="575"/>
      <c r="E120" s="570"/>
      <c r="F120" s="263"/>
      <c r="G120" s="263"/>
      <c r="H120" s="264"/>
      <c r="I120" s="277"/>
      <c r="J120" s="278"/>
      <c r="K120" s="279"/>
      <c r="L120" s="264"/>
      <c r="M120" s="264"/>
      <c r="N120" s="264"/>
      <c r="O120" s="264"/>
      <c r="P120" s="264"/>
      <c r="Q120" s="264"/>
      <c r="R120" s="264"/>
      <c r="S120" s="264"/>
      <c r="T120" s="291"/>
      <c r="U120" s="264"/>
      <c r="V120" s="292"/>
      <c r="W120" s="292"/>
      <c r="X120" s="280"/>
      <c r="Y120" s="298"/>
    </row>
    <row r="121" spans="1:27" ht="17.25" customHeight="1">
      <c r="A121" s="261"/>
      <c r="B121" s="1226"/>
      <c r="C121" s="1227"/>
      <c r="D121" s="575"/>
      <c r="E121" s="570"/>
      <c r="F121" s="263"/>
      <c r="G121" s="263"/>
      <c r="H121" s="264"/>
      <c r="I121" s="277"/>
      <c r="J121" s="278"/>
      <c r="K121" s="279"/>
      <c r="L121" s="264"/>
      <c r="M121" s="264"/>
      <c r="N121" s="264"/>
      <c r="O121" s="264"/>
      <c r="P121" s="264"/>
      <c r="Q121" s="264"/>
      <c r="R121" s="264"/>
      <c r="S121" s="264"/>
      <c r="T121" s="291"/>
      <c r="U121" s="264"/>
      <c r="V121" s="292"/>
      <c r="W121" s="292"/>
      <c r="X121" s="280"/>
      <c r="Y121" s="298"/>
    </row>
    <row r="122" spans="1:27" ht="17.25" customHeight="1">
      <c r="A122" s="261"/>
      <c r="B122" s="1226"/>
      <c r="C122" s="1227"/>
      <c r="D122" s="575"/>
      <c r="E122" s="570"/>
      <c r="F122" s="263"/>
      <c r="G122" s="263"/>
      <c r="H122" s="264"/>
      <c r="I122" s="277"/>
      <c r="J122" s="278"/>
      <c r="K122" s="279"/>
      <c r="L122" s="264"/>
      <c r="M122" s="264"/>
      <c r="N122" s="264"/>
      <c r="O122" s="264"/>
      <c r="P122" s="264"/>
      <c r="Q122" s="264"/>
      <c r="R122" s="264"/>
      <c r="S122" s="264"/>
      <c r="T122" s="291"/>
      <c r="U122" s="264"/>
      <c r="V122" s="292"/>
      <c r="W122" s="292"/>
      <c r="X122" s="280"/>
      <c r="Y122" s="298"/>
    </row>
    <row r="123" spans="1:27" ht="17.25" customHeight="1">
      <c r="A123" s="261"/>
      <c r="B123" s="1226"/>
      <c r="C123" s="1227"/>
      <c r="D123" s="575"/>
      <c r="E123" s="570"/>
      <c r="F123" s="263"/>
      <c r="G123" s="263"/>
      <c r="H123" s="264"/>
      <c r="I123" s="277"/>
      <c r="J123" s="278"/>
      <c r="K123" s="279"/>
      <c r="L123" s="264"/>
      <c r="M123" s="264"/>
      <c r="N123" s="264"/>
      <c r="O123" s="264"/>
      <c r="P123" s="264"/>
      <c r="Q123" s="264"/>
      <c r="R123" s="264"/>
      <c r="S123" s="264"/>
      <c r="T123" s="291"/>
      <c r="U123" s="264"/>
      <c r="V123" s="292"/>
      <c r="W123" s="292"/>
      <c r="X123" s="280"/>
      <c r="Y123" s="298"/>
    </row>
    <row r="124" spans="1:27" ht="17.25" customHeight="1">
      <c r="A124" s="261"/>
      <c r="B124" s="1226"/>
      <c r="C124" s="1227"/>
      <c r="D124" s="575"/>
      <c r="E124" s="570"/>
      <c r="F124" s="263"/>
      <c r="G124" s="263"/>
      <c r="H124" s="264"/>
      <c r="I124" s="277"/>
      <c r="J124" s="278"/>
      <c r="K124" s="279"/>
      <c r="L124" s="264"/>
      <c r="M124" s="264"/>
      <c r="N124" s="264"/>
      <c r="O124" s="264"/>
      <c r="P124" s="264"/>
      <c r="Q124" s="264"/>
      <c r="R124" s="264"/>
      <c r="S124" s="264"/>
      <c r="T124" s="291"/>
      <c r="U124" s="264"/>
      <c r="V124" s="292"/>
      <c r="W124" s="292"/>
      <c r="X124" s="280"/>
      <c r="Y124" s="298"/>
    </row>
    <row r="125" spans="1:27" ht="17.25" customHeight="1">
      <c r="A125" s="261"/>
      <c r="B125" s="1226"/>
      <c r="C125" s="1227"/>
      <c r="D125" s="575"/>
      <c r="E125" s="570"/>
      <c r="F125" s="263"/>
      <c r="G125" s="263"/>
      <c r="H125" s="264"/>
      <c r="I125" s="277"/>
      <c r="J125" s="278"/>
      <c r="K125" s="278"/>
      <c r="L125" s="278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80"/>
      <c r="Y125" s="298"/>
    </row>
    <row r="126" spans="1:27" ht="17.25" customHeight="1">
      <c r="A126" s="261"/>
      <c r="B126" s="1226"/>
      <c r="C126" s="1227"/>
      <c r="D126" s="575"/>
      <c r="E126" s="570"/>
      <c r="F126" s="263"/>
      <c r="G126" s="263"/>
      <c r="H126" s="264"/>
      <c r="I126" s="277"/>
      <c r="J126" s="278"/>
      <c r="K126" s="279"/>
      <c r="L126" s="264"/>
      <c r="M126" s="280"/>
      <c r="N126" s="264"/>
      <c r="O126" s="263"/>
      <c r="P126" s="280"/>
      <c r="Q126" s="263"/>
      <c r="R126" s="290"/>
      <c r="S126" s="262"/>
      <c r="T126" s="291"/>
      <c r="U126" s="264"/>
      <c r="V126" s="292"/>
      <c r="W126" s="292"/>
      <c r="X126" s="280"/>
      <c r="Y126" s="298"/>
    </row>
    <row r="127" spans="1:27" ht="17.25" customHeight="1">
      <c r="A127" s="261"/>
      <c r="B127" s="1226"/>
      <c r="C127" s="1227"/>
      <c r="D127" s="575"/>
      <c r="E127" s="570"/>
      <c r="F127" s="263"/>
      <c r="G127" s="263"/>
      <c r="H127" s="264"/>
      <c r="I127" s="277"/>
      <c r="J127" s="278"/>
      <c r="K127" s="279"/>
      <c r="L127" s="264"/>
      <c r="M127" s="264"/>
      <c r="N127" s="264"/>
      <c r="O127" s="264"/>
      <c r="P127" s="264"/>
      <c r="Q127" s="264"/>
      <c r="R127" s="264"/>
      <c r="S127" s="264"/>
      <c r="T127" s="291"/>
      <c r="U127" s="264"/>
      <c r="V127" s="292"/>
      <c r="W127" s="292"/>
      <c r="X127" s="280"/>
      <c r="Y127" s="298"/>
    </row>
    <row r="128" spans="1:27" ht="17.25" customHeight="1">
      <c r="A128" s="261"/>
      <c r="B128" s="1226"/>
      <c r="C128" s="1227"/>
      <c r="D128" s="575"/>
      <c r="E128" s="570"/>
      <c r="F128" s="263"/>
      <c r="G128" s="263"/>
      <c r="H128" s="264"/>
      <c r="I128" s="277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80"/>
      <c r="Y128" s="278"/>
      <c r="Z128" s="278"/>
      <c r="AA128" s="278"/>
    </row>
    <row r="129" spans="1:25" ht="17.25" customHeight="1">
      <c r="A129" s="261"/>
      <c r="B129" s="1226"/>
      <c r="C129" s="1227"/>
      <c r="D129" s="575"/>
      <c r="E129" s="570"/>
      <c r="F129" s="263"/>
      <c r="G129" s="263"/>
      <c r="H129" s="264"/>
      <c r="I129" s="277"/>
      <c r="J129" s="278"/>
      <c r="K129" s="279"/>
      <c r="L129" s="264"/>
      <c r="M129" s="280"/>
      <c r="N129" s="264"/>
      <c r="O129" s="263"/>
      <c r="P129" s="280"/>
      <c r="Q129" s="263"/>
      <c r="R129" s="290"/>
      <c r="S129" s="262"/>
      <c r="T129" s="291"/>
      <c r="U129" s="264"/>
      <c r="V129" s="292"/>
      <c r="W129" s="292"/>
      <c r="X129" s="280"/>
      <c r="Y129" s="298"/>
    </row>
    <row r="130" spans="1:25" ht="17.25" customHeight="1">
      <c r="A130" s="261"/>
      <c r="B130" s="1226"/>
      <c r="C130" s="1227"/>
      <c r="D130" s="575"/>
      <c r="E130" s="570"/>
      <c r="F130" s="263"/>
      <c r="G130" s="263"/>
      <c r="H130" s="264"/>
      <c r="I130" s="277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80"/>
      <c r="Y130" s="278"/>
    </row>
    <row r="131" spans="1:25" ht="17.25" customHeight="1">
      <c r="A131" s="261"/>
      <c r="B131" s="1226"/>
      <c r="C131" s="1227"/>
      <c r="D131" s="575"/>
      <c r="E131" s="570"/>
      <c r="F131" s="263"/>
      <c r="G131" s="263"/>
      <c r="H131" s="264"/>
      <c r="I131" s="277"/>
      <c r="J131" s="278"/>
      <c r="K131" s="279"/>
      <c r="L131" s="264"/>
      <c r="M131" s="280"/>
      <c r="N131" s="264"/>
      <c r="O131" s="263"/>
      <c r="P131" s="280"/>
      <c r="Q131" s="263"/>
      <c r="R131" s="290"/>
      <c r="S131" s="262"/>
      <c r="T131" s="291"/>
      <c r="U131" s="264"/>
      <c r="V131" s="292"/>
      <c r="W131" s="292"/>
      <c r="X131" s="280"/>
      <c r="Y131" s="298"/>
    </row>
    <row r="132" spans="1:25" ht="17.25" customHeight="1">
      <c r="A132" s="261"/>
      <c r="B132" s="1226"/>
      <c r="C132" s="1227"/>
      <c r="D132" s="575"/>
      <c r="E132" s="570"/>
      <c r="F132" s="263"/>
      <c r="G132" s="263"/>
      <c r="H132" s="264"/>
      <c r="I132" s="277"/>
      <c r="J132" s="278"/>
      <c r="K132" s="279"/>
      <c r="L132" s="264"/>
      <c r="M132" s="264"/>
      <c r="N132" s="264"/>
      <c r="O132" s="264"/>
      <c r="P132" s="264"/>
      <c r="Q132" s="264"/>
      <c r="R132" s="264"/>
      <c r="S132" s="264"/>
      <c r="T132" s="291"/>
      <c r="U132" s="264"/>
      <c r="V132" s="292"/>
      <c r="W132" s="292"/>
      <c r="X132" s="280"/>
      <c r="Y132" s="298"/>
    </row>
    <row r="133" spans="1:25" ht="17.25" customHeight="1">
      <c r="A133" s="261"/>
      <c r="B133" s="1226"/>
      <c r="C133" s="1227"/>
      <c r="D133" s="575"/>
      <c r="E133" s="570"/>
      <c r="F133" s="263"/>
      <c r="G133" s="263"/>
      <c r="H133" s="264"/>
      <c r="I133" s="277"/>
      <c r="J133" s="278"/>
      <c r="K133" s="279"/>
      <c r="L133" s="264"/>
      <c r="M133" s="264"/>
      <c r="N133" s="264"/>
      <c r="O133" s="264"/>
      <c r="P133" s="264"/>
      <c r="Q133" s="264"/>
      <c r="R133" s="264"/>
      <c r="S133" s="264"/>
      <c r="T133" s="291"/>
      <c r="U133" s="264"/>
      <c r="V133" s="292"/>
      <c r="W133" s="292"/>
      <c r="X133" s="280"/>
      <c r="Y133" s="298"/>
    </row>
    <row r="134" spans="1:25" ht="17.25" customHeight="1">
      <c r="A134" s="261"/>
      <c r="B134" s="1226"/>
      <c r="C134" s="1227"/>
      <c r="D134" s="575"/>
      <c r="E134" s="570"/>
      <c r="F134" s="263"/>
      <c r="G134" s="263"/>
      <c r="H134" s="264"/>
      <c r="I134" s="277"/>
      <c r="J134" s="278"/>
      <c r="K134" s="279"/>
      <c r="L134" s="264"/>
      <c r="M134" s="264"/>
      <c r="N134" s="264"/>
      <c r="O134" s="264"/>
      <c r="P134" s="264"/>
      <c r="Q134" s="264"/>
      <c r="R134" s="264"/>
      <c r="S134" s="264"/>
      <c r="T134" s="291"/>
      <c r="U134" s="264"/>
      <c r="V134" s="292"/>
      <c r="W134" s="292"/>
      <c r="X134" s="280"/>
      <c r="Y134" s="298"/>
    </row>
    <row r="135" spans="1:25" ht="17.25" customHeight="1">
      <c r="A135" s="261"/>
      <c r="B135" s="1226"/>
      <c r="C135" s="1227"/>
      <c r="D135" s="575"/>
      <c r="E135" s="570"/>
      <c r="F135" s="263"/>
      <c r="G135" s="263"/>
      <c r="H135" s="264"/>
      <c r="I135" s="277"/>
      <c r="J135" s="278"/>
      <c r="K135" s="279"/>
      <c r="L135" s="264"/>
      <c r="M135" s="264"/>
      <c r="N135" s="264"/>
      <c r="O135" s="264"/>
      <c r="P135" s="264"/>
      <c r="Q135" s="264"/>
      <c r="R135" s="264"/>
      <c r="S135" s="264"/>
      <c r="T135" s="291"/>
      <c r="U135" s="264"/>
      <c r="V135" s="292"/>
      <c r="W135" s="292"/>
      <c r="X135" s="280"/>
      <c r="Y135" s="298"/>
    </row>
    <row r="136" spans="1:25" ht="17.25" customHeight="1">
      <c r="A136" s="261"/>
      <c r="B136" s="1226"/>
      <c r="C136" s="1227"/>
      <c r="D136" s="575"/>
      <c r="E136" s="570"/>
      <c r="F136" s="263"/>
      <c r="G136" s="263"/>
      <c r="H136" s="264"/>
      <c r="I136" s="277"/>
      <c r="J136" s="278"/>
      <c r="K136" s="279"/>
      <c r="L136" s="264"/>
      <c r="M136" s="264"/>
      <c r="N136" s="264"/>
      <c r="O136" s="264"/>
      <c r="P136" s="264"/>
      <c r="Q136" s="264"/>
      <c r="R136" s="264"/>
      <c r="S136" s="264"/>
      <c r="T136" s="291"/>
      <c r="U136" s="264"/>
      <c r="V136" s="292"/>
      <c r="W136" s="292"/>
      <c r="X136" s="280"/>
      <c r="Y136" s="298"/>
    </row>
    <row r="137" spans="1:25" ht="17.25" customHeight="1">
      <c r="A137" s="261"/>
      <c r="B137" s="1226"/>
      <c r="C137" s="1227"/>
      <c r="D137" s="575"/>
      <c r="E137" s="570"/>
      <c r="F137" s="263"/>
      <c r="G137" s="263"/>
      <c r="H137" s="264"/>
      <c r="I137" s="277"/>
      <c r="J137" s="278"/>
      <c r="K137" s="279"/>
      <c r="L137" s="264"/>
      <c r="M137" s="264"/>
      <c r="N137" s="264"/>
      <c r="O137" s="264"/>
      <c r="P137" s="264"/>
      <c r="Q137" s="264"/>
      <c r="R137" s="264"/>
      <c r="S137" s="264"/>
      <c r="T137" s="291"/>
      <c r="U137" s="264"/>
      <c r="V137" s="292"/>
      <c r="W137" s="292"/>
      <c r="X137" s="280"/>
      <c r="Y137" s="298"/>
    </row>
    <row r="138" spans="1:25" ht="17.25" customHeight="1">
      <c r="A138" s="261"/>
      <c r="B138" s="1226"/>
      <c r="C138" s="1227"/>
      <c r="D138" s="575"/>
      <c r="E138" s="570"/>
      <c r="F138" s="263"/>
      <c r="G138" s="263"/>
      <c r="H138" s="264"/>
      <c r="I138" s="277"/>
      <c r="J138" s="278"/>
      <c r="K138" s="279"/>
      <c r="L138" s="264"/>
      <c r="M138" s="264"/>
      <c r="N138" s="264"/>
      <c r="O138" s="264"/>
      <c r="P138" s="264"/>
      <c r="Q138" s="264"/>
      <c r="R138" s="264"/>
      <c r="S138" s="264"/>
      <c r="T138" s="291"/>
      <c r="U138" s="264"/>
      <c r="V138" s="292"/>
      <c r="W138" s="292"/>
      <c r="X138" s="280"/>
      <c r="Y138" s="298"/>
    </row>
    <row r="139" spans="1:25" ht="17.25" customHeight="1">
      <c r="A139" s="261"/>
      <c r="B139" s="1226"/>
      <c r="C139" s="1227"/>
      <c r="D139" s="575"/>
      <c r="E139" s="570"/>
      <c r="F139" s="263"/>
      <c r="G139" s="263"/>
      <c r="H139" s="264"/>
      <c r="I139" s="277"/>
      <c r="J139" s="278"/>
      <c r="K139" s="279"/>
      <c r="L139" s="264"/>
      <c r="M139" s="264"/>
      <c r="N139" s="264"/>
      <c r="O139" s="264"/>
      <c r="P139" s="264"/>
      <c r="Q139" s="264"/>
      <c r="R139" s="264"/>
      <c r="S139" s="264"/>
      <c r="T139" s="291"/>
      <c r="U139" s="264"/>
      <c r="V139" s="292"/>
      <c r="W139" s="292"/>
      <c r="X139" s="280"/>
      <c r="Y139" s="298"/>
    </row>
    <row r="140" spans="1:25" ht="17.25" customHeight="1">
      <c r="A140" s="261"/>
      <c r="B140" s="1226"/>
      <c r="C140" s="1227"/>
      <c r="D140" s="575"/>
      <c r="E140" s="570"/>
      <c r="F140" s="263"/>
      <c r="G140" s="263"/>
      <c r="H140" s="264"/>
      <c r="I140" s="277"/>
      <c r="J140" s="278"/>
      <c r="K140" s="279"/>
      <c r="L140" s="264"/>
      <c r="M140" s="264"/>
      <c r="N140" s="264"/>
      <c r="O140" s="264"/>
      <c r="P140" s="264"/>
      <c r="Q140" s="264"/>
      <c r="R140" s="264"/>
      <c r="S140" s="264"/>
      <c r="T140" s="291"/>
      <c r="U140" s="264"/>
      <c r="V140" s="292"/>
      <c r="W140" s="292"/>
      <c r="X140" s="280"/>
      <c r="Y140" s="298"/>
    </row>
    <row r="141" spans="1:25" ht="17.25" customHeight="1">
      <c r="A141" s="261"/>
      <c r="B141" s="1226"/>
      <c r="C141" s="1227"/>
      <c r="D141" s="575"/>
      <c r="E141" s="570"/>
      <c r="F141" s="263"/>
      <c r="G141" s="263"/>
      <c r="H141" s="264"/>
      <c r="I141" s="277"/>
      <c r="J141" s="278"/>
      <c r="K141" s="279"/>
      <c r="L141" s="264"/>
      <c r="M141" s="264"/>
      <c r="N141" s="264"/>
      <c r="O141" s="264"/>
      <c r="P141" s="264"/>
      <c r="Q141" s="264"/>
      <c r="R141" s="264"/>
      <c r="S141" s="264"/>
      <c r="T141" s="291"/>
      <c r="U141" s="264"/>
      <c r="V141" s="292"/>
      <c r="W141" s="292"/>
      <c r="X141" s="280"/>
      <c r="Y141" s="298"/>
    </row>
    <row r="142" spans="1:25" ht="17.25" customHeight="1">
      <c r="A142" s="261"/>
      <c r="B142" s="623"/>
      <c r="C142" s="624"/>
      <c r="D142" s="575"/>
      <c r="E142" s="570"/>
      <c r="F142" s="263"/>
      <c r="G142" s="263"/>
      <c r="H142" s="264"/>
      <c r="I142" s="277"/>
      <c r="J142" s="278"/>
      <c r="K142" s="625"/>
      <c r="L142" s="316"/>
      <c r="M142" s="316"/>
      <c r="N142" s="316"/>
      <c r="O142" s="316"/>
      <c r="P142" s="316"/>
      <c r="Q142" s="316"/>
      <c r="R142" s="316"/>
      <c r="S142" s="316"/>
      <c r="T142" s="628"/>
      <c r="U142" s="316"/>
      <c r="V142" s="629"/>
      <c r="W142" s="629"/>
      <c r="X142" s="280"/>
      <c r="Y142" s="298"/>
    </row>
    <row r="143" spans="1:25" ht="17.25" customHeight="1">
      <c r="A143" s="261"/>
      <c r="B143" s="1226"/>
      <c r="C143" s="1227"/>
      <c r="D143" s="575"/>
      <c r="E143" s="570"/>
      <c r="F143" s="263"/>
      <c r="G143" s="263"/>
      <c r="H143" s="264"/>
      <c r="I143" s="277"/>
      <c r="J143" s="278"/>
      <c r="K143" s="279"/>
      <c r="L143" s="264"/>
      <c r="M143" s="280"/>
      <c r="N143" s="264"/>
      <c r="O143" s="263"/>
      <c r="P143" s="280"/>
      <c r="Q143" s="263"/>
      <c r="R143" s="290"/>
      <c r="S143" s="262"/>
      <c r="T143" s="291"/>
      <c r="U143" s="264"/>
      <c r="V143" s="292"/>
      <c r="W143" s="292"/>
      <c r="X143" s="280"/>
      <c r="Y143" s="298"/>
    </row>
    <row r="144" spans="1:25" ht="17.25" customHeight="1">
      <c r="A144" s="261"/>
      <c r="B144" s="1226"/>
      <c r="C144" s="1227"/>
      <c r="D144" s="575"/>
      <c r="E144" s="570"/>
      <c r="F144" s="263"/>
      <c r="G144" s="263"/>
      <c r="H144" s="264"/>
      <c r="I144" s="277"/>
      <c r="J144" s="278"/>
      <c r="K144" s="279"/>
      <c r="L144" s="264"/>
      <c r="M144" s="264"/>
      <c r="N144" s="264"/>
      <c r="O144" s="264"/>
      <c r="P144" s="264"/>
      <c r="Q144" s="264"/>
      <c r="R144" s="264"/>
      <c r="S144" s="264"/>
      <c r="T144" s="291"/>
      <c r="U144" s="264"/>
      <c r="V144" s="292"/>
      <c r="W144" s="292"/>
      <c r="X144" s="280"/>
      <c r="Y144" s="298"/>
    </row>
    <row r="145" spans="1:25" ht="17.25" customHeight="1">
      <c r="A145" s="261"/>
      <c r="B145" s="1226"/>
      <c r="C145" s="1227"/>
      <c r="D145" s="575"/>
      <c r="E145" s="570"/>
      <c r="F145" s="263"/>
      <c r="G145" s="263"/>
      <c r="H145" s="264"/>
      <c r="I145" s="277"/>
      <c r="J145" s="278"/>
      <c r="K145" s="279"/>
      <c r="L145" s="264"/>
      <c r="M145" s="264"/>
      <c r="N145" s="264"/>
      <c r="O145" s="264"/>
      <c r="P145" s="264"/>
      <c r="Q145" s="264"/>
      <c r="R145" s="264"/>
      <c r="S145" s="264"/>
      <c r="T145" s="291"/>
      <c r="U145" s="264"/>
      <c r="V145" s="292"/>
      <c r="W145" s="292"/>
      <c r="X145" s="280"/>
      <c r="Y145" s="298"/>
    </row>
    <row r="146" spans="1:25" ht="17.25" customHeight="1">
      <c r="A146" s="261"/>
      <c r="B146" s="1226"/>
      <c r="C146" s="1227"/>
      <c r="D146" s="575"/>
      <c r="E146" s="570"/>
      <c r="F146" s="263"/>
      <c r="G146" s="263"/>
      <c r="H146" s="264"/>
      <c r="I146" s="277"/>
      <c r="J146" s="278"/>
      <c r="K146" s="278"/>
      <c r="L146" s="278"/>
      <c r="M146" s="278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80"/>
      <c r="Y146" s="298"/>
    </row>
    <row r="147" spans="1:25" ht="17.25" customHeight="1">
      <c r="A147" s="261"/>
      <c r="B147" s="1226"/>
      <c r="C147" s="1227"/>
      <c r="D147" s="575"/>
      <c r="E147" s="570"/>
      <c r="F147" s="263"/>
      <c r="G147" s="263"/>
      <c r="H147" s="264"/>
      <c r="I147" s="277"/>
      <c r="J147" s="278"/>
      <c r="K147" s="279"/>
      <c r="L147" s="264"/>
      <c r="M147" s="280"/>
      <c r="N147" s="264"/>
      <c r="O147" s="263"/>
      <c r="P147" s="280"/>
      <c r="Q147" s="263"/>
      <c r="R147" s="290"/>
      <c r="S147" s="262"/>
      <c r="T147" s="291"/>
      <c r="U147" s="264"/>
      <c r="V147" s="292"/>
      <c r="W147" s="292"/>
      <c r="X147" s="280"/>
      <c r="Y147" s="298"/>
    </row>
    <row r="148" spans="1:25" ht="17.25" customHeight="1">
      <c r="A148" s="261"/>
      <c r="B148" s="1226"/>
      <c r="C148" s="1227"/>
      <c r="D148" s="575"/>
      <c r="E148" s="570"/>
      <c r="F148" s="263"/>
      <c r="G148" s="263"/>
      <c r="H148" s="264"/>
      <c r="I148" s="277"/>
      <c r="J148" s="278"/>
      <c r="K148" s="279"/>
      <c r="L148" s="264"/>
      <c r="M148" s="264"/>
      <c r="N148" s="264"/>
      <c r="O148" s="264"/>
      <c r="P148" s="264"/>
      <c r="Q148" s="264"/>
      <c r="R148" s="264"/>
      <c r="S148" s="264"/>
      <c r="T148" s="291"/>
      <c r="U148" s="264"/>
      <c r="V148" s="292"/>
      <c r="W148" s="292"/>
      <c r="X148" s="280"/>
      <c r="Y148" s="298"/>
    </row>
    <row r="149" spans="1:25" ht="17.25" customHeight="1">
      <c r="A149" s="261"/>
      <c r="B149" s="1226"/>
      <c r="C149" s="1227"/>
      <c r="D149" s="575"/>
      <c r="E149" s="570"/>
      <c r="F149" s="263"/>
      <c r="G149" s="263"/>
      <c r="H149" s="264"/>
      <c r="I149" s="277"/>
      <c r="J149" s="278"/>
      <c r="K149" s="279"/>
      <c r="L149" s="264"/>
      <c r="M149" s="264"/>
      <c r="N149" s="264"/>
      <c r="O149" s="264"/>
      <c r="P149" s="264"/>
      <c r="Q149" s="264"/>
      <c r="R149" s="264"/>
      <c r="S149" s="264"/>
      <c r="T149" s="291"/>
      <c r="U149" s="264"/>
      <c r="V149" s="292"/>
      <c r="W149" s="292"/>
      <c r="X149" s="280"/>
      <c r="Y149" s="298"/>
    </row>
    <row r="150" spans="1:25" ht="17.25" customHeight="1">
      <c r="A150" s="261"/>
      <c r="B150" s="1226"/>
      <c r="C150" s="1227"/>
      <c r="D150" s="575"/>
      <c r="E150" s="570"/>
      <c r="F150" s="263"/>
      <c r="G150" s="263"/>
      <c r="H150" s="264"/>
      <c r="I150" s="277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80"/>
      <c r="Y150" s="298"/>
    </row>
    <row r="151" spans="1:25" ht="17.25" customHeight="1">
      <c r="A151" s="261"/>
      <c r="B151" s="1226"/>
      <c r="C151" s="1227"/>
      <c r="D151" s="575"/>
      <c r="E151" s="570"/>
      <c r="F151" s="263"/>
      <c r="G151" s="263"/>
      <c r="H151" s="264"/>
      <c r="I151" s="277"/>
      <c r="J151" s="278"/>
      <c r="K151" s="279"/>
      <c r="L151" s="264"/>
      <c r="M151" s="280"/>
      <c r="N151" s="264"/>
      <c r="O151" s="263"/>
      <c r="P151" s="280"/>
      <c r="Q151" s="263"/>
      <c r="R151" s="290"/>
      <c r="S151" s="262"/>
      <c r="T151" s="291"/>
      <c r="U151" s="264"/>
      <c r="V151" s="292"/>
      <c r="W151" s="292"/>
      <c r="X151" s="280"/>
      <c r="Y151" s="298"/>
    </row>
    <row r="152" spans="1:25" ht="17.25" customHeight="1">
      <c r="A152" s="261"/>
      <c r="B152" s="1226"/>
      <c r="C152" s="1227"/>
      <c r="D152" s="575"/>
      <c r="E152" s="570"/>
      <c r="F152" s="263"/>
      <c r="G152" s="263"/>
      <c r="H152" s="264"/>
      <c r="I152" s="277"/>
      <c r="J152" s="278"/>
      <c r="K152" s="279"/>
      <c r="L152" s="264"/>
      <c r="M152" s="280"/>
      <c r="N152" s="264"/>
      <c r="O152" s="263"/>
      <c r="P152" s="280"/>
      <c r="Q152" s="263"/>
      <c r="R152" s="290"/>
      <c r="S152" s="262"/>
      <c r="T152" s="291"/>
      <c r="U152" s="264"/>
      <c r="V152" s="292"/>
      <c r="W152" s="292"/>
      <c r="X152" s="280"/>
      <c r="Y152" s="298"/>
    </row>
    <row r="153" spans="1:25" ht="17.25" customHeight="1">
      <c r="A153" s="261"/>
      <c r="B153" s="1226"/>
      <c r="C153" s="1227"/>
      <c r="D153" s="575"/>
      <c r="E153" s="570"/>
      <c r="F153" s="263"/>
      <c r="G153" s="263"/>
      <c r="H153" s="264"/>
      <c r="I153" s="277"/>
      <c r="J153" s="278"/>
      <c r="K153" s="279"/>
      <c r="L153" s="264"/>
      <c r="M153" s="280"/>
      <c r="N153" s="264"/>
      <c r="O153" s="263"/>
      <c r="P153" s="280"/>
      <c r="Q153" s="263"/>
      <c r="R153" s="290"/>
      <c r="S153" s="262"/>
      <c r="T153" s="291"/>
      <c r="U153" s="264"/>
      <c r="V153" s="292"/>
      <c r="W153" s="292"/>
      <c r="X153" s="280"/>
      <c r="Y153" s="298"/>
    </row>
    <row r="154" spans="1:25" ht="17.25" customHeight="1">
      <c r="A154" s="261"/>
      <c r="B154" s="1226"/>
      <c r="C154" s="1227"/>
      <c r="D154" s="575"/>
      <c r="E154" s="570"/>
      <c r="F154" s="263"/>
      <c r="G154" s="263"/>
      <c r="H154" s="264"/>
      <c r="I154" s="277"/>
      <c r="J154" s="278"/>
      <c r="K154" s="279"/>
      <c r="L154" s="264"/>
      <c r="M154" s="280"/>
      <c r="N154" s="264"/>
      <c r="O154" s="263"/>
      <c r="P154" s="280"/>
      <c r="Q154" s="263"/>
      <c r="R154" s="290"/>
      <c r="S154" s="262"/>
      <c r="T154" s="291"/>
      <c r="U154" s="264"/>
      <c r="V154" s="292"/>
      <c r="W154" s="292"/>
      <c r="X154" s="280"/>
      <c r="Y154" s="298"/>
    </row>
    <row r="155" spans="1:25" ht="17.25" customHeight="1">
      <c r="A155" s="261"/>
      <c r="B155" s="1226"/>
      <c r="C155" s="1227"/>
      <c r="D155" s="575"/>
      <c r="E155" s="570"/>
      <c r="F155" s="263"/>
      <c r="G155" s="263"/>
      <c r="H155" s="264"/>
      <c r="I155" s="277"/>
      <c r="J155" s="278"/>
      <c r="K155" s="279"/>
      <c r="L155" s="264"/>
      <c r="M155" s="280"/>
      <c r="N155" s="264"/>
      <c r="O155" s="263"/>
      <c r="P155" s="280"/>
      <c r="Q155" s="263"/>
      <c r="R155" s="290"/>
      <c r="S155" s="262"/>
      <c r="T155" s="291"/>
      <c r="U155" s="264"/>
      <c r="V155" s="292"/>
      <c r="W155" s="292"/>
      <c r="X155" s="280"/>
      <c r="Y155" s="298"/>
    </row>
    <row r="156" spans="1:25" ht="17.25" customHeight="1">
      <c r="A156" s="261"/>
      <c r="B156" s="1226"/>
      <c r="C156" s="1227"/>
      <c r="D156" s="575"/>
      <c r="E156" s="570"/>
      <c r="F156" s="263"/>
      <c r="G156" s="263"/>
      <c r="H156" s="264"/>
      <c r="I156" s="277"/>
      <c r="J156" s="278"/>
      <c r="K156" s="279"/>
      <c r="L156" s="264"/>
      <c r="M156" s="280"/>
      <c r="N156" s="264"/>
      <c r="O156" s="263"/>
      <c r="P156" s="280"/>
      <c r="Q156" s="263"/>
      <c r="R156" s="290"/>
      <c r="S156" s="262"/>
      <c r="T156" s="291"/>
      <c r="U156" s="264"/>
      <c r="V156" s="292"/>
      <c r="W156" s="292"/>
      <c r="X156" s="280"/>
      <c r="Y156" s="298"/>
    </row>
    <row r="157" spans="1:25" ht="17.25" customHeight="1">
      <c r="A157" s="261"/>
      <c r="B157" s="1226"/>
      <c r="C157" s="1227"/>
      <c r="D157" s="575"/>
      <c r="E157" s="570"/>
      <c r="F157" s="263"/>
      <c r="G157" s="263"/>
      <c r="H157" s="264"/>
      <c r="I157" s="277"/>
      <c r="J157" s="278"/>
      <c r="K157" s="279"/>
      <c r="L157" s="264"/>
      <c r="M157" s="280"/>
      <c r="N157" s="264"/>
      <c r="O157" s="263"/>
      <c r="P157" s="280"/>
      <c r="Q157" s="263"/>
      <c r="R157" s="290"/>
      <c r="S157" s="262"/>
      <c r="T157" s="291"/>
      <c r="U157" s="264"/>
      <c r="V157" s="292"/>
      <c r="W157" s="292"/>
      <c r="X157" s="280"/>
      <c r="Y157" s="298"/>
    </row>
    <row r="158" spans="1:25" ht="17.25" customHeight="1">
      <c r="A158" s="261"/>
      <c r="B158" s="1226"/>
      <c r="C158" s="1227"/>
      <c r="D158" s="575"/>
      <c r="E158" s="570"/>
      <c r="F158" s="263"/>
      <c r="G158" s="263"/>
      <c r="H158" s="264"/>
      <c r="I158" s="277"/>
      <c r="J158" s="278"/>
      <c r="K158" s="279"/>
      <c r="L158" s="264"/>
      <c r="M158" s="280"/>
      <c r="N158" s="264"/>
      <c r="O158" s="263"/>
      <c r="P158" s="280"/>
      <c r="Q158" s="263"/>
      <c r="R158" s="290"/>
      <c r="S158" s="262"/>
      <c r="T158" s="291"/>
      <c r="U158" s="264"/>
      <c r="V158" s="292"/>
      <c r="W158" s="292"/>
      <c r="X158" s="280"/>
      <c r="Y158" s="298"/>
    </row>
    <row r="159" spans="1:25" ht="17.25" customHeight="1">
      <c r="A159" s="261"/>
      <c r="B159" s="1226"/>
      <c r="C159" s="1227"/>
      <c r="D159" s="575"/>
      <c r="E159" s="570"/>
      <c r="F159" s="263"/>
      <c r="G159" s="263"/>
      <c r="H159" s="264"/>
      <c r="I159" s="277"/>
      <c r="J159" s="278"/>
      <c r="K159" s="279"/>
      <c r="L159" s="264"/>
      <c r="M159" s="280"/>
      <c r="N159" s="264"/>
      <c r="O159" s="263"/>
      <c r="P159" s="280"/>
      <c r="Q159" s="263"/>
      <c r="R159" s="290"/>
      <c r="S159" s="262"/>
      <c r="T159" s="291"/>
      <c r="U159" s="264"/>
      <c r="V159" s="292"/>
      <c r="W159" s="292"/>
      <c r="X159" s="280"/>
      <c r="Y159" s="298"/>
    </row>
    <row r="160" spans="1:25" ht="17.25" customHeight="1">
      <c r="A160" s="261"/>
      <c r="B160" s="1226"/>
      <c r="C160" s="1227"/>
      <c r="D160" s="575"/>
      <c r="E160" s="570"/>
      <c r="F160" s="263"/>
      <c r="G160" s="263"/>
      <c r="H160" s="264"/>
      <c r="I160" s="277"/>
      <c r="J160" s="278"/>
      <c r="K160" s="279"/>
      <c r="L160" s="264"/>
      <c r="M160" s="280"/>
      <c r="N160" s="264"/>
      <c r="O160" s="263"/>
      <c r="P160" s="280"/>
      <c r="Q160" s="263"/>
      <c r="R160" s="290"/>
      <c r="S160" s="262"/>
      <c r="T160" s="291"/>
      <c r="U160" s="264"/>
      <c r="V160" s="292"/>
      <c r="W160" s="292"/>
      <c r="X160" s="280"/>
      <c r="Y160" s="298"/>
    </row>
    <row r="161" spans="1:25" ht="17.25" customHeight="1">
      <c r="A161" s="261"/>
      <c r="B161" s="1226"/>
      <c r="C161" s="1227"/>
      <c r="D161" s="575"/>
      <c r="E161" s="570"/>
      <c r="F161" s="263"/>
      <c r="G161" s="263"/>
      <c r="H161" s="264"/>
      <c r="I161" s="277"/>
      <c r="J161" s="278"/>
      <c r="K161" s="279"/>
      <c r="L161" s="264"/>
      <c r="M161" s="280"/>
      <c r="N161" s="264"/>
      <c r="O161" s="263"/>
      <c r="P161" s="280"/>
      <c r="Q161" s="263"/>
      <c r="R161" s="290"/>
      <c r="S161" s="262"/>
      <c r="T161" s="291"/>
      <c r="U161" s="264"/>
      <c r="V161" s="292"/>
      <c r="W161" s="292"/>
      <c r="X161" s="280"/>
      <c r="Y161" s="298"/>
    </row>
    <row r="162" spans="1:25" ht="17.25" customHeight="1">
      <c r="A162" s="261"/>
      <c r="B162" s="1226"/>
      <c r="C162" s="1227"/>
      <c r="D162" s="575"/>
      <c r="E162" s="570"/>
      <c r="F162" s="263"/>
      <c r="G162" s="263"/>
      <c r="H162" s="264"/>
      <c r="I162" s="277"/>
      <c r="J162" s="278"/>
      <c r="K162" s="279"/>
      <c r="L162" s="264"/>
      <c r="M162" s="280"/>
      <c r="N162" s="264"/>
      <c r="O162" s="263"/>
      <c r="P162" s="280"/>
      <c r="Q162" s="263"/>
      <c r="R162" s="290"/>
      <c r="S162" s="262"/>
      <c r="T162" s="291"/>
      <c r="U162" s="264"/>
      <c r="V162" s="292"/>
      <c r="W162" s="292"/>
      <c r="X162" s="280"/>
      <c r="Y162" s="298"/>
    </row>
    <row r="163" spans="1:25" ht="17.25" customHeight="1">
      <c r="A163" s="261"/>
      <c r="B163" s="1226"/>
      <c r="C163" s="1227"/>
      <c r="D163" s="575"/>
      <c r="E163" s="570"/>
      <c r="F163" s="263"/>
      <c r="G163" s="263"/>
      <c r="H163" s="264"/>
      <c r="I163" s="277"/>
      <c r="J163" s="278"/>
      <c r="K163" s="279"/>
      <c r="L163" s="264"/>
      <c r="M163" s="280"/>
      <c r="N163" s="264"/>
      <c r="O163" s="263"/>
      <c r="P163" s="280"/>
      <c r="Q163" s="263"/>
      <c r="R163" s="290"/>
      <c r="S163" s="262"/>
      <c r="T163" s="291"/>
      <c r="U163" s="264"/>
      <c r="V163" s="292"/>
      <c r="W163" s="292"/>
      <c r="X163" s="280"/>
      <c r="Y163" s="298"/>
    </row>
    <row r="164" spans="1:25" ht="17.25" customHeight="1">
      <c r="A164" s="261"/>
      <c r="B164" s="1226"/>
      <c r="C164" s="1227"/>
      <c r="D164" s="575"/>
      <c r="E164" s="570"/>
      <c r="F164" s="263"/>
      <c r="G164" s="263"/>
      <c r="H164" s="264"/>
      <c r="I164" s="277"/>
      <c r="J164" s="278"/>
      <c r="K164" s="279"/>
      <c r="L164" s="264"/>
      <c r="M164" s="280"/>
      <c r="N164" s="264"/>
      <c r="O164" s="263"/>
      <c r="P164" s="280"/>
      <c r="Q164" s="263"/>
      <c r="R164" s="290"/>
      <c r="S164" s="262"/>
      <c r="T164" s="291"/>
      <c r="U164" s="264"/>
      <c r="V164" s="292"/>
      <c r="W164" s="292"/>
      <c r="X164" s="280"/>
      <c r="Y164" s="298"/>
    </row>
    <row r="165" spans="1:25" ht="17.25" customHeight="1">
      <c r="A165" s="261"/>
      <c r="B165" s="1226"/>
      <c r="C165" s="1227"/>
      <c r="D165" s="575"/>
      <c r="E165" s="570"/>
      <c r="F165" s="263"/>
      <c r="G165" s="263"/>
      <c r="H165" s="264"/>
      <c r="I165" s="277"/>
      <c r="J165" s="278"/>
      <c r="K165" s="279"/>
      <c r="L165" s="264"/>
      <c r="M165" s="280"/>
      <c r="N165" s="264"/>
      <c r="O165" s="263"/>
      <c r="P165" s="280"/>
      <c r="Q165" s="263"/>
      <c r="R165" s="290"/>
      <c r="S165" s="262"/>
      <c r="T165" s="291"/>
      <c r="U165" s="264"/>
      <c r="V165" s="292"/>
      <c r="W165" s="292"/>
      <c r="X165" s="280"/>
      <c r="Y165" s="298"/>
    </row>
    <row r="166" spans="1:25" ht="17.25" customHeight="1">
      <c r="A166" s="261"/>
      <c r="B166" s="1226"/>
      <c r="C166" s="1227"/>
      <c r="D166" s="575"/>
      <c r="E166" s="570"/>
      <c r="F166" s="263"/>
      <c r="G166" s="263"/>
      <c r="H166" s="264"/>
      <c r="I166" s="277"/>
      <c r="J166" s="278"/>
      <c r="K166" s="279"/>
      <c r="L166" s="264"/>
      <c r="M166" s="280"/>
      <c r="N166" s="264"/>
      <c r="O166" s="263"/>
      <c r="P166" s="280"/>
      <c r="Q166" s="263"/>
      <c r="R166" s="290"/>
      <c r="S166" s="262"/>
      <c r="T166" s="291"/>
      <c r="U166" s="264"/>
      <c r="V166" s="292"/>
      <c r="W166" s="292"/>
      <c r="X166" s="280"/>
      <c r="Y166" s="298"/>
    </row>
    <row r="167" spans="1:25" ht="17.25" customHeight="1">
      <c r="A167" s="261"/>
      <c r="B167" s="1226"/>
      <c r="C167" s="1227"/>
      <c r="D167" s="575"/>
      <c r="E167" s="570"/>
      <c r="F167" s="263"/>
      <c r="G167" s="263"/>
      <c r="H167" s="264"/>
      <c r="I167" s="277"/>
      <c r="J167" s="278"/>
      <c r="K167" s="279"/>
      <c r="L167" s="264"/>
      <c r="M167" s="280"/>
      <c r="N167" s="264"/>
      <c r="O167" s="263"/>
      <c r="P167" s="280"/>
      <c r="Q167" s="263"/>
      <c r="R167" s="290"/>
      <c r="S167" s="262"/>
      <c r="T167" s="291"/>
      <c r="U167" s="264"/>
      <c r="V167" s="292"/>
      <c r="W167" s="292"/>
      <c r="X167" s="280"/>
      <c r="Y167" s="298"/>
    </row>
    <row r="168" spans="1:25" ht="17.25" customHeight="1">
      <c r="A168" s="261"/>
      <c r="B168" s="1226"/>
      <c r="C168" s="1227"/>
      <c r="D168" s="575"/>
      <c r="E168" s="570"/>
      <c r="F168" s="263"/>
      <c r="G168" s="263"/>
      <c r="H168" s="264"/>
      <c r="I168" s="277"/>
      <c r="J168" s="278"/>
      <c r="K168" s="279"/>
      <c r="L168" s="264"/>
      <c r="M168" s="280"/>
      <c r="N168" s="264"/>
      <c r="O168" s="263"/>
      <c r="P168" s="280"/>
      <c r="Q168" s="263"/>
      <c r="R168" s="290"/>
      <c r="S168" s="262"/>
      <c r="T168" s="291"/>
      <c r="U168" s="264"/>
      <c r="V168" s="292"/>
      <c r="W168" s="292"/>
      <c r="X168" s="280"/>
      <c r="Y168" s="298"/>
    </row>
    <row r="169" spans="1:25" ht="17.25" customHeight="1">
      <c r="A169" s="261"/>
      <c r="B169" s="1226"/>
      <c r="C169" s="1227"/>
      <c r="D169" s="575"/>
      <c r="E169" s="570"/>
      <c r="F169" s="263"/>
      <c r="G169" s="263"/>
      <c r="H169" s="264"/>
      <c r="I169" s="277"/>
      <c r="J169" s="278"/>
      <c r="K169" s="279"/>
      <c r="L169" s="264"/>
      <c r="M169" s="280"/>
      <c r="N169" s="264"/>
      <c r="O169" s="263"/>
      <c r="P169" s="280"/>
      <c r="Q169" s="263"/>
      <c r="R169" s="290"/>
      <c r="S169" s="262"/>
      <c r="T169" s="291"/>
      <c r="U169" s="264"/>
      <c r="V169" s="292"/>
      <c r="W169" s="292"/>
      <c r="X169" s="280"/>
      <c r="Y169" s="298"/>
    </row>
    <row r="170" spans="1:25" ht="17.25" customHeight="1">
      <c r="A170" s="261"/>
      <c r="B170" s="1226"/>
      <c r="C170" s="1227"/>
      <c r="D170" s="575"/>
      <c r="E170" s="570"/>
      <c r="F170" s="263"/>
      <c r="G170" s="263"/>
      <c r="H170" s="264"/>
      <c r="I170" s="277"/>
      <c r="J170" s="278"/>
      <c r="K170" s="279"/>
      <c r="L170" s="264"/>
      <c r="M170" s="280"/>
      <c r="N170" s="264"/>
      <c r="O170" s="263"/>
      <c r="P170" s="280"/>
      <c r="Q170" s="263"/>
      <c r="R170" s="290"/>
      <c r="S170" s="262"/>
      <c r="T170" s="291"/>
      <c r="U170" s="264"/>
      <c r="V170" s="292"/>
      <c r="W170" s="292"/>
      <c r="X170" s="280"/>
      <c r="Y170" s="298"/>
    </row>
    <row r="171" spans="1:25" ht="17.25" customHeight="1">
      <c r="A171" s="261"/>
      <c r="B171" s="1226"/>
      <c r="C171" s="1227"/>
      <c r="D171" s="575"/>
      <c r="E171" s="570"/>
      <c r="F171" s="263"/>
      <c r="G171" s="263"/>
      <c r="H171" s="264"/>
      <c r="I171" s="277"/>
      <c r="J171" s="278"/>
      <c r="K171" s="279"/>
      <c r="L171" s="264"/>
      <c r="M171" s="280"/>
      <c r="N171" s="264"/>
      <c r="O171" s="263"/>
      <c r="P171" s="280"/>
      <c r="Q171" s="263"/>
      <c r="R171" s="290"/>
      <c r="S171" s="262"/>
      <c r="T171" s="291"/>
      <c r="U171" s="264"/>
      <c r="V171" s="292"/>
      <c r="W171" s="292"/>
      <c r="X171" s="280"/>
      <c r="Y171" s="298"/>
    </row>
    <row r="172" spans="1:25" ht="17.25" customHeight="1">
      <c r="A172" s="261"/>
      <c r="B172" s="1226"/>
      <c r="C172" s="1227"/>
      <c r="D172" s="575"/>
      <c r="E172" s="570"/>
      <c r="F172" s="263"/>
      <c r="G172" s="263"/>
      <c r="H172" s="264"/>
      <c r="I172" s="277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80"/>
      <c r="Y172" s="298"/>
    </row>
    <row r="173" spans="1:25" ht="17.25" customHeight="1">
      <c r="A173" s="261"/>
      <c r="B173" s="1226"/>
      <c r="C173" s="1227"/>
      <c r="D173" s="575"/>
      <c r="E173" s="570"/>
      <c r="F173" s="263"/>
      <c r="G173" s="263"/>
      <c r="H173" s="264"/>
      <c r="I173" s="277"/>
      <c r="J173" s="278"/>
      <c r="K173" s="279"/>
      <c r="L173" s="264"/>
      <c r="M173" s="280"/>
      <c r="N173" s="264"/>
      <c r="O173" s="263"/>
      <c r="P173" s="280"/>
      <c r="Q173" s="263"/>
      <c r="R173" s="290"/>
      <c r="S173" s="262"/>
      <c r="T173" s="291"/>
      <c r="U173" s="264"/>
      <c r="V173" s="292"/>
      <c r="W173" s="292"/>
      <c r="X173" s="280"/>
      <c r="Y173" s="298"/>
    </row>
    <row r="174" spans="1:25" ht="17.25" customHeight="1">
      <c r="A174" s="261"/>
      <c r="B174" s="1226"/>
      <c r="C174" s="1227"/>
      <c r="D174" s="575"/>
      <c r="E174" s="570"/>
      <c r="F174" s="263"/>
      <c r="G174" s="263"/>
      <c r="H174" s="264"/>
      <c r="I174" s="277"/>
      <c r="J174" s="278"/>
      <c r="K174" s="279"/>
      <c r="L174" s="264"/>
      <c r="M174" s="264"/>
      <c r="N174" s="264"/>
      <c r="O174" s="264"/>
      <c r="P174" s="264"/>
      <c r="Q174" s="264"/>
      <c r="R174" s="264"/>
      <c r="S174" s="264"/>
      <c r="T174" s="291"/>
      <c r="U174" s="264"/>
      <c r="V174" s="292"/>
      <c r="W174" s="292"/>
      <c r="X174" s="280"/>
      <c r="Y174" s="298"/>
    </row>
    <row r="175" spans="1:25" ht="17.25" customHeight="1">
      <c r="A175" s="261"/>
      <c r="B175" s="1226"/>
      <c r="C175" s="1227"/>
      <c r="D175" s="575"/>
      <c r="E175" s="570"/>
      <c r="F175" s="263"/>
      <c r="G175" s="263"/>
      <c r="H175" s="264"/>
      <c r="I175" s="277"/>
      <c r="J175" s="278"/>
      <c r="K175" s="279"/>
      <c r="L175" s="264"/>
      <c r="M175" s="264"/>
      <c r="N175" s="264"/>
      <c r="O175" s="264"/>
      <c r="P175" s="264"/>
      <c r="Q175" s="264"/>
      <c r="R175" s="264"/>
      <c r="S175" s="264"/>
      <c r="T175" s="291"/>
      <c r="U175" s="264"/>
      <c r="V175" s="292"/>
      <c r="W175" s="292"/>
      <c r="X175" s="280"/>
      <c r="Y175" s="298"/>
    </row>
    <row r="176" spans="1:25" ht="17.25" customHeight="1">
      <c r="A176" s="261"/>
      <c r="B176" s="1226"/>
      <c r="C176" s="1227"/>
      <c r="D176" s="575"/>
      <c r="E176" s="570"/>
      <c r="F176" s="263"/>
      <c r="G176" s="263"/>
      <c r="H176" s="264"/>
      <c r="I176" s="277"/>
      <c r="J176" s="278"/>
      <c r="K176" s="279"/>
      <c r="L176" s="264"/>
      <c r="M176" s="264"/>
      <c r="N176" s="264"/>
      <c r="O176" s="264"/>
      <c r="P176" s="264"/>
      <c r="Q176" s="264"/>
      <c r="R176" s="264"/>
      <c r="S176" s="264"/>
      <c r="T176" s="291"/>
      <c r="U176" s="264"/>
      <c r="V176" s="292"/>
      <c r="W176" s="292"/>
      <c r="X176" s="280"/>
      <c r="Y176" s="298"/>
    </row>
    <row r="177" spans="1:25" ht="17.25" customHeight="1">
      <c r="A177" s="261"/>
      <c r="B177" s="1226"/>
      <c r="C177" s="1227"/>
      <c r="D177" s="575"/>
      <c r="E177" s="570"/>
      <c r="F177" s="263"/>
      <c r="G177" s="263"/>
      <c r="H177" s="264"/>
      <c r="I177" s="277"/>
      <c r="J177" s="278"/>
      <c r="K177" s="279"/>
      <c r="L177" s="264"/>
      <c r="M177" s="264"/>
      <c r="N177" s="264"/>
      <c r="O177" s="264"/>
      <c r="P177" s="264"/>
      <c r="Q177" s="264"/>
      <c r="R177" s="264"/>
      <c r="S177" s="264"/>
      <c r="T177" s="291"/>
      <c r="U177" s="264"/>
      <c r="V177" s="292"/>
      <c r="W177" s="292"/>
      <c r="X177" s="280"/>
      <c r="Y177" s="298"/>
    </row>
    <row r="178" spans="1:25" ht="17.25" customHeight="1">
      <c r="A178" s="261"/>
      <c r="B178" s="1226"/>
      <c r="C178" s="1227"/>
      <c r="D178" s="575"/>
      <c r="E178" s="570"/>
      <c r="F178" s="263"/>
      <c r="G178" s="263"/>
      <c r="H178" s="264"/>
      <c r="I178" s="277"/>
      <c r="J178" s="278"/>
      <c r="K178" s="279"/>
      <c r="L178" s="264"/>
      <c r="M178" s="264"/>
      <c r="N178" s="264"/>
      <c r="O178" s="264"/>
      <c r="P178" s="264"/>
      <c r="Q178" s="264"/>
      <c r="R178" s="264"/>
      <c r="S178" s="264"/>
      <c r="T178" s="291"/>
      <c r="U178" s="264"/>
      <c r="V178" s="292"/>
      <c r="W178" s="292"/>
      <c r="X178" s="280"/>
      <c r="Y178" s="298"/>
    </row>
    <row r="179" spans="1:25" ht="17.25" customHeight="1">
      <c r="A179" s="261"/>
      <c r="B179" s="1226"/>
      <c r="C179" s="1227"/>
      <c r="D179" s="575"/>
      <c r="E179" s="570"/>
      <c r="F179" s="263"/>
      <c r="G179" s="263"/>
      <c r="H179" s="264"/>
      <c r="I179" s="277"/>
      <c r="J179" s="278"/>
      <c r="K179" s="279"/>
      <c r="L179" s="264"/>
      <c r="M179" s="264"/>
      <c r="N179" s="264"/>
      <c r="O179" s="264"/>
      <c r="P179" s="264"/>
      <c r="Q179" s="264"/>
      <c r="R179" s="264"/>
      <c r="S179" s="264"/>
      <c r="T179" s="291"/>
      <c r="U179" s="264"/>
      <c r="V179" s="292"/>
      <c r="W179" s="292"/>
      <c r="X179" s="280"/>
      <c r="Y179" s="298"/>
    </row>
    <row r="180" spans="1:25" ht="17.25" customHeight="1">
      <c r="A180" s="261"/>
      <c r="B180" s="1226"/>
      <c r="C180" s="1227"/>
      <c r="D180" s="575"/>
      <c r="E180" s="570"/>
      <c r="F180" s="263"/>
      <c r="G180" s="263"/>
      <c r="H180" s="264"/>
      <c r="I180" s="277"/>
      <c r="J180" s="278"/>
      <c r="K180" s="279"/>
      <c r="L180" s="264"/>
      <c r="M180" s="264"/>
      <c r="N180" s="264"/>
      <c r="O180" s="264"/>
      <c r="P180" s="264"/>
      <c r="Q180" s="264"/>
      <c r="R180" s="264"/>
      <c r="S180" s="264"/>
      <c r="T180" s="291"/>
      <c r="U180" s="264"/>
      <c r="V180" s="292"/>
      <c r="W180" s="292"/>
      <c r="X180" s="280"/>
      <c r="Y180" s="298"/>
    </row>
    <row r="181" spans="1:25" ht="17.25" customHeight="1">
      <c r="A181" s="261"/>
      <c r="B181" s="1226"/>
      <c r="C181" s="1227"/>
      <c r="D181" s="575"/>
      <c r="E181" s="570"/>
      <c r="F181" s="263"/>
      <c r="G181" s="263"/>
      <c r="H181" s="264"/>
      <c r="I181" s="277"/>
      <c r="J181" s="278"/>
      <c r="K181" s="279"/>
      <c r="L181" s="264"/>
      <c r="M181" s="264"/>
      <c r="N181" s="264"/>
      <c r="O181" s="264"/>
      <c r="P181" s="264"/>
      <c r="Q181" s="264"/>
      <c r="R181" s="264"/>
      <c r="S181" s="264"/>
      <c r="T181" s="291"/>
      <c r="U181" s="264"/>
      <c r="V181" s="292"/>
      <c r="W181" s="292"/>
      <c r="X181" s="280"/>
      <c r="Y181" s="298"/>
    </row>
    <row r="182" spans="1:25" ht="17.25" customHeight="1">
      <c r="A182" s="261"/>
      <c r="B182" s="1226"/>
      <c r="C182" s="1227"/>
      <c r="D182" s="575"/>
      <c r="E182" s="570"/>
      <c r="F182" s="263"/>
      <c r="G182" s="263"/>
      <c r="H182" s="264"/>
      <c r="I182" s="277"/>
      <c r="J182" s="278"/>
      <c r="K182" s="279"/>
      <c r="L182" s="264"/>
      <c r="M182" s="264"/>
      <c r="N182" s="264"/>
      <c r="O182" s="264"/>
      <c r="P182" s="264"/>
      <c r="Q182" s="264"/>
      <c r="R182" s="264"/>
      <c r="S182" s="264"/>
      <c r="T182" s="291"/>
      <c r="U182" s="264"/>
      <c r="V182" s="292"/>
      <c r="W182" s="292"/>
      <c r="X182" s="280"/>
      <c r="Y182" s="298"/>
    </row>
    <row r="183" spans="1:25" ht="17.25" customHeight="1">
      <c r="A183" s="261"/>
      <c r="B183" s="1226"/>
      <c r="C183" s="1227"/>
      <c r="D183" s="575"/>
      <c r="E183" s="570"/>
      <c r="F183" s="263"/>
      <c r="G183" s="263"/>
      <c r="H183" s="264"/>
      <c r="I183" s="277"/>
      <c r="J183" s="278"/>
      <c r="K183" s="279"/>
      <c r="L183" s="264"/>
      <c r="M183" s="264"/>
      <c r="N183" s="264"/>
      <c r="O183" s="264"/>
      <c r="P183" s="264"/>
      <c r="Q183" s="264"/>
      <c r="R183" s="264"/>
      <c r="S183" s="264"/>
      <c r="T183" s="291"/>
      <c r="U183" s="264"/>
      <c r="V183" s="292"/>
      <c r="W183" s="292"/>
      <c r="X183" s="280"/>
      <c r="Y183" s="298"/>
    </row>
    <row r="184" spans="1:25" ht="17.25" customHeight="1">
      <c r="A184" s="261"/>
      <c r="B184" s="1226"/>
      <c r="C184" s="1227"/>
      <c r="D184" s="575"/>
      <c r="E184" s="570"/>
      <c r="F184" s="263"/>
      <c r="G184" s="263"/>
      <c r="H184" s="264"/>
      <c r="I184" s="277"/>
      <c r="J184" s="278"/>
      <c r="K184" s="279"/>
      <c r="L184" s="264"/>
      <c r="M184" s="264"/>
      <c r="N184" s="264"/>
      <c r="O184" s="264"/>
      <c r="P184" s="264"/>
      <c r="Q184" s="264"/>
      <c r="R184" s="264"/>
      <c r="S184" s="264"/>
      <c r="T184" s="291"/>
      <c r="U184" s="264"/>
      <c r="V184" s="292"/>
      <c r="W184" s="292"/>
      <c r="X184" s="280"/>
      <c r="Y184" s="298"/>
    </row>
    <row r="185" spans="1:25" ht="17.25" customHeight="1">
      <c r="A185" s="261"/>
      <c r="B185" s="1226"/>
      <c r="C185" s="1227"/>
      <c r="D185" s="575"/>
      <c r="E185" s="570"/>
      <c r="F185" s="263"/>
      <c r="G185" s="263"/>
      <c r="H185" s="264"/>
      <c r="I185" s="277"/>
      <c r="J185" s="278"/>
      <c r="K185" s="279"/>
      <c r="L185" s="264"/>
      <c r="M185" s="264"/>
      <c r="N185" s="264"/>
      <c r="O185" s="264"/>
      <c r="P185" s="264"/>
      <c r="Q185" s="264"/>
      <c r="R185" s="264"/>
      <c r="S185" s="264"/>
      <c r="T185" s="291"/>
      <c r="U185" s="264"/>
      <c r="V185" s="292"/>
      <c r="W185" s="292"/>
      <c r="X185" s="280"/>
      <c r="Y185" s="298"/>
    </row>
    <row r="186" spans="1:25" ht="17.25" customHeight="1">
      <c r="A186" s="261"/>
      <c r="B186" s="1226"/>
      <c r="C186" s="1227"/>
      <c r="D186" s="575"/>
      <c r="E186" s="570"/>
      <c r="F186" s="263"/>
      <c r="G186" s="263"/>
      <c r="H186" s="264"/>
      <c r="I186" s="277"/>
      <c r="J186" s="278"/>
      <c r="K186" s="279"/>
      <c r="L186" s="264"/>
      <c r="M186" s="264"/>
      <c r="N186" s="264"/>
      <c r="O186" s="264"/>
      <c r="P186" s="264"/>
      <c r="Q186" s="264"/>
      <c r="R186" s="264"/>
      <c r="S186" s="264"/>
      <c r="T186" s="291"/>
      <c r="U186" s="264"/>
      <c r="V186" s="292"/>
      <c r="W186" s="292"/>
      <c r="X186" s="280"/>
      <c r="Y186" s="298"/>
    </row>
    <row r="187" spans="1:25" ht="17.25" customHeight="1">
      <c r="A187" s="261"/>
      <c r="B187" s="1226"/>
      <c r="C187" s="1227"/>
      <c r="D187" s="575"/>
      <c r="E187" s="570"/>
      <c r="F187" s="263"/>
      <c r="G187" s="263"/>
      <c r="H187" s="264"/>
      <c r="I187" s="277"/>
      <c r="J187" s="278"/>
      <c r="K187" s="279"/>
      <c r="L187" s="264"/>
      <c r="M187" s="264"/>
      <c r="N187" s="264"/>
      <c r="O187" s="264"/>
      <c r="P187" s="264"/>
      <c r="Q187" s="264"/>
      <c r="R187" s="264"/>
      <c r="S187" s="264"/>
      <c r="T187" s="291"/>
      <c r="U187" s="264"/>
      <c r="V187" s="292"/>
      <c r="W187" s="292"/>
      <c r="X187" s="280"/>
      <c r="Y187" s="298"/>
    </row>
    <row r="188" spans="1:25" ht="17.25" customHeight="1">
      <c r="A188" s="261"/>
      <c r="B188" s="1226"/>
      <c r="C188" s="1227"/>
      <c r="D188" s="575"/>
      <c r="E188" s="570"/>
      <c r="F188" s="263"/>
      <c r="G188" s="263"/>
      <c r="H188" s="264"/>
      <c r="I188" s="277"/>
      <c r="J188" s="278"/>
      <c r="K188" s="279"/>
      <c r="L188" s="264"/>
      <c r="M188" s="264"/>
      <c r="N188" s="264"/>
      <c r="O188" s="264"/>
      <c r="P188" s="264"/>
      <c r="Q188" s="264"/>
      <c r="R188" s="264"/>
      <c r="S188" s="264"/>
      <c r="T188" s="291"/>
      <c r="U188" s="264"/>
      <c r="V188" s="292"/>
      <c r="W188" s="292"/>
      <c r="X188" s="280"/>
      <c r="Y188" s="298"/>
    </row>
    <row r="189" spans="1:25" ht="17.25" customHeight="1">
      <c r="A189" s="261"/>
      <c r="B189" s="1226"/>
      <c r="C189" s="1227"/>
      <c r="D189" s="575"/>
      <c r="E189" s="570"/>
      <c r="F189" s="263"/>
      <c r="G189" s="263"/>
      <c r="H189" s="264"/>
      <c r="I189" s="277"/>
      <c r="J189" s="278"/>
      <c r="K189" s="279"/>
      <c r="L189" s="264"/>
      <c r="M189" s="264"/>
      <c r="N189" s="264"/>
      <c r="O189" s="264"/>
      <c r="P189" s="264"/>
      <c r="Q189" s="264"/>
      <c r="R189" s="264"/>
      <c r="S189" s="264"/>
      <c r="T189" s="291"/>
      <c r="U189" s="264"/>
      <c r="V189" s="292"/>
      <c r="W189" s="292"/>
      <c r="X189" s="280"/>
      <c r="Y189" s="298"/>
    </row>
    <row r="190" spans="1:25" ht="17.25" customHeight="1">
      <c r="A190" s="261"/>
      <c r="B190" s="1226"/>
      <c r="C190" s="1227"/>
      <c r="D190" s="575"/>
      <c r="E190" s="570"/>
      <c r="F190" s="263"/>
      <c r="G190" s="263"/>
      <c r="H190" s="264"/>
      <c r="I190" s="277"/>
      <c r="J190" s="278"/>
      <c r="K190" s="279"/>
      <c r="L190" s="264"/>
      <c r="M190" s="264"/>
      <c r="N190" s="264"/>
      <c r="O190" s="264"/>
      <c r="P190" s="264"/>
      <c r="Q190" s="264"/>
      <c r="R190" s="264"/>
      <c r="S190" s="264"/>
      <c r="T190" s="291"/>
      <c r="U190" s="264"/>
      <c r="V190" s="292"/>
      <c r="W190" s="292"/>
      <c r="X190" s="280"/>
      <c r="Y190" s="298"/>
    </row>
    <row r="191" spans="1:25" ht="17.25" customHeight="1">
      <c r="A191" s="261"/>
      <c r="B191" s="1226"/>
      <c r="C191" s="1227"/>
      <c r="D191" s="575"/>
      <c r="E191" s="570"/>
      <c r="F191" s="263"/>
      <c r="G191" s="263"/>
      <c r="H191" s="264"/>
      <c r="I191" s="277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80"/>
      <c r="Y191" s="278"/>
    </row>
    <row r="192" spans="1:25" ht="17.25" customHeight="1">
      <c r="A192" s="261"/>
      <c r="B192" s="1226"/>
      <c r="C192" s="1227"/>
      <c r="D192" s="575"/>
      <c r="E192" s="570"/>
      <c r="F192" s="263"/>
      <c r="G192" s="263"/>
      <c r="H192" s="264"/>
      <c r="I192" s="277"/>
      <c r="J192" s="278"/>
      <c r="K192" s="279"/>
      <c r="L192" s="264"/>
      <c r="M192" s="280"/>
      <c r="N192" s="264"/>
      <c r="O192" s="263"/>
      <c r="P192" s="280"/>
      <c r="Q192" s="263"/>
      <c r="R192" s="290"/>
      <c r="S192" s="262"/>
      <c r="T192" s="291"/>
      <c r="U192" s="264"/>
      <c r="V192" s="292"/>
      <c r="W192" s="292"/>
      <c r="X192" s="280"/>
      <c r="Y192" s="298"/>
    </row>
    <row r="193" spans="1:25" ht="17.25" customHeight="1">
      <c r="A193" s="261"/>
      <c r="B193" s="1226"/>
      <c r="C193" s="1227"/>
      <c r="D193" s="575"/>
      <c r="E193" s="570"/>
      <c r="F193" s="263"/>
      <c r="G193" s="263"/>
      <c r="H193" s="264"/>
      <c r="I193" s="277"/>
      <c r="J193" s="278"/>
      <c r="K193" s="279"/>
      <c r="L193" s="264"/>
      <c r="M193" s="280"/>
      <c r="N193" s="316"/>
      <c r="O193" s="626"/>
      <c r="P193" s="280"/>
      <c r="Q193" s="626"/>
      <c r="R193" s="627"/>
      <c r="S193" s="262"/>
      <c r="T193" s="291"/>
      <c r="U193" s="264"/>
      <c r="V193" s="292"/>
      <c r="W193" s="292"/>
      <c r="X193" s="280"/>
      <c r="Y193" s="316"/>
    </row>
    <row r="194" spans="1:25" ht="17.25" customHeight="1">
      <c r="A194" s="261"/>
      <c r="B194" s="1226"/>
      <c r="C194" s="1227"/>
      <c r="D194" s="575"/>
      <c r="E194" s="570"/>
      <c r="F194" s="263"/>
      <c r="G194" s="263"/>
      <c r="H194" s="264"/>
      <c r="I194" s="277"/>
      <c r="J194" s="278"/>
      <c r="K194" s="279"/>
      <c r="L194" s="264"/>
      <c r="M194" s="280"/>
      <c r="N194" s="316"/>
      <c r="O194" s="626"/>
      <c r="P194" s="280"/>
      <c r="Q194" s="626"/>
      <c r="R194" s="627"/>
      <c r="S194" s="262"/>
      <c r="T194" s="291"/>
      <c r="U194" s="264"/>
      <c r="V194" s="292"/>
      <c r="W194" s="292"/>
      <c r="X194" s="280"/>
      <c r="Y194" s="316"/>
    </row>
    <row r="195" spans="1:25" ht="17.25" customHeight="1">
      <c r="A195" s="261"/>
      <c r="B195" s="1226"/>
      <c r="C195" s="1227"/>
      <c r="D195" s="575"/>
      <c r="E195" s="570"/>
      <c r="F195" s="263"/>
      <c r="G195" s="263"/>
      <c r="H195" s="264"/>
      <c r="I195" s="277"/>
      <c r="J195" s="278"/>
      <c r="K195" s="279"/>
      <c r="L195" s="264"/>
      <c r="M195" s="280"/>
      <c r="N195" s="316"/>
      <c r="O195" s="626"/>
      <c r="P195" s="280"/>
      <c r="Q195" s="626"/>
      <c r="R195" s="627"/>
      <c r="S195" s="262"/>
      <c r="T195" s="291"/>
      <c r="U195" s="264"/>
      <c r="V195" s="292"/>
      <c r="W195" s="292"/>
      <c r="X195" s="280"/>
      <c r="Y195" s="316"/>
    </row>
    <row r="196" spans="1:25" ht="17.25" customHeight="1">
      <c r="A196" s="261"/>
      <c r="B196" s="1226"/>
      <c r="C196" s="1227"/>
      <c r="D196" s="575"/>
      <c r="E196" s="570"/>
      <c r="F196" s="263"/>
      <c r="G196" s="263"/>
      <c r="H196" s="264"/>
      <c r="I196" s="277"/>
      <c r="J196" s="278"/>
      <c r="K196" s="279"/>
      <c r="L196" s="264"/>
      <c r="M196" s="280"/>
      <c r="N196" s="278"/>
      <c r="O196" s="278"/>
      <c r="P196" s="278"/>
      <c r="Q196" s="278"/>
      <c r="R196" s="278"/>
      <c r="S196" s="262"/>
      <c r="T196" s="291"/>
      <c r="U196" s="264"/>
      <c r="V196" s="292"/>
      <c r="W196" s="292"/>
      <c r="X196" s="280"/>
      <c r="Y196" s="278"/>
    </row>
    <row r="197" spans="1:25" ht="17.25" customHeight="1">
      <c r="A197" s="261"/>
      <c r="B197" s="1226"/>
      <c r="C197" s="1227"/>
      <c r="D197" s="575"/>
      <c r="E197" s="570"/>
      <c r="F197" s="263"/>
      <c r="G197" s="263"/>
      <c r="H197" s="264"/>
      <c r="I197" s="277"/>
      <c r="J197" s="278"/>
      <c r="K197" s="279"/>
      <c r="L197" s="264"/>
      <c r="M197" s="280"/>
      <c r="N197" s="264"/>
      <c r="O197" s="263"/>
      <c r="P197" s="280"/>
      <c r="Q197" s="263"/>
      <c r="R197" s="290"/>
      <c r="S197" s="262"/>
      <c r="T197" s="291"/>
      <c r="U197" s="264"/>
      <c r="V197" s="292"/>
      <c r="W197" s="292"/>
      <c r="X197" s="280"/>
      <c r="Y197" s="298"/>
    </row>
    <row r="198" spans="1:25" ht="17.25" customHeight="1">
      <c r="A198" s="261"/>
      <c r="B198" s="1226"/>
      <c r="C198" s="1227"/>
      <c r="D198" s="575"/>
      <c r="E198" s="570"/>
      <c r="F198" s="263"/>
      <c r="G198" s="263"/>
      <c r="H198" s="264"/>
      <c r="I198" s="277"/>
      <c r="J198" s="278"/>
      <c r="K198" s="279"/>
      <c r="L198" s="264"/>
      <c r="M198" s="280"/>
      <c r="N198" s="264"/>
      <c r="O198" s="264"/>
      <c r="P198" s="264"/>
      <c r="Q198" s="264"/>
      <c r="R198" s="264"/>
      <c r="S198" s="262"/>
      <c r="T198" s="291"/>
      <c r="U198" s="264"/>
      <c r="V198" s="292"/>
      <c r="W198" s="292"/>
      <c r="X198" s="280"/>
      <c r="Y198" s="298"/>
    </row>
    <row r="199" spans="1:25" ht="17.25" customHeight="1">
      <c r="A199" s="261"/>
      <c r="B199" s="1226"/>
      <c r="C199" s="1227"/>
      <c r="D199" s="575"/>
      <c r="E199" s="570"/>
      <c r="F199" s="263"/>
      <c r="G199" s="263"/>
      <c r="H199" s="264"/>
      <c r="I199" s="277"/>
      <c r="J199" s="278"/>
      <c r="K199" s="279"/>
      <c r="L199" s="264"/>
      <c r="M199" s="280"/>
      <c r="N199" s="264"/>
      <c r="O199" s="264"/>
      <c r="P199" s="264"/>
      <c r="Q199" s="264"/>
      <c r="R199" s="264"/>
      <c r="S199" s="262"/>
      <c r="T199" s="291"/>
      <c r="U199" s="264"/>
      <c r="V199" s="292"/>
      <c r="W199" s="292"/>
      <c r="X199" s="280"/>
      <c r="Y199" s="298"/>
    </row>
    <row r="200" spans="1:25" ht="17.25" customHeight="1">
      <c r="A200" s="261"/>
      <c r="B200" s="1226"/>
      <c r="C200" s="1227"/>
      <c r="D200" s="575"/>
      <c r="E200" s="570"/>
      <c r="F200" s="263"/>
      <c r="G200" s="263"/>
      <c r="H200" s="264"/>
      <c r="I200" s="277"/>
      <c r="J200" s="278"/>
      <c r="K200" s="279"/>
      <c r="L200" s="264"/>
      <c r="M200" s="280"/>
      <c r="N200" s="264"/>
      <c r="O200" s="264"/>
      <c r="P200" s="264"/>
      <c r="Q200" s="264"/>
      <c r="R200" s="264"/>
      <c r="S200" s="262"/>
      <c r="T200" s="291"/>
      <c r="U200" s="264"/>
      <c r="V200" s="292"/>
      <c r="W200" s="292"/>
      <c r="X200" s="280"/>
      <c r="Y200" s="298"/>
    </row>
    <row r="201" spans="1:25" ht="17.25" customHeight="1">
      <c r="A201" s="261"/>
      <c r="B201" s="1226"/>
      <c r="C201" s="1227"/>
      <c r="D201" s="575"/>
      <c r="E201" s="570"/>
      <c r="F201" s="263"/>
      <c r="G201" s="263"/>
      <c r="H201" s="264"/>
      <c r="I201" s="277"/>
      <c r="J201" s="278"/>
      <c r="K201" s="279"/>
      <c r="L201" s="264"/>
      <c r="M201" s="280"/>
      <c r="N201" s="316"/>
      <c r="O201" s="316"/>
      <c r="P201" s="316"/>
      <c r="Q201" s="316"/>
      <c r="R201" s="316"/>
      <c r="S201" s="262"/>
      <c r="T201" s="291"/>
      <c r="U201" s="264"/>
      <c r="V201" s="292"/>
      <c r="W201" s="292"/>
      <c r="X201" s="280"/>
      <c r="Y201" s="298"/>
    </row>
    <row r="202" spans="1:25" ht="17.25" customHeight="1">
      <c r="A202" s="261"/>
      <c r="B202" s="1226"/>
      <c r="C202" s="1227"/>
      <c r="D202" s="575"/>
      <c r="E202" s="570"/>
      <c r="F202" s="263"/>
      <c r="G202" s="263"/>
      <c r="H202" s="264"/>
      <c r="I202" s="277"/>
      <c r="J202" s="278"/>
      <c r="K202" s="279"/>
      <c r="L202" s="264"/>
      <c r="M202" s="280"/>
      <c r="N202" s="316"/>
      <c r="O202" s="316"/>
      <c r="P202" s="316"/>
      <c r="Q202" s="316"/>
      <c r="R202" s="316"/>
      <c r="S202" s="262"/>
      <c r="T202" s="291"/>
      <c r="U202" s="264"/>
      <c r="V202" s="292"/>
      <c r="W202" s="292"/>
      <c r="X202" s="280"/>
      <c r="Y202" s="298"/>
    </row>
    <row r="203" spans="1:25" ht="17.25" customHeight="1">
      <c r="A203" s="261"/>
      <c r="B203" s="1226"/>
      <c r="C203" s="1227"/>
      <c r="D203" s="575"/>
      <c r="E203" s="570"/>
      <c r="F203" s="263"/>
      <c r="G203" s="263"/>
      <c r="H203" s="264"/>
      <c r="I203" s="277"/>
      <c r="J203" s="278"/>
      <c r="K203" s="279"/>
      <c r="L203" s="264"/>
      <c r="M203" s="280"/>
      <c r="N203" s="316"/>
      <c r="O203" s="316"/>
      <c r="P203" s="316"/>
      <c r="Q203" s="316"/>
      <c r="R203" s="316"/>
      <c r="S203" s="262"/>
      <c r="T203" s="291"/>
      <c r="U203" s="264"/>
      <c r="V203" s="292"/>
      <c r="W203" s="292"/>
      <c r="X203" s="280"/>
      <c r="Y203" s="298"/>
    </row>
    <row r="204" spans="1:25" ht="17.25" customHeight="1">
      <c r="A204" s="261"/>
      <c r="B204" s="1226"/>
      <c r="C204" s="1227"/>
      <c r="D204" s="575"/>
      <c r="E204" s="570"/>
      <c r="F204" s="263"/>
      <c r="G204" s="263"/>
      <c r="H204" s="264"/>
      <c r="I204" s="277"/>
      <c r="J204" s="278"/>
      <c r="K204" s="279"/>
      <c r="L204" s="264"/>
      <c r="M204" s="280"/>
      <c r="N204" s="316"/>
      <c r="O204" s="316"/>
      <c r="P204" s="316"/>
      <c r="Q204" s="316"/>
      <c r="R204" s="316"/>
      <c r="S204" s="262"/>
      <c r="T204" s="291"/>
      <c r="U204" s="264"/>
      <c r="V204" s="292"/>
      <c r="W204" s="292"/>
      <c r="X204" s="280"/>
      <c r="Y204" s="298"/>
    </row>
    <row r="205" spans="1:25" ht="17.25" customHeight="1">
      <c r="A205" s="261"/>
      <c r="B205" s="1226"/>
      <c r="C205" s="1227"/>
      <c r="D205" s="575"/>
      <c r="E205" s="570"/>
      <c r="F205" s="263"/>
      <c r="G205" s="263"/>
      <c r="H205" s="264"/>
      <c r="I205" s="277"/>
      <c r="J205" s="278"/>
      <c r="K205" s="279"/>
      <c r="L205" s="264"/>
      <c r="M205" s="280"/>
      <c r="N205" s="316"/>
      <c r="O205" s="316"/>
      <c r="P205" s="316"/>
      <c r="Q205" s="316"/>
      <c r="R205" s="316"/>
      <c r="S205" s="262"/>
      <c r="T205" s="291"/>
      <c r="U205" s="264"/>
      <c r="V205" s="292"/>
      <c r="W205" s="292"/>
      <c r="X205" s="280"/>
      <c r="Y205" s="298"/>
    </row>
    <row r="206" spans="1:25" ht="17.25" customHeight="1">
      <c r="A206" s="261"/>
      <c r="B206" s="1226"/>
      <c r="C206" s="1227"/>
      <c r="D206" s="575"/>
      <c r="E206" s="570"/>
      <c r="F206" s="263"/>
      <c r="G206" s="263"/>
      <c r="H206" s="264"/>
      <c r="I206" s="277"/>
      <c r="J206" s="278"/>
      <c r="K206" s="279"/>
      <c r="L206" s="264"/>
      <c r="M206" s="280"/>
      <c r="N206" s="316"/>
      <c r="O206" s="316"/>
      <c r="P206" s="316"/>
      <c r="Q206" s="316"/>
      <c r="R206" s="316"/>
      <c r="S206" s="262"/>
      <c r="T206" s="291"/>
      <c r="U206" s="264"/>
      <c r="V206" s="292"/>
      <c r="W206" s="292"/>
      <c r="X206" s="280"/>
      <c r="Y206" s="298"/>
    </row>
    <row r="207" spans="1:25" ht="17.25" customHeight="1">
      <c r="A207" s="261"/>
      <c r="B207" s="1226"/>
      <c r="C207" s="1227"/>
      <c r="D207" s="575"/>
      <c r="E207" s="570"/>
      <c r="F207" s="263"/>
      <c r="G207" s="263"/>
      <c r="H207" s="264"/>
      <c r="I207" s="277"/>
      <c r="J207" s="278"/>
      <c r="K207" s="279"/>
      <c r="L207" s="264"/>
      <c r="M207" s="280"/>
      <c r="N207" s="316"/>
      <c r="O207" s="316"/>
      <c r="P207" s="316"/>
      <c r="Q207" s="316"/>
      <c r="R207" s="316"/>
      <c r="S207" s="262"/>
      <c r="T207" s="291"/>
      <c r="U207" s="264"/>
      <c r="V207" s="292"/>
      <c r="W207" s="292"/>
      <c r="X207" s="280"/>
      <c r="Y207" s="298"/>
    </row>
    <row r="208" spans="1:25" ht="17.25" customHeight="1">
      <c r="A208" s="261"/>
      <c r="B208" s="1226"/>
      <c r="C208" s="1227"/>
      <c r="D208" s="575"/>
      <c r="E208" s="570"/>
      <c r="F208" s="263"/>
      <c r="G208" s="263"/>
      <c r="H208" s="264"/>
      <c r="I208" s="277"/>
      <c r="J208" s="278"/>
      <c r="K208" s="279"/>
      <c r="L208" s="264"/>
      <c r="M208" s="280"/>
      <c r="N208" s="316"/>
      <c r="O208" s="316"/>
      <c r="P208" s="316"/>
      <c r="Q208" s="316"/>
      <c r="R208" s="316"/>
      <c r="S208" s="262"/>
      <c r="T208" s="291"/>
      <c r="U208" s="264"/>
      <c r="V208" s="292"/>
      <c r="W208" s="292"/>
      <c r="X208" s="280"/>
      <c r="Y208" s="298"/>
    </row>
    <row r="209" spans="1:25" ht="17.25" customHeight="1">
      <c r="A209" s="261"/>
      <c r="B209" s="1226"/>
      <c r="C209" s="1227"/>
      <c r="D209" s="575"/>
      <c r="E209" s="570"/>
      <c r="F209" s="263"/>
      <c r="G209" s="263"/>
      <c r="H209" s="264"/>
      <c r="I209" s="277"/>
      <c r="J209" s="278"/>
      <c r="K209" s="279"/>
      <c r="L209" s="264"/>
      <c r="M209" s="280"/>
      <c r="N209" s="316"/>
      <c r="O209" s="316"/>
      <c r="P209" s="316"/>
      <c r="Q209" s="316"/>
      <c r="R209" s="316"/>
      <c r="S209" s="262"/>
      <c r="T209" s="291"/>
      <c r="U209" s="264"/>
      <c r="V209" s="292"/>
      <c r="W209" s="292"/>
      <c r="X209" s="280"/>
      <c r="Y209" s="298"/>
    </row>
    <row r="210" spans="1:25" ht="17.25" customHeight="1">
      <c r="A210" s="261"/>
      <c r="B210" s="1226"/>
      <c r="C210" s="1227"/>
      <c r="D210" s="575"/>
      <c r="E210" s="570"/>
      <c r="F210" s="263"/>
      <c r="G210" s="263"/>
      <c r="H210" s="264"/>
      <c r="I210" s="277"/>
      <c r="J210" s="278"/>
      <c r="K210" s="279"/>
      <c r="L210" s="264"/>
      <c r="M210" s="280"/>
      <c r="N210" s="316"/>
      <c r="O210" s="316"/>
      <c r="P210" s="316"/>
      <c r="Q210" s="316"/>
      <c r="R210" s="316"/>
      <c r="S210" s="262"/>
      <c r="T210" s="291"/>
      <c r="U210" s="264"/>
      <c r="V210" s="292"/>
      <c r="W210" s="292"/>
      <c r="X210" s="280"/>
      <c r="Y210" s="298"/>
    </row>
    <row r="211" spans="1:25" ht="17.25" customHeight="1">
      <c r="A211" s="261"/>
      <c r="B211" s="1226"/>
      <c r="C211" s="1227"/>
      <c r="D211" s="575"/>
      <c r="E211" s="570"/>
      <c r="F211" s="263"/>
      <c r="G211" s="263"/>
      <c r="H211" s="264"/>
      <c r="I211" s="277"/>
      <c r="J211" s="278"/>
      <c r="K211" s="279"/>
      <c r="L211" s="264"/>
      <c r="M211" s="280"/>
      <c r="N211" s="316"/>
      <c r="O211" s="316"/>
      <c r="P211" s="316"/>
      <c r="Q211" s="316"/>
      <c r="R211" s="316"/>
      <c r="S211" s="262"/>
      <c r="T211" s="291"/>
      <c r="U211" s="264"/>
      <c r="V211" s="292"/>
      <c r="W211" s="292"/>
      <c r="X211" s="280"/>
      <c r="Y211" s="298"/>
    </row>
    <row r="212" spans="1:25" ht="17.25" customHeight="1">
      <c r="A212" s="261"/>
      <c r="B212" s="1226"/>
      <c r="C212" s="1227"/>
      <c r="D212" s="575"/>
      <c r="E212" s="570"/>
      <c r="F212" s="263"/>
      <c r="G212" s="263"/>
      <c r="H212" s="264"/>
      <c r="I212" s="277"/>
      <c r="J212" s="278"/>
      <c r="K212" s="279"/>
      <c r="L212" s="264"/>
      <c r="M212" s="280"/>
      <c r="N212" s="316"/>
      <c r="O212" s="316"/>
      <c r="P212" s="316"/>
      <c r="Q212" s="316"/>
      <c r="R212" s="316"/>
      <c r="S212" s="262"/>
      <c r="T212" s="291"/>
      <c r="U212" s="264"/>
      <c r="V212" s="292"/>
      <c r="W212" s="292"/>
      <c r="X212" s="280"/>
      <c r="Y212" s="298"/>
    </row>
    <row r="213" spans="1:25" ht="17.25" customHeight="1">
      <c r="A213" s="261"/>
      <c r="B213" s="1226"/>
      <c r="C213" s="1227"/>
      <c r="D213" s="575"/>
      <c r="E213" s="570"/>
      <c r="F213" s="263"/>
      <c r="G213" s="263"/>
      <c r="H213" s="264"/>
      <c r="I213" s="277"/>
      <c r="J213" s="278"/>
      <c r="K213" s="279"/>
      <c r="L213" s="264"/>
      <c r="M213" s="280"/>
      <c r="N213" s="316"/>
      <c r="O213" s="316"/>
      <c r="P213" s="316"/>
      <c r="Q213" s="316"/>
      <c r="R213" s="316"/>
      <c r="S213" s="262"/>
      <c r="T213" s="291"/>
      <c r="U213" s="264"/>
      <c r="V213" s="292"/>
      <c r="W213" s="292"/>
      <c r="X213" s="280"/>
      <c r="Y213" s="298"/>
    </row>
    <row r="214" spans="1:25" ht="17.25" customHeight="1">
      <c r="A214" s="261"/>
      <c r="B214" s="1226"/>
      <c r="C214" s="1227"/>
      <c r="D214" s="575"/>
      <c r="E214" s="570"/>
      <c r="F214" s="263"/>
      <c r="G214" s="263"/>
      <c r="H214" s="264"/>
      <c r="I214" s="277"/>
      <c r="J214" s="278"/>
      <c r="K214" s="279"/>
      <c r="L214" s="264"/>
      <c r="M214" s="280"/>
      <c r="N214" s="316"/>
      <c r="O214" s="316"/>
      <c r="P214" s="316"/>
      <c r="Q214" s="316"/>
      <c r="R214" s="316"/>
      <c r="S214" s="262"/>
      <c r="T214" s="291"/>
      <c r="U214" s="264"/>
      <c r="V214" s="292"/>
      <c r="W214" s="292"/>
      <c r="X214" s="280"/>
      <c r="Y214" s="298"/>
    </row>
    <row r="215" spans="1:25" ht="17.25" customHeight="1">
      <c r="A215" s="261"/>
      <c r="B215" s="1226"/>
      <c r="C215" s="1227"/>
      <c r="D215" s="575"/>
      <c r="E215" s="570"/>
      <c r="F215" s="263"/>
      <c r="G215" s="263"/>
      <c r="H215" s="264"/>
      <c r="I215" s="277"/>
      <c r="J215" s="278"/>
      <c r="K215" s="279"/>
      <c r="L215" s="264"/>
      <c r="M215" s="280"/>
      <c r="N215" s="316"/>
      <c r="O215" s="316"/>
      <c r="P215" s="316"/>
      <c r="Q215" s="316"/>
      <c r="R215" s="316"/>
      <c r="S215" s="262"/>
      <c r="T215" s="291"/>
      <c r="U215" s="264"/>
      <c r="V215" s="292"/>
      <c r="W215" s="292"/>
      <c r="X215" s="280"/>
      <c r="Y215" s="298"/>
    </row>
    <row r="216" spans="1:25" ht="17.25" customHeight="1">
      <c r="A216" s="261"/>
      <c r="B216" s="1226"/>
      <c r="C216" s="1227"/>
      <c r="D216" s="575"/>
      <c r="E216" s="570"/>
      <c r="F216" s="263"/>
      <c r="G216" s="263"/>
      <c r="H216" s="264"/>
      <c r="I216" s="277"/>
      <c r="J216" s="278"/>
      <c r="K216" s="279"/>
      <c r="L216" s="264"/>
      <c r="M216" s="280"/>
      <c r="N216" s="316"/>
      <c r="O216" s="316"/>
      <c r="P216" s="316"/>
      <c r="Q216" s="316"/>
      <c r="R216" s="316"/>
      <c r="S216" s="262"/>
      <c r="T216" s="291"/>
      <c r="U216" s="264"/>
      <c r="V216" s="292"/>
      <c r="W216" s="292"/>
      <c r="X216" s="280"/>
      <c r="Y216" s="298"/>
    </row>
    <row r="217" spans="1:25" ht="17.25" customHeight="1">
      <c r="A217" s="261"/>
      <c r="B217" s="1226"/>
      <c r="C217" s="1227"/>
      <c r="D217" s="575"/>
      <c r="E217" s="570"/>
      <c r="F217" s="263"/>
      <c r="G217" s="263"/>
      <c r="H217" s="264"/>
      <c r="I217" s="277"/>
      <c r="J217" s="278"/>
      <c r="K217" s="279"/>
      <c r="L217" s="264"/>
      <c r="M217" s="280"/>
      <c r="N217" s="316"/>
      <c r="O217" s="316"/>
      <c r="P217" s="316"/>
      <c r="Q217" s="316"/>
      <c r="R217" s="316"/>
      <c r="S217" s="262"/>
      <c r="T217" s="291"/>
      <c r="U217" s="264"/>
      <c r="V217" s="292"/>
      <c r="W217" s="292"/>
      <c r="X217" s="280"/>
      <c r="Y217" s="298"/>
    </row>
    <row r="218" spans="1:25" ht="17.25" customHeight="1">
      <c r="A218" s="261"/>
      <c r="B218" s="1226"/>
      <c r="C218" s="1227"/>
      <c r="D218" s="575"/>
      <c r="E218" s="570"/>
      <c r="F218" s="263"/>
      <c r="G218" s="263"/>
      <c r="H218" s="264"/>
      <c r="I218" s="277"/>
      <c r="J218" s="278"/>
      <c r="K218" s="279"/>
      <c r="L218" s="264"/>
      <c r="M218" s="280"/>
      <c r="N218" s="316"/>
      <c r="O218" s="316"/>
      <c r="P218" s="316"/>
      <c r="Q218" s="316"/>
      <c r="R218" s="316"/>
      <c r="S218" s="262"/>
      <c r="T218" s="291"/>
      <c r="U218" s="264"/>
      <c r="V218" s="292"/>
      <c r="W218" s="292"/>
      <c r="X218" s="280"/>
      <c r="Y218" s="298"/>
    </row>
    <row r="219" spans="1:25" ht="17.25" customHeight="1">
      <c r="A219" s="261"/>
      <c r="B219" s="1226"/>
      <c r="C219" s="1227"/>
      <c r="D219" s="575"/>
      <c r="E219" s="570"/>
      <c r="F219" s="263"/>
      <c r="G219" s="263"/>
      <c r="H219" s="264"/>
      <c r="I219" s="277"/>
      <c r="J219" s="278"/>
      <c r="K219" s="279"/>
      <c r="L219" s="264"/>
      <c r="M219" s="280"/>
      <c r="N219" s="316"/>
      <c r="O219" s="316"/>
      <c r="P219" s="316"/>
      <c r="Q219" s="316"/>
      <c r="R219" s="316"/>
      <c r="S219" s="262"/>
      <c r="T219" s="291"/>
      <c r="U219" s="264"/>
      <c r="V219" s="292"/>
      <c r="W219" s="292"/>
      <c r="X219" s="280"/>
      <c r="Y219" s="298"/>
    </row>
    <row r="220" spans="1:25" ht="17.25" customHeight="1">
      <c r="A220" s="261"/>
      <c r="B220" s="1226"/>
      <c r="C220" s="1227"/>
      <c r="D220" s="575"/>
      <c r="E220" s="570"/>
      <c r="F220" s="263"/>
      <c r="G220" s="263"/>
      <c r="H220" s="264"/>
      <c r="I220" s="277"/>
      <c r="J220" s="278"/>
      <c r="K220" s="279"/>
      <c r="L220" s="264"/>
      <c r="M220" s="280"/>
      <c r="N220" s="316"/>
      <c r="O220" s="316"/>
      <c r="P220" s="316"/>
      <c r="Q220" s="316"/>
      <c r="R220" s="316"/>
      <c r="S220" s="262"/>
      <c r="T220" s="291"/>
      <c r="U220" s="264"/>
      <c r="V220" s="292"/>
      <c r="W220" s="292"/>
      <c r="X220" s="280"/>
      <c r="Y220" s="298"/>
    </row>
    <row r="221" spans="1:25" ht="17.25" customHeight="1">
      <c r="A221" s="261"/>
      <c r="B221" s="1226"/>
      <c r="C221" s="1227"/>
      <c r="D221" s="575"/>
      <c r="E221" s="570"/>
      <c r="F221" s="263"/>
      <c r="G221" s="263"/>
      <c r="H221" s="264"/>
      <c r="I221" s="277"/>
      <c r="J221" s="278"/>
      <c r="K221" s="279"/>
      <c r="L221" s="264"/>
      <c r="M221" s="280"/>
      <c r="N221" s="316"/>
      <c r="O221" s="316"/>
      <c r="P221" s="316"/>
      <c r="Q221" s="316"/>
      <c r="R221" s="316"/>
      <c r="S221" s="262"/>
      <c r="T221" s="291"/>
      <c r="U221" s="264"/>
      <c r="V221" s="292"/>
      <c r="W221" s="292"/>
      <c r="X221" s="280"/>
      <c r="Y221" s="298"/>
    </row>
    <row r="222" spans="1:25" ht="17.25" customHeight="1">
      <c r="A222" s="261"/>
      <c r="B222" s="1226"/>
      <c r="C222" s="1227"/>
      <c r="D222" s="575"/>
      <c r="E222" s="570"/>
      <c r="F222" s="263"/>
      <c r="G222" s="263"/>
      <c r="H222" s="264"/>
      <c r="I222" s="277"/>
      <c r="J222" s="278"/>
      <c r="K222" s="279"/>
      <c r="L222" s="264"/>
      <c r="M222" s="280"/>
      <c r="N222" s="316"/>
      <c r="O222" s="316"/>
      <c r="P222" s="316"/>
      <c r="Q222" s="316"/>
      <c r="R222" s="316"/>
      <c r="S222" s="262"/>
      <c r="T222" s="291"/>
      <c r="U222" s="264"/>
      <c r="V222" s="292"/>
      <c r="W222" s="292"/>
      <c r="X222" s="280"/>
      <c r="Y222" s="298"/>
    </row>
    <row r="223" spans="1:25" ht="17.25" customHeight="1">
      <c r="A223" s="261"/>
      <c r="B223" s="1226"/>
      <c r="C223" s="1227"/>
      <c r="D223" s="575"/>
      <c r="E223" s="570"/>
      <c r="F223" s="263"/>
      <c r="G223" s="263"/>
      <c r="H223" s="264"/>
      <c r="I223" s="277"/>
      <c r="J223" s="278"/>
      <c r="K223" s="279"/>
      <c r="L223" s="264"/>
      <c r="M223" s="280"/>
      <c r="N223" s="316"/>
      <c r="O223" s="316"/>
      <c r="P223" s="316"/>
      <c r="Q223" s="316"/>
      <c r="R223" s="316"/>
      <c r="S223" s="262"/>
      <c r="T223" s="291"/>
      <c r="U223" s="264"/>
      <c r="V223" s="292"/>
      <c r="W223" s="292"/>
      <c r="X223" s="280"/>
      <c r="Y223" s="298"/>
    </row>
    <row r="224" spans="1:25" ht="17.25" customHeight="1">
      <c r="A224" s="261"/>
      <c r="B224" s="1226"/>
      <c r="C224" s="1227"/>
      <c r="D224" s="575"/>
      <c r="E224" s="570"/>
      <c r="F224" s="263"/>
      <c r="G224" s="263"/>
      <c r="H224" s="264"/>
      <c r="I224" s="277"/>
      <c r="J224" s="278"/>
      <c r="K224" s="279"/>
      <c r="L224" s="264"/>
      <c r="M224" s="280"/>
      <c r="N224" s="316"/>
      <c r="O224" s="316"/>
      <c r="P224" s="316"/>
      <c r="Q224" s="316"/>
      <c r="R224" s="316"/>
      <c r="S224" s="262"/>
      <c r="T224" s="291"/>
      <c r="U224" s="264"/>
      <c r="V224" s="292"/>
      <c r="W224" s="292"/>
      <c r="X224" s="280"/>
      <c r="Y224" s="298"/>
    </row>
    <row r="225" spans="1:25" ht="17.25" customHeight="1">
      <c r="A225" s="261"/>
      <c r="B225" s="1226"/>
      <c r="C225" s="1227"/>
      <c r="D225" s="575"/>
      <c r="E225" s="570"/>
      <c r="F225" s="263"/>
      <c r="G225" s="263"/>
      <c r="H225" s="264"/>
      <c r="I225" s="277"/>
      <c r="J225" s="278"/>
      <c r="K225" s="279"/>
      <c r="L225" s="264"/>
      <c r="M225" s="280"/>
      <c r="N225" s="316"/>
      <c r="O225" s="316"/>
      <c r="P225" s="316"/>
      <c r="Q225" s="316"/>
      <c r="R225" s="316"/>
      <c r="S225" s="262"/>
      <c r="T225" s="291"/>
      <c r="U225" s="264"/>
      <c r="V225" s="292"/>
      <c r="W225" s="292"/>
      <c r="X225" s="280"/>
      <c r="Y225" s="298"/>
    </row>
    <row r="226" spans="1:25" ht="17.25" customHeight="1">
      <c r="A226" s="261"/>
      <c r="B226" s="1226"/>
      <c r="C226" s="1227"/>
      <c r="D226" s="575"/>
      <c r="E226" s="570"/>
      <c r="F226" s="263"/>
      <c r="G226" s="263"/>
      <c r="H226" s="264"/>
      <c r="I226" s="277"/>
      <c r="J226" s="278"/>
      <c r="K226" s="279"/>
      <c r="L226" s="264"/>
      <c r="M226" s="280"/>
      <c r="N226" s="316"/>
      <c r="O226" s="316"/>
      <c r="P226" s="316"/>
      <c r="Q226" s="316"/>
      <c r="R226" s="316"/>
      <c r="S226" s="262"/>
      <c r="T226" s="291"/>
      <c r="U226" s="264"/>
      <c r="V226" s="292"/>
      <c r="W226" s="292"/>
      <c r="X226" s="280"/>
      <c r="Y226" s="298"/>
    </row>
    <row r="227" spans="1:25" ht="17.25" customHeight="1">
      <c r="A227" s="261"/>
      <c r="B227" s="1226"/>
      <c r="C227" s="1227"/>
      <c r="D227" s="575"/>
      <c r="E227" s="570"/>
      <c r="F227" s="263"/>
      <c r="G227" s="263"/>
      <c r="H227" s="264"/>
      <c r="I227" s="277"/>
      <c r="J227" s="278"/>
      <c r="K227" s="279"/>
      <c r="L227" s="264"/>
      <c r="M227" s="280"/>
      <c r="N227" s="316"/>
      <c r="O227" s="316"/>
      <c r="P227" s="316"/>
      <c r="Q227" s="316"/>
      <c r="R227" s="316"/>
      <c r="S227" s="262"/>
      <c r="T227" s="291"/>
      <c r="U227" s="264"/>
      <c r="V227" s="292"/>
      <c r="W227" s="292"/>
      <c r="X227" s="280"/>
      <c r="Y227" s="298"/>
    </row>
    <row r="228" spans="1:25" ht="17.25" customHeight="1">
      <c r="A228" s="261"/>
      <c r="B228" s="1226"/>
      <c r="C228" s="1227"/>
      <c r="D228" s="575"/>
      <c r="E228" s="570"/>
      <c r="F228" s="263"/>
      <c r="G228" s="263"/>
      <c r="H228" s="264"/>
      <c r="I228" s="277"/>
      <c r="J228" s="278"/>
      <c r="K228" s="279"/>
      <c r="L228" s="264"/>
      <c r="M228" s="280"/>
      <c r="N228" s="316"/>
      <c r="O228" s="316"/>
      <c r="P228" s="316"/>
      <c r="Q228" s="316"/>
      <c r="R228" s="316"/>
      <c r="S228" s="262"/>
      <c r="T228" s="291"/>
      <c r="U228" s="264"/>
      <c r="V228" s="292"/>
      <c r="W228" s="292"/>
      <c r="X228" s="280"/>
      <c r="Y228" s="298"/>
    </row>
    <row r="229" spans="1:25" ht="17.25" customHeight="1">
      <c r="A229" s="261"/>
      <c r="B229" s="1226"/>
      <c r="C229" s="1227"/>
      <c r="D229" s="575"/>
      <c r="E229" s="570"/>
      <c r="F229" s="263"/>
      <c r="G229" s="263"/>
      <c r="H229" s="264"/>
      <c r="I229" s="277"/>
      <c r="J229" s="278"/>
      <c r="K229" s="279"/>
      <c r="L229" s="264"/>
      <c r="M229" s="280"/>
      <c r="N229" s="316"/>
      <c r="O229" s="316"/>
      <c r="P229" s="316"/>
      <c r="Q229" s="316"/>
      <c r="R229" s="316"/>
      <c r="S229" s="262"/>
      <c r="T229" s="291"/>
      <c r="U229" s="264"/>
      <c r="V229" s="292"/>
      <c r="W229" s="292"/>
      <c r="X229" s="280"/>
      <c r="Y229" s="298"/>
    </row>
    <row r="230" spans="1:25" ht="17.25" customHeight="1">
      <c r="A230" s="261"/>
      <c r="B230" s="1226"/>
      <c r="C230" s="1227"/>
      <c r="D230" s="575"/>
      <c r="E230" s="570"/>
      <c r="F230" s="263"/>
      <c r="G230" s="263"/>
      <c r="H230" s="264"/>
      <c r="I230" s="277"/>
      <c r="J230" s="278"/>
      <c r="K230" s="279"/>
      <c r="L230" s="264"/>
      <c r="M230" s="280"/>
      <c r="N230" s="316"/>
      <c r="O230" s="316"/>
      <c r="P230" s="316"/>
      <c r="Q230" s="316"/>
      <c r="R230" s="316"/>
      <c r="S230" s="262"/>
      <c r="T230" s="291"/>
      <c r="U230" s="264"/>
      <c r="V230" s="292"/>
      <c r="W230" s="292"/>
      <c r="X230" s="280"/>
      <c r="Y230" s="298"/>
    </row>
    <row r="231" spans="1:25" ht="17.25" customHeight="1">
      <c r="A231" s="261"/>
      <c r="B231" s="1226"/>
      <c r="C231" s="1227"/>
      <c r="D231" s="575"/>
      <c r="E231" s="570"/>
      <c r="F231" s="263"/>
      <c r="G231" s="263"/>
      <c r="H231" s="264"/>
      <c r="I231" s="277"/>
      <c r="J231" s="278"/>
      <c r="K231" s="279"/>
      <c r="L231" s="264"/>
      <c r="M231" s="280"/>
      <c r="N231" s="316"/>
      <c r="O231" s="316"/>
      <c r="P231" s="316"/>
      <c r="Q231" s="316"/>
      <c r="R231" s="316"/>
      <c r="S231" s="262"/>
      <c r="T231" s="291"/>
      <c r="U231" s="264"/>
      <c r="V231" s="292"/>
      <c r="W231" s="292"/>
      <c r="X231" s="280"/>
      <c r="Y231" s="298"/>
    </row>
    <row r="232" spans="1:25" ht="17.25" customHeight="1">
      <c r="A232" s="261"/>
      <c r="B232" s="1226"/>
      <c r="C232" s="1227"/>
      <c r="D232" s="575"/>
      <c r="E232" s="570"/>
      <c r="F232" s="263"/>
      <c r="G232" s="263"/>
      <c r="H232" s="264"/>
      <c r="I232" s="277"/>
      <c r="J232" s="278"/>
      <c r="K232" s="279"/>
      <c r="L232" s="264"/>
      <c r="M232" s="280"/>
      <c r="N232" s="316"/>
      <c r="O232" s="316"/>
      <c r="P232" s="316"/>
      <c r="Q232" s="316"/>
      <c r="R232" s="316"/>
      <c r="S232" s="262"/>
      <c r="T232" s="291"/>
      <c r="U232" s="264"/>
      <c r="V232" s="292"/>
      <c r="W232" s="292"/>
      <c r="X232" s="280"/>
      <c r="Y232" s="298"/>
    </row>
    <row r="233" spans="1:25" ht="17.25" customHeight="1">
      <c r="A233" s="261"/>
      <c r="B233" s="1226"/>
      <c r="C233" s="1227"/>
      <c r="D233" s="575"/>
      <c r="E233" s="570"/>
      <c r="F233" s="263"/>
      <c r="G233" s="263"/>
      <c r="H233" s="264"/>
      <c r="I233" s="277"/>
      <c r="J233" s="278"/>
      <c r="K233" s="279"/>
      <c r="L233" s="264"/>
      <c r="M233" s="280"/>
      <c r="N233" s="316"/>
      <c r="O233" s="316"/>
      <c r="P233" s="316"/>
      <c r="Q233" s="316"/>
      <c r="R233" s="316"/>
      <c r="S233" s="262"/>
      <c r="T233" s="291"/>
      <c r="U233" s="264"/>
      <c r="V233" s="292"/>
      <c r="W233" s="292"/>
      <c r="X233" s="280"/>
      <c r="Y233" s="298"/>
    </row>
    <row r="234" spans="1:25" ht="17.25" customHeight="1">
      <c r="A234" s="261"/>
      <c r="B234" s="1226"/>
      <c r="C234" s="1227"/>
      <c r="D234" s="575"/>
      <c r="E234" s="570"/>
      <c r="F234" s="263"/>
      <c r="G234" s="263"/>
      <c r="H234" s="264"/>
      <c r="I234" s="277"/>
      <c r="J234" s="278"/>
      <c r="K234" s="279"/>
      <c r="L234" s="264"/>
      <c r="M234" s="280"/>
      <c r="N234" s="316"/>
      <c r="O234" s="316"/>
      <c r="P234" s="316"/>
      <c r="Q234" s="316"/>
      <c r="R234" s="316"/>
      <c r="S234" s="262"/>
      <c r="T234" s="291"/>
      <c r="U234" s="264"/>
      <c r="V234" s="292"/>
      <c r="W234" s="292"/>
      <c r="X234" s="280"/>
      <c r="Y234" s="298"/>
    </row>
    <row r="235" spans="1:25" ht="17.25" customHeight="1">
      <c r="A235" s="261"/>
      <c r="B235" s="1226"/>
      <c r="C235" s="1227"/>
      <c r="D235" s="575"/>
      <c r="E235" s="570"/>
      <c r="F235" s="263"/>
      <c r="G235" s="263"/>
      <c r="H235" s="264"/>
      <c r="I235" s="277"/>
      <c r="J235" s="278"/>
      <c r="K235" s="279"/>
      <c r="L235" s="264"/>
      <c r="M235" s="280"/>
      <c r="N235" s="316"/>
      <c r="O235" s="316"/>
      <c r="P235" s="316"/>
      <c r="Q235" s="316"/>
      <c r="R235" s="316"/>
      <c r="S235" s="262"/>
      <c r="T235" s="291"/>
      <c r="U235" s="264"/>
      <c r="V235" s="292"/>
      <c r="W235" s="292"/>
      <c r="X235" s="280"/>
      <c r="Y235" s="298"/>
    </row>
    <row r="236" spans="1:25" ht="17.25" customHeight="1">
      <c r="A236" s="261"/>
      <c r="B236" s="1226"/>
      <c r="C236" s="1227"/>
      <c r="D236" s="575"/>
      <c r="E236" s="570"/>
      <c r="F236" s="263"/>
      <c r="G236" s="263"/>
      <c r="H236" s="264"/>
      <c r="I236" s="277"/>
      <c r="J236" s="278"/>
      <c r="K236" s="279"/>
      <c r="L236" s="264"/>
      <c r="M236" s="280"/>
      <c r="N236" s="316"/>
      <c r="O236" s="316"/>
      <c r="P236" s="316"/>
      <c r="Q236" s="316"/>
      <c r="R236" s="316"/>
      <c r="S236" s="262"/>
      <c r="T236" s="291"/>
      <c r="U236" s="264"/>
      <c r="V236" s="292"/>
      <c r="W236" s="292"/>
      <c r="X236" s="280"/>
      <c r="Y236" s="298"/>
    </row>
    <row r="237" spans="1:25" ht="17.25" customHeight="1">
      <c r="A237" s="261"/>
      <c r="B237" s="1226"/>
      <c r="C237" s="1227"/>
      <c r="D237" s="575"/>
      <c r="E237" s="570"/>
      <c r="F237" s="263"/>
      <c r="G237" s="263"/>
      <c r="H237" s="264"/>
      <c r="I237" s="277"/>
      <c r="J237" s="278"/>
      <c r="K237" s="279"/>
      <c r="L237" s="264"/>
      <c r="M237" s="280"/>
      <c r="N237" s="316"/>
      <c r="O237" s="316"/>
      <c r="P237" s="316"/>
      <c r="Q237" s="316"/>
      <c r="R237" s="316"/>
      <c r="S237" s="262"/>
      <c r="T237" s="291"/>
      <c r="U237" s="264"/>
      <c r="V237" s="292"/>
      <c r="W237" s="292"/>
      <c r="X237" s="280"/>
      <c r="Y237" s="298"/>
    </row>
    <row r="238" spans="1:25" ht="17.25" customHeight="1">
      <c r="A238" s="261"/>
      <c r="B238" s="1226"/>
      <c r="C238" s="1227"/>
      <c r="D238" s="575"/>
      <c r="E238" s="570"/>
      <c r="F238" s="263"/>
      <c r="G238" s="263"/>
      <c r="H238" s="264"/>
      <c r="I238" s="277"/>
      <c r="J238" s="278"/>
      <c r="K238" s="279"/>
      <c r="L238" s="264"/>
      <c r="M238" s="280"/>
      <c r="N238" s="316"/>
      <c r="O238" s="316"/>
      <c r="P238" s="316"/>
      <c r="Q238" s="316"/>
      <c r="R238" s="316"/>
      <c r="S238" s="262"/>
      <c r="T238" s="291"/>
      <c r="U238" s="264"/>
      <c r="V238" s="292"/>
      <c r="W238" s="292"/>
      <c r="X238" s="280"/>
      <c r="Y238" s="298"/>
    </row>
    <row r="239" spans="1:25" ht="17.25" customHeight="1">
      <c r="A239" s="261"/>
      <c r="B239" s="1226"/>
      <c r="C239" s="1227"/>
      <c r="D239" s="575"/>
      <c r="E239" s="570"/>
      <c r="F239" s="263"/>
      <c r="G239" s="263"/>
      <c r="H239" s="264"/>
      <c r="I239" s="277"/>
      <c r="J239" s="278"/>
      <c r="K239" s="279"/>
      <c r="L239" s="264"/>
      <c r="M239" s="280"/>
      <c r="N239" s="316"/>
      <c r="O239" s="316"/>
      <c r="P239" s="316"/>
      <c r="Q239" s="316"/>
      <c r="R239" s="316"/>
      <c r="S239" s="262"/>
      <c r="T239" s="291"/>
      <c r="U239" s="264"/>
      <c r="V239" s="292"/>
      <c r="W239" s="292"/>
      <c r="X239" s="280"/>
      <c r="Y239" s="298"/>
    </row>
    <row r="240" spans="1:25" ht="17.25" customHeight="1">
      <c r="A240" s="261"/>
      <c r="B240" s="1226"/>
      <c r="C240" s="1227"/>
      <c r="D240" s="575"/>
      <c r="E240" s="570"/>
      <c r="F240" s="263"/>
      <c r="G240" s="263"/>
      <c r="H240" s="264"/>
      <c r="I240" s="277"/>
      <c r="J240" s="278"/>
      <c r="K240" s="279"/>
      <c r="L240" s="264"/>
      <c r="M240" s="280"/>
      <c r="N240" s="316"/>
      <c r="O240" s="316"/>
      <c r="P240" s="316"/>
      <c r="Q240" s="316"/>
      <c r="R240" s="316"/>
      <c r="S240" s="262"/>
      <c r="T240" s="291"/>
      <c r="U240" s="264"/>
      <c r="V240" s="292"/>
      <c r="W240" s="292"/>
      <c r="X240" s="280"/>
      <c r="Y240" s="298"/>
    </row>
    <row r="241" spans="1:25" ht="17.25" customHeight="1">
      <c r="A241" s="261"/>
      <c r="B241" s="1226"/>
      <c r="C241" s="1227"/>
      <c r="D241" s="575"/>
      <c r="E241" s="570"/>
      <c r="F241" s="263"/>
      <c r="G241" s="263"/>
      <c r="H241" s="264"/>
      <c r="I241" s="277"/>
      <c r="J241" s="278"/>
      <c r="K241" s="279"/>
      <c r="L241" s="264"/>
      <c r="M241" s="280"/>
      <c r="N241" s="316"/>
      <c r="O241" s="316"/>
      <c r="P241" s="316"/>
      <c r="Q241" s="316"/>
      <c r="R241" s="316"/>
      <c r="S241" s="262"/>
      <c r="T241" s="291"/>
      <c r="U241" s="264"/>
      <c r="V241" s="292"/>
      <c r="W241" s="292"/>
      <c r="X241" s="280"/>
      <c r="Y241" s="298"/>
    </row>
    <row r="242" spans="1:25" ht="17.25" customHeight="1">
      <c r="A242" s="261"/>
      <c r="B242" s="1226"/>
      <c r="C242" s="1227"/>
      <c r="D242" s="575"/>
      <c r="E242" s="570"/>
      <c r="F242" s="263"/>
      <c r="G242" s="263"/>
      <c r="H242" s="264"/>
      <c r="I242" s="277"/>
      <c r="J242" s="278"/>
      <c r="K242" s="279"/>
      <c r="L242" s="264"/>
      <c r="M242" s="280"/>
      <c r="N242" s="316"/>
      <c r="O242" s="316"/>
      <c r="P242" s="316"/>
      <c r="Q242" s="316"/>
      <c r="R242" s="316"/>
      <c r="S242" s="262"/>
      <c r="T242" s="291"/>
      <c r="U242" s="264"/>
      <c r="V242" s="292"/>
      <c r="W242" s="292"/>
      <c r="X242" s="280"/>
      <c r="Y242" s="298"/>
    </row>
    <row r="243" spans="1:25" ht="17.25" customHeight="1">
      <c r="A243" s="261"/>
      <c r="B243" s="1226"/>
      <c r="C243" s="1227"/>
      <c r="D243" s="575"/>
      <c r="E243" s="570"/>
      <c r="F243" s="263"/>
      <c r="G243" s="263"/>
      <c r="H243" s="264"/>
      <c r="I243" s="277"/>
      <c r="J243" s="278"/>
      <c r="K243" s="279"/>
      <c r="L243" s="264"/>
      <c r="M243" s="280"/>
      <c r="N243" s="316"/>
      <c r="O243" s="316"/>
      <c r="P243" s="316"/>
      <c r="Q243" s="316"/>
      <c r="R243" s="316"/>
      <c r="S243" s="262"/>
      <c r="T243" s="291"/>
      <c r="U243" s="264"/>
      <c r="V243" s="292"/>
      <c r="W243" s="292"/>
      <c r="X243" s="280"/>
      <c r="Y243" s="298"/>
    </row>
    <row r="244" spans="1:25" ht="17.25" customHeight="1">
      <c r="A244" s="261"/>
      <c r="B244" s="1226"/>
      <c r="C244" s="1227"/>
      <c r="D244" s="575"/>
      <c r="E244" s="570"/>
      <c r="F244" s="263"/>
      <c r="G244" s="263"/>
      <c r="H244" s="264"/>
      <c r="I244" s="277"/>
      <c r="J244" s="278"/>
      <c r="K244" s="279"/>
      <c r="L244" s="264"/>
      <c r="M244" s="280"/>
      <c r="N244" s="264"/>
      <c r="O244" s="263"/>
      <c r="P244" s="280"/>
      <c r="Q244" s="263"/>
      <c r="R244" s="290"/>
      <c r="S244" s="262"/>
      <c r="T244" s="291"/>
      <c r="U244" s="264"/>
      <c r="V244" s="292"/>
      <c r="W244" s="292"/>
      <c r="X244" s="280"/>
      <c r="Y244" s="298"/>
    </row>
    <row r="245" spans="1:25" ht="17.25" customHeight="1">
      <c r="A245" s="261"/>
      <c r="B245" s="1226"/>
      <c r="C245" s="1227"/>
      <c r="D245" s="575"/>
      <c r="E245" s="570"/>
      <c r="F245" s="263"/>
      <c r="G245" s="263"/>
      <c r="H245" s="264"/>
      <c r="I245" s="277"/>
      <c r="J245" s="278"/>
      <c r="K245" s="279"/>
      <c r="L245" s="264"/>
      <c r="M245" s="280"/>
      <c r="N245" s="278"/>
      <c r="O245" s="278"/>
      <c r="P245" s="278"/>
      <c r="Q245" s="278"/>
      <c r="R245" s="278"/>
      <c r="S245" s="262"/>
      <c r="T245" s="291"/>
      <c r="U245" s="264"/>
      <c r="V245" s="292"/>
      <c r="W245" s="292"/>
      <c r="X245" s="280"/>
      <c r="Y245" s="298"/>
    </row>
    <row r="246" spans="1:25" ht="17.25" customHeight="1">
      <c r="A246" s="261"/>
      <c r="B246" s="1226"/>
      <c r="C246" s="1227"/>
      <c r="D246" s="575"/>
      <c r="E246" s="570"/>
      <c r="F246" s="263"/>
      <c r="G246" s="263"/>
      <c r="H246" s="264"/>
      <c r="I246" s="277"/>
      <c r="J246" s="278"/>
      <c r="K246" s="279"/>
      <c r="L246" s="264"/>
      <c r="M246" s="280"/>
      <c r="N246" s="264"/>
      <c r="O246" s="263"/>
      <c r="P246" s="280"/>
      <c r="Q246" s="263"/>
      <c r="R246" s="290"/>
      <c r="S246" s="262"/>
      <c r="T246" s="291"/>
      <c r="U246" s="264"/>
      <c r="V246" s="292"/>
      <c r="W246" s="292"/>
      <c r="X246" s="280"/>
      <c r="Y246" s="298"/>
    </row>
    <row r="247" spans="1:25" ht="17.25" customHeight="1">
      <c r="A247" s="261"/>
      <c r="B247" s="1226"/>
      <c r="C247" s="1227"/>
      <c r="D247" s="575"/>
      <c r="E247" s="570"/>
      <c r="F247" s="263"/>
      <c r="G247" s="263"/>
      <c r="H247" s="264"/>
      <c r="I247" s="277"/>
      <c r="J247" s="278"/>
      <c r="K247" s="279"/>
      <c r="L247" s="264"/>
      <c r="M247" s="280"/>
      <c r="N247" s="264"/>
      <c r="O247" s="264"/>
      <c r="P247" s="264"/>
      <c r="Q247" s="264"/>
      <c r="R247" s="264"/>
      <c r="S247" s="262"/>
      <c r="T247" s="291"/>
      <c r="U247" s="264"/>
      <c r="V247" s="292"/>
      <c r="W247" s="292"/>
      <c r="X247" s="280"/>
      <c r="Y247" s="298"/>
    </row>
    <row r="248" spans="1:25" ht="17.25" customHeight="1">
      <c r="A248" s="261"/>
      <c r="B248" s="1226"/>
      <c r="C248" s="1227"/>
      <c r="D248" s="575"/>
      <c r="E248" s="570"/>
      <c r="F248" s="263"/>
      <c r="G248" s="263"/>
      <c r="H248" s="264"/>
      <c r="I248" s="277"/>
      <c r="J248" s="278"/>
      <c r="K248" s="279"/>
      <c r="L248" s="264"/>
      <c r="M248" s="280"/>
      <c r="N248" s="264"/>
      <c r="O248" s="264"/>
      <c r="P248" s="264"/>
      <c r="Q248" s="264"/>
      <c r="R248" s="264"/>
      <c r="S248" s="262"/>
      <c r="T248" s="291"/>
      <c r="U248" s="264"/>
      <c r="V248" s="292"/>
      <c r="W248" s="292"/>
      <c r="X248" s="280"/>
      <c r="Y248" s="298"/>
    </row>
    <row r="249" spans="1:25" ht="17.25" customHeight="1">
      <c r="A249" s="261"/>
      <c r="B249" s="1226"/>
      <c r="C249" s="1227"/>
      <c r="D249" s="575"/>
      <c r="E249" s="570"/>
      <c r="F249" s="263"/>
      <c r="G249" s="263"/>
      <c r="H249" s="264"/>
      <c r="I249" s="277"/>
      <c r="J249" s="278"/>
      <c r="K249" s="279"/>
      <c r="L249" s="264"/>
      <c r="M249" s="280"/>
      <c r="N249" s="264"/>
      <c r="O249" s="264"/>
      <c r="P249" s="264"/>
      <c r="Q249" s="264"/>
      <c r="R249" s="264"/>
      <c r="S249" s="262"/>
      <c r="T249" s="291"/>
      <c r="U249" s="264"/>
      <c r="V249" s="292"/>
      <c r="W249" s="292"/>
      <c r="X249" s="280"/>
      <c r="Y249" s="298"/>
    </row>
    <row r="250" spans="1:25" ht="17.25" customHeight="1">
      <c r="A250" s="261"/>
      <c r="B250" s="1226"/>
      <c r="C250" s="1227"/>
      <c r="D250" s="575"/>
      <c r="E250" s="570"/>
      <c r="F250" s="263"/>
      <c r="G250" s="263"/>
      <c r="H250" s="264"/>
      <c r="I250" s="277"/>
      <c r="J250" s="278"/>
      <c r="K250" s="279"/>
      <c r="L250" s="264"/>
      <c r="M250" s="280"/>
      <c r="N250" s="278"/>
      <c r="O250" s="278"/>
      <c r="P250" s="278"/>
      <c r="Q250" s="278"/>
      <c r="R250" s="278"/>
      <c r="S250" s="262"/>
      <c r="T250" s="291"/>
      <c r="U250" s="264"/>
      <c r="V250" s="292"/>
      <c r="W250" s="292"/>
      <c r="X250" s="280"/>
      <c r="Y250" s="298"/>
    </row>
    <row r="251" spans="1:25" ht="17.25" customHeight="1">
      <c r="A251" s="261"/>
      <c r="B251" s="1226"/>
      <c r="C251" s="1227"/>
      <c r="D251" s="575"/>
      <c r="E251" s="570"/>
      <c r="F251" s="263"/>
      <c r="G251" s="263"/>
      <c r="H251" s="264"/>
      <c r="I251" s="277"/>
      <c r="J251" s="278"/>
      <c r="K251" s="279"/>
      <c r="L251" s="264"/>
      <c r="M251" s="280"/>
      <c r="N251" s="264"/>
      <c r="O251" s="263"/>
      <c r="P251" s="280"/>
      <c r="Q251" s="263"/>
      <c r="R251" s="290"/>
      <c r="S251" s="262"/>
      <c r="T251" s="291"/>
      <c r="U251" s="264"/>
      <c r="V251" s="292"/>
      <c r="W251" s="292"/>
      <c r="X251" s="280"/>
      <c r="Y251" s="298"/>
    </row>
    <row r="252" spans="1:25" ht="17.25" customHeight="1">
      <c r="A252" s="261"/>
      <c r="B252" s="1226"/>
      <c r="C252" s="1227"/>
      <c r="D252" s="575"/>
      <c r="E252" s="570"/>
      <c r="F252" s="263"/>
      <c r="G252" s="263"/>
      <c r="H252" s="264"/>
      <c r="I252" s="277"/>
      <c r="J252" s="278"/>
      <c r="K252" s="279"/>
      <c r="L252" s="264"/>
      <c r="M252" s="280"/>
      <c r="N252" s="264"/>
      <c r="O252" s="264"/>
      <c r="P252" s="264"/>
      <c r="Q252" s="264"/>
      <c r="R252" s="264"/>
      <c r="S252" s="262"/>
      <c r="T252" s="291"/>
      <c r="U252" s="264"/>
      <c r="V252" s="292"/>
      <c r="W252" s="292"/>
      <c r="X252" s="280"/>
      <c r="Y252" s="298"/>
    </row>
    <row r="253" spans="1:25" ht="17.25" customHeight="1">
      <c r="A253" s="261"/>
      <c r="B253" s="1226"/>
      <c r="C253" s="1227"/>
      <c r="D253" s="575"/>
      <c r="E253" s="570"/>
      <c r="F253" s="263"/>
      <c r="G253" s="263"/>
      <c r="H253" s="264"/>
      <c r="I253" s="277"/>
      <c r="J253" s="278"/>
      <c r="K253" s="279"/>
      <c r="L253" s="264"/>
      <c r="M253" s="280"/>
      <c r="N253" s="264"/>
      <c r="O253" s="264"/>
      <c r="P253" s="264"/>
      <c r="Q253" s="264"/>
      <c r="R253" s="264"/>
      <c r="S253" s="262"/>
      <c r="T253" s="291"/>
      <c r="U253" s="264"/>
      <c r="V253" s="292"/>
      <c r="W253" s="292"/>
      <c r="X253" s="280"/>
      <c r="Y253" s="298"/>
    </row>
    <row r="254" spans="1:25" ht="17.25" customHeight="1">
      <c r="A254" s="261"/>
      <c r="B254" s="1226"/>
      <c r="C254" s="1227"/>
      <c r="D254" s="575"/>
      <c r="E254" s="570"/>
      <c r="F254" s="263"/>
      <c r="G254" s="263"/>
      <c r="H254" s="264"/>
      <c r="I254" s="277"/>
      <c r="J254" s="278"/>
      <c r="K254" s="279"/>
      <c r="L254" s="264"/>
      <c r="M254" s="280"/>
      <c r="N254" s="264"/>
      <c r="O254" s="264"/>
      <c r="P254" s="264"/>
      <c r="Q254" s="264"/>
      <c r="R254" s="264"/>
      <c r="S254" s="262"/>
      <c r="T254" s="291"/>
      <c r="U254" s="264"/>
      <c r="V254" s="292"/>
      <c r="W254" s="292"/>
      <c r="X254" s="280"/>
      <c r="Y254" s="298"/>
    </row>
    <row r="255" spans="1:25" ht="17.25" customHeight="1">
      <c r="A255" s="261"/>
      <c r="B255" s="1226"/>
      <c r="C255" s="1227"/>
      <c r="D255" s="575"/>
      <c r="E255" s="570"/>
      <c r="F255" s="263"/>
      <c r="G255" s="263"/>
      <c r="H255" s="264"/>
      <c r="I255" s="277"/>
      <c r="J255" s="278"/>
      <c r="K255" s="279"/>
      <c r="L255" s="264"/>
      <c r="M255" s="280"/>
      <c r="N255" s="264"/>
      <c r="O255" s="264"/>
      <c r="P255" s="264"/>
      <c r="Q255" s="264"/>
      <c r="R255" s="264"/>
      <c r="S255" s="262"/>
      <c r="T255" s="291"/>
      <c r="U255" s="264"/>
      <c r="V255" s="292"/>
      <c r="W255" s="292"/>
      <c r="X255" s="280"/>
      <c r="Y255" s="298"/>
    </row>
    <row r="256" spans="1:25" ht="17.25" customHeight="1">
      <c r="A256" s="261"/>
      <c r="B256" s="1226"/>
      <c r="C256" s="1227"/>
      <c r="D256" s="575"/>
      <c r="E256" s="570"/>
      <c r="F256" s="263"/>
      <c r="G256" s="263"/>
      <c r="H256" s="264"/>
      <c r="I256" s="277"/>
      <c r="J256" s="278"/>
      <c r="K256" s="279"/>
      <c r="L256" s="264"/>
      <c r="M256" s="280"/>
      <c r="N256" s="264"/>
      <c r="O256" s="264"/>
      <c r="P256" s="264"/>
      <c r="Q256" s="264"/>
      <c r="R256" s="264"/>
      <c r="S256" s="262"/>
      <c r="T256" s="291"/>
      <c r="U256" s="264"/>
      <c r="V256" s="292"/>
      <c r="W256" s="292"/>
      <c r="X256" s="280"/>
      <c r="Y256" s="298"/>
    </row>
    <row r="257" spans="1:25" ht="17.25" customHeight="1">
      <c r="A257" s="261"/>
      <c r="B257" s="1226"/>
      <c r="C257" s="1227"/>
      <c r="D257" s="575"/>
      <c r="E257" s="570"/>
      <c r="F257" s="263"/>
      <c r="G257" s="263"/>
      <c r="H257" s="264"/>
      <c r="I257" s="277"/>
      <c r="J257" s="278"/>
      <c r="K257" s="279"/>
      <c r="L257" s="264"/>
      <c r="M257" s="280"/>
      <c r="N257" s="264"/>
      <c r="O257" s="264"/>
      <c r="P257" s="264"/>
      <c r="Q257" s="264"/>
      <c r="R257" s="264"/>
      <c r="S257" s="262"/>
      <c r="T257" s="291"/>
      <c r="U257" s="264"/>
      <c r="V257" s="292"/>
      <c r="W257" s="292"/>
      <c r="X257" s="280"/>
      <c r="Y257" s="298"/>
    </row>
    <row r="258" spans="1:25" ht="17.25" customHeight="1">
      <c r="A258" s="261"/>
      <c r="B258" s="1226"/>
      <c r="C258" s="1227"/>
      <c r="D258" s="575"/>
      <c r="E258" s="570"/>
      <c r="F258" s="263"/>
      <c r="G258" s="263"/>
      <c r="H258" s="264"/>
      <c r="I258" s="277"/>
      <c r="J258" s="278"/>
      <c r="K258" s="279"/>
      <c r="L258" s="264"/>
      <c r="M258" s="280"/>
      <c r="N258" s="264"/>
      <c r="O258" s="264"/>
      <c r="P258" s="264"/>
      <c r="Q258" s="264"/>
      <c r="R258" s="264"/>
      <c r="S258" s="262"/>
      <c r="T258" s="291"/>
      <c r="U258" s="264"/>
      <c r="V258" s="292"/>
      <c r="W258" s="292"/>
      <c r="X258" s="280"/>
      <c r="Y258" s="298"/>
    </row>
    <row r="259" spans="1:25" ht="17.25" customHeight="1">
      <c r="A259" s="261"/>
      <c r="B259" s="1226"/>
      <c r="C259" s="1227"/>
      <c r="D259" s="575"/>
      <c r="E259" s="570"/>
      <c r="F259" s="263"/>
      <c r="G259" s="263"/>
      <c r="H259" s="264"/>
      <c r="I259" s="277"/>
      <c r="J259" s="278"/>
      <c r="K259" s="279"/>
      <c r="L259" s="264"/>
      <c r="M259" s="280"/>
      <c r="N259" s="264"/>
      <c r="O259" s="264"/>
      <c r="P259" s="264"/>
      <c r="Q259" s="264"/>
      <c r="R259" s="264"/>
      <c r="S259" s="262"/>
      <c r="T259" s="291"/>
      <c r="U259" s="264"/>
      <c r="V259" s="292"/>
      <c r="W259" s="292"/>
      <c r="X259" s="280"/>
      <c r="Y259" s="298"/>
    </row>
    <row r="260" spans="1:25" ht="17.25" customHeight="1">
      <c r="A260" s="261"/>
      <c r="B260" s="1226"/>
      <c r="C260" s="1227"/>
      <c r="D260" s="575"/>
      <c r="E260" s="570"/>
      <c r="F260" s="263"/>
      <c r="G260" s="263"/>
      <c r="H260" s="264"/>
      <c r="I260" s="277"/>
      <c r="J260" s="278"/>
      <c r="K260" s="279"/>
      <c r="L260" s="264"/>
      <c r="M260" s="280"/>
      <c r="N260" s="264"/>
      <c r="O260" s="264"/>
      <c r="P260" s="264"/>
      <c r="Q260" s="264"/>
      <c r="R260" s="264"/>
      <c r="S260" s="262"/>
      <c r="T260" s="291"/>
      <c r="U260" s="264"/>
      <c r="V260" s="292"/>
      <c r="W260" s="292"/>
      <c r="X260" s="280"/>
      <c r="Y260" s="298"/>
    </row>
    <row r="261" spans="1:25" ht="17.25" customHeight="1">
      <c r="A261" s="261"/>
      <c r="B261" s="1226"/>
      <c r="C261" s="1227"/>
      <c r="D261" s="575"/>
      <c r="E261" s="570"/>
      <c r="F261" s="263"/>
      <c r="G261" s="263"/>
      <c r="H261" s="264"/>
      <c r="I261" s="277"/>
      <c r="J261" s="278"/>
      <c r="K261" s="279"/>
      <c r="L261" s="264"/>
      <c r="M261" s="280"/>
      <c r="N261" s="264"/>
      <c r="O261" s="264"/>
      <c r="P261" s="264"/>
      <c r="Q261" s="264"/>
      <c r="R261" s="264"/>
      <c r="S261" s="262"/>
      <c r="T261" s="291"/>
      <c r="U261" s="264"/>
      <c r="V261" s="292"/>
      <c r="W261" s="292"/>
      <c r="X261" s="280"/>
      <c r="Y261" s="298"/>
    </row>
    <row r="262" spans="1:25" ht="17.25" customHeight="1">
      <c r="A262" s="261"/>
      <c r="B262" s="1226"/>
      <c r="C262" s="1227"/>
      <c r="D262" s="575"/>
      <c r="E262" s="570"/>
      <c r="F262" s="263"/>
      <c r="G262" s="263"/>
      <c r="H262" s="264"/>
      <c r="I262" s="277"/>
      <c r="J262" s="278"/>
      <c r="K262" s="279"/>
      <c r="L262" s="264"/>
      <c r="M262" s="280"/>
      <c r="N262" s="264"/>
      <c r="O262" s="264"/>
      <c r="P262" s="264"/>
      <c r="Q262" s="264"/>
      <c r="R262" s="264"/>
      <c r="S262" s="262"/>
      <c r="T262" s="291"/>
      <c r="U262" s="264"/>
      <c r="V262" s="292"/>
      <c r="W262" s="292"/>
      <c r="X262" s="280"/>
      <c r="Y262" s="298"/>
    </row>
    <row r="263" spans="1:25" ht="17.25" customHeight="1">
      <c r="A263" s="261"/>
      <c r="B263" s="1226"/>
      <c r="C263" s="1227"/>
      <c r="D263" s="575"/>
      <c r="E263" s="570"/>
      <c r="F263" s="263"/>
      <c r="G263" s="263"/>
      <c r="H263" s="264"/>
      <c r="I263" s="277"/>
      <c r="J263" s="278"/>
      <c r="K263" s="279"/>
      <c r="L263" s="264"/>
      <c r="M263" s="280"/>
      <c r="N263" s="264"/>
      <c r="O263" s="264"/>
      <c r="P263" s="264"/>
      <c r="Q263" s="264"/>
      <c r="R263" s="264"/>
      <c r="S263" s="262"/>
      <c r="T263" s="291"/>
      <c r="U263" s="264"/>
      <c r="V263" s="292"/>
      <c r="W263" s="292"/>
      <c r="X263" s="280"/>
      <c r="Y263" s="298"/>
    </row>
    <row r="264" spans="1:25" ht="17.25" customHeight="1">
      <c r="A264" s="261"/>
      <c r="B264" s="1226"/>
      <c r="C264" s="1227"/>
      <c r="D264" s="575"/>
      <c r="E264" s="570"/>
      <c r="F264" s="263"/>
      <c r="G264" s="263"/>
      <c r="H264" s="264"/>
      <c r="I264" s="277"/>
      <c r="J264" s="278"/>
      <c r="K264" s="279"/>
      <c r="L264" s="264"/>
      <c r="M264" s="280"/>
      <c r="N264" s="264"/>
      <c r="O264" s="264"/>
      <c r="P264" s="264"/>
      <c r="Q264" s="264"/>
      <c r="R264" s="264"/>
      <c r="S264" s="262"/>
      <c r="T264" s="291"/>
      <c r="U264" s="264"/>
      <c r="V264" s="292"/>
      <c r="W264" s="292"/>
      <c r="X264" s="280"/>
      <c r="Y264" s="298"/>
    </row>
    <row r="265" spans="1:25" ht="17.25" customHeight="1">
      <c r="A265" s="261"/>
      <c r="B265" s="1226"/>
      <c r="C265" s="1227"/>
      <c r="D265" s="575"/>
      <c r="E265" s="570"/>
      <c r="F265" s="263"/>
      <c r="G265" s="263"/>
      <c r="H265" s="264"/>
      <c r="I265" s="277"/>
      <c r="J265" s="278"/>
      <c r="K265" s="279"/>
      <c r="L265" s="264"/>
      <c r="M265" s="280"/>
      <c r="N265" s="264"/>
      <c r="O265" s="264"/>
      <c r="P265" s="264"/>
      <c r="Q265" s="264"/>
      <c r="R265" s="264"/>
      <c r="S265" s="262"/>
      <c r="T265" s="291"/>
      <c r="U265" s="264"/>
      <c r="V265" s="292"/>
      <c r="W265" s="292"/>
      <c r="X265" s="280"/>
      <c r="Y265" s="298"/>
    </row>
    <row r="266" spans="1:25" ht="17.25" customHeight="1">
      <c r="A266" s="261"/>
      <c r="B266" s="1226"/>
      <c r="C266" s="1227"/>
      <c r="D266" s="575"/>
      <c r="E266" s="570"/>
      <c r="F266" s="263"/>
      <c r="G266" s="263"/>
      <c r="H266" s="264"/>
      <c r="I266" s="277"/>
      <c r="J266" s="278"/>
      <c r="K266" s="279"/>
      <c r="L266" s="264"/>
      <c r="M266" s="280"/>
      <c r="N266" s="264"/>
      <c r="O266" s="264"/>
      <c r="P266" s="264"/>
      <c r="Q266" s="264"/>
      <c r="R266" s="264"/>
      <c r="S266" s="262"/>
      <c r="T266" s="291"/>
      <c r="U266" s="264"/>
      <c r="V266" s="292"/>
      <c r="W266" s="292"/>
      <c r="X266" s="280"/>
      <c r="Y266" s="298"/>
    </row>
    <row r="267" spans="1:25" ht="17.25" customHeight="1">
      <c r="A267" s="261"/>
      <c r="B267" s="1226"/>
      <c r="C267" s="1227"/>
      <c r="D267" s="575"/>
      <c r="E267" s="570"/>
      <c r="F267" s="263"/>
      <c r="G267" s="263"/>
      <c r="H267" s="264"/>
      <c r="I267" s="277"/>
      <c r="J267" s="278"/>
      <c r="K267" s="279"/>
      <c r="L267" s="264"/>
      <c r="M267" s="280"/>
      <c r="N267" s="264"/>
      <c r="O267" s="264"/>
      <c r="P267" s="264"/>
      <c r="Q267" s="264"/>
      <c r="R267" s="264"/>
      <c r="S267" s="262"/>
      <c r="T267" s="291"/>
      <c r="U267" s="264"/>
      <c r="V267" s="292"/>
      <c r="W267" s="292"/>
      <c r="X267" s="280"/>
      <c r="Y267" s="298"/>
    </row>
    <row r="268" spans="1:25" ht="17.25" customHeight="1">
      <c r="A268" s="261"/>
      <c r="B268" s="1226"/>
      <c r="C268" s="1227"/>
      <c r="D268" s="575"/>
      <c r="E268" s="570"/>
      <c r="F268" s="263"/>
      <c r="G268" s="263"/>
      <c r="H268" s="264"/>
      <c r="I268" s="277"/>
      <c r="J268" s="278"/>
      <c r="K268" s="279"/>
      <c r="L268" s="264"/>
      <c r="M268" s="280"/>
      <c r="N268" s="264"/>
      <c r="O268" s="264"/>
      <c r="P268" s="264"/>
      <c r="Q268" s="264"/>
      <c r="R268" s="264"/>
      <c r="S268" s="262"/>
      <c r="T268" s="291"/>
      <c r="U268" s="264"/>
      <c r="V268" s="292"/>
      <c r="W268" s="292"/>
      <c r="X268" s="280"/>
      <c r="Y268" s="298"/>
    </row>
    <row r="269" spans="1:25" ht="17.25" customHeight="1">
      <c r="A269" s="261"/>
      <c r="B269" s="1226"/>
      <c r="C269" s="1227"/>
      <c r="D269" s="575"/>
      <c r="E269" s="570"/>
      <c r="F269" s="263"/>
      <c r="G269" s="263"/>
      <c r="H269" s="264"/>
      <c r="I269" s="277"/>
      <c r="J269" s="278"/>
      <c r="K269" s="279"/>
      <c r="L269" s="264"/>
      <c r="M269" s="280"/>
      <c r="N269" s="279"/>
      <c r="O269" s="279"/>
      <c r="P269" s="279"/>
      <c r="Q269" s="279"/>
      <c r="R269" s="279"/>
      <c r="S269" s="262"/>
      <c r="T269" s="291"/>
      <c r="U269" s="264"/>
      <c r="V269" s="292"/>
      <c r="W269" s="292"/>
      <c r="X269" s="280"/>
      <c r="Y269" s="279"/>
    </row>
    <row r="270" spans="1:25" ht="17.25" customHeight="1">
      <c r="A270" s="261"/>
      <c r="B270" s="1226"/>
      <c r="C270" s="1227"/>
      <c r="D270" s="575"/>
      <c r="E270" s="570"/>
      <c r="F270" s="263"/>
      <c r="G270" s="263"/>
      <c r="H270" s="264"/>
      <c r="I270" s="277"/>
      <c r="J270" s="278"/>
      <c r="K270" s="279"/>
      <c r="L270" s="264"/>
      <c r="M270" s="280"/>
      <c r="N270" s="264"/>
      <c r="O270" s="263"/>
      <c r="P270" s="280"/>
      <c r="Q270" s="263"/>
      <c r="R270" s="290"/>
      <c r="S270" s="262"/>
      <c r="T270" s="291"/>
      <c r="U270" s="264"/>
      <c r="V270" s="292"/>
      <c r="W270" s="292"/>
      <c r="X270" s="280"/>
      <c r="Y270" s="298"/>
    </row>
    <row r="271" spans="1:25" ht="17.25" customHeight="1">
      <c r="A271" s="261"/>
      <c r="B271" s="1226"/>
      <c r="C271" s="1227"/>
      <c r="D271" s="575"/>
      <c r="E271" s="570"/>
      <c r="F271" s="263"/>
      <c r="G271" s="263"/>
      <c r="H271" s="264"/>
      <c r="I271" s="277"/>
      <c r="J271" s="278"/>
      <c r="K271" s="279"/>
      <c r="L271" s="264"/>
      <c r="M271" s="280"/>
      <c r="N271" s="264"/>
      <c r="O271" s="264"/>
      <c r="P271" s="264"/>
      <c r="Q271" s="264"/>
      <c r="R271" s="264"/>
      <c r="S271" s="262"/>
      <c r="T271" s="291"/>
      <c r="U271" s="264"/>
      <c r="V271" s="292"/>
      <c r="W271" s="292"/>
      <c r="X271" s="280"/>
      <c r="Y271" s="298"/>
    </row>
    <row r="272" spans="1:25" ht="17.25" customHeight="1">
      <c r="A272" s="261"/>
      <c r="B272" s="1226"/>
      <c r="C272" s="1227"/>
      <c r="D272" s="575"/>
      <c r="E272" s="570"/>
      <c r="F272" s="263"/>
      <c r="G272" s="263"/>
      <c r="H272" s="264"/>
      <c r="I272" s="277"/>
      <c r="J272" s="278"/>
      <c r="K272" s="279"/>
      <c r="L272" s="264"/>
      <c r="M272" s="280"/>
      <c r="N272" s="264"/>
      <c r="O272" s="264"/>
      <c r="P272" s="264"/>
      <c r="Q272" s="264"/>
      <c r="R272" s="264"/>
      <c r="S272" s="262"/>
      <c r="T272" s="291"/>
      <c r="U272" s="264"/>
      <c r="V272" s="292"/>
      <c r="W272" s="292"/>
      <c r="X272" s="280"/>
      <c r="Y272" s="298"/>
    </row>
    <row r="273" spans="1:25" ht="17.25" customHeight="1">
      <c r="A273" s="261"/>
      <c r="B273" s="1226"/>
      <c r="C273" s="1227"/>
      <c r="D273" s="575"/>
      <c r="E273" s="570"/>
      <c r="F273" s="263"/>
      <c r="G273" s="263"/>
      <c r="H273" s="264"/>
      <c r="I273" s="277"/>
      <c r="J273" s="278"/>
      <c r="K273" s="279"/>
      <c r="L273" s="264"/>
      <c r="M273" s="280"/>
      <c r="N273" s="264"/>
      <c r="O273" s="264"/>
      <c r="P273" s="264"/>
      <c r="Q273" s="264"/>
      <c r="R273" s="264"/>
      <c r="S273" s="262"/>
      <c r="T273" s="291"/>
      <c r="U273" s="264"/>
      <c r="V273" s="292"/>
      <c r="W273" s="292"/>
      <c r="X273" s="280"/>
      <c r="Y273" s="298"/>
    </row>
    <row r="274" spans="1:25" ht="17.25" customHeight="1">
      <c r="A274" s="261"/>
      <c r="B274" s="1226"/>
      <c r="C274" s="1227"/>
      <c r="D274" s="575"/>
      <c r="E274" s="570"/>
      <c r="F274" s="263"/>
      <c r="G274" s="263"/>
      <c r="H274" s="264"/>
      <c r="I274" s="277"/>
      <c r="J274" s="278"/>
      <c r="K274" s="279"/>
      <c r="L274" s="264"/>
      <c r="M274" s="280"/>
      <c r="N274" s="264"/>
      <c r="O274" s="264"/>
      <c r="P274" s="264"/>
      <c r="Q274" s="264"/>
      <c r="R274" s="264"/>
      <c r="S274" s="262"/>
      <c r="T274" s="291"/>
      <c r="U274" s="264"/>
      <c r="V274" s="292"/>
      <c r="W274" s="292"/>
      <c r="X274" s="280"/>
      <c r="Y274" s="298"/>
    </row>
    <row r="275" spans="1:25" ht="17.25" customHeight="1">
      <c r="A275" s="261"/>
      <c r="B275" s="1226"/>
      <c r="C275" s="1227"/>
      <c r="D275" s="575"/>
      <c r="E275" s="570"/>
      <c r="F275" s="263"/>
      <c r="G275" s="263"/>
      <c r="H275" s="264"/>
      <c r="I275" s="277"/>
      <c r="J275" s="278"/>
      <c r="K275" s="279"/>
      <c r="L275" s="264"/>
      <c r="M275" s="280"/>
      <c r="N275" s="264"/>
      <c r="O275" s="264"/>
      <c r="P275" s="264"/>
      <c r="Q275" s="264"/>
      <c r="R275" s="264"/>
      <c r="S275" s="262"/>
      <c r="T275" s="291"/>
      <c r="U275" s="264"/>
      <c r="V275" s="292"/>
      <c r="W275" s="292"/>
      <c r="X275" s="280"/>
      <c r="Y275" s="298"/>
    </row>
    <row r="276" spans="1:25" ht="17.25" customHeight="1">
      <c r="A276" s="261"/>
      <c r="B276" s="1226"/>
      <c r="C276" s="1227"/>
      <c r="D276" s="575"/>
      <c r="E276" s="570"/>
      <c r="F276" s="263"/>
      <c r="G276" s="263"/>
      <c r="H276" s="264"/>
      <c r="I276" s="277"/>
      <c r="J276" s="278"/>
      <c r="K276" s="279"/>
      <c r="L276" s="264"/>
      <c r="M276" s="280"/>
      <c r="N276" s="264"/>
      <c r="O276" s="264"/>
      <c r="P276" s="264"/>
      <c r="Q276" s="264"/>
      <c r="R276" s="264"/>
      <c r="S276" s="262"/>
      <c r="T276" s="291"/>
      <c r="U276" s="264"/>
      <c r="V276" s="292"/>
      <c r="W276" s="292"/>
      <c r="X276" s="280"/>
      <c r="Y276" s="298"/>
    </row>
    <row r="277" spans="1:25" ht="17.25" customHeight="1">
      <c r="A277" s="261"/>
      <c r="B277" s="1226"/>
      <c r="C277" s="1227"/>
      <c r="D277" s="575"/>
      <c r="E277" s="570"/>
      <c r="F277" s="263"/>
      <c r="G277" s="263"/>
      <c r="H277" s="264"/>
      <c r="I277" s="277"/>
      <c r="J277" s="278"/>
      <c r="K277" s="279"/>
      <c r="L277" s="264"/>
      <c r="M277" s="280"/>
      <c r="N277" s="264"/>
      <c r="O277" s="264"/>
      <c r="P277" s="264"/>
      <c r="Q277" s="264"/>
      <c r="R277" s="264"/>
      <c r="S277" s="262"/>
      <c r="T277" s="291"/>
      <c r="U277" s="264"/>
      <c r="V277" s="292"/>
      <c r="W277" s="292"/>
      <c r="X277" s="280"/>
      <c r="Y277" s="298"/>
    </row>
    <row r="278" spans="1:25" ht="17.25" customHeight="1">
      <c r="A278" s="261"/>
      <c r="B278" s="1226"/>
      <c r="C278" s="1227"/>
      <c r="D278" s="575"/>
      <c r="E278" s="570"/>
      <c r="F278" s="263"/>
      <c r="G278" s="263"/>
      <c r="H278" s="264"/>
      <c r="I278" s="277"/>
      <c r="J278" s="278"/>
      <c r="K278" s="279"/>
      <c r="L278" s="264"/>
      <c r="M278" s="280"/>
      <c r="N278" s="264"/>
      <c r="O278" s="264"/>
      <c r="P278" s="264"/>
      <c r="Q278" s="264"/>
      <c r="R278" s="264"/>
      <c r="S278" s="262"/>
      <c r="T278" s="291"/>
      <c r="U278" s="264"/>
      <c r="V278" s="292"/>
      <c r="W278" s="292"/>
      <c r="X278" s="280"/>
      <c r="Y278" s="298"/>
    </row>
    <row r="279" spans="1:25" ht="17.25" customHeight="1">
      <c r="A279" s="261"/>
      <c r="B279" s="1226"/>
      <c r="C279" s="1227"/>
      <c r="D279" s="575"/>
      <c r="E279" s="570"/>
      <c r="F279" s="263"/>
      <c r="G279" s="263"/>
      <c r="H279" s="264"/>
      <c r="I279" s="277"/>
      <c r="J279" s="278"/>
      <c r="K279" s="279"/>
      <c r="L279" s="264"/>
      <c r="M279" s="280"/>
      <c r="N279" s="264"/>
      <c r="O279" s="264"/>
      <c r="P279" s="264"/>
      <c r="Q279" s="264"/>
      <c r="R279" s="264"/>
      <c r="S279" s="262"/>
      <c r="T279" s="291"/>
      <c r="U279" s="264"/>
      <c r="V279" s="292"/>
      <c r="W279" s="292"/>
      <c r="X279" s="280"/>
      <c r="Y279" s="298"/>
    </row>
    <row r="280" spans="1:25" ht="17.25" customHeight="1">
      <c r="A280" s="261"/>
      <c r="B280" s="1226"/>
      <c r="C280" s="1227"/>
      <c r="D280" s="575"/>
      <c r="E280" s="570"/>
      <c r="F280" s="263"/>
      <c r="G280" s="263"/>
      <c r="H280" s="264"/>
      <c r="I280" s="277"/>
      <c r="J280" s="278"/>
      <c r="K280" s="279"/>
      <c r="L280" s="264"/>
      <c r="M280" s="280"/>
      <c r="N280" s="264"/>
      <c r="O280" s="264"/>
      <c r="P280" s="264"/>
      <c r="Q280" s="264"/>
      <c r="R280" s="264"/>
      <c r="S280" s="262"/>
      <c r="T280" s="291"/>
      <c r="U280" s="264"/>
      <c r="V280" s="292"/>
      <c r="W280" s="292"/>
      <c r="X280" s="280"/>
      <c r="Y280" s="298"/>
    </row>
    <row r="281" spans="1:25" ht="17.25" customHeight="1">
      <c r="A281" s="261"/>
      <c r="B281" s="1226"/>
      <c r="C281" s="1227"/>
      <c r="D281" s="575"/>
      <c r="E281" s="570"/>
      <c r="F281" s="263"/>
      <c r="G281" s="263"/>
      <c r="H281" s="264"/>
      <c r="I281" s="277"/>
      <c r="J281" s="278"/>
      <c r="K281" s="279"/>
      <c r="L281" s="264"/>
      <c r="M281" s="280"/>
      <c r="N281" s="278"/>
      <c r="O281" s="278"/>
      <c r="P281" s="278"/>
      <c r="Q281" s="278"/>
      <c r="R281" s="278"/>
      <c r="S281" s="262"/>
      <c r="T281" s="291"/>
      <c r="U281" s="264"/>
      <c r="V281" s="292"/>
      <c r="W281" s="292"/>
      <c r="X281" s="280"/>
      <c r="Y281" s="278"/>
    </row>
    <row r="282" spans="1:25" ht="17.25" customHeight="1">
      <c r="A282" s="261"/>
      <c r="B282" s="1226"/>
      <c r="C282" s="1227"/>
      <c r="D282" s="575"/>
      <c r="E282" s="570"/>
      <c r="F282" s="263"/>
      <c r="G282" s="263"/>
      <c r="H282" s="264"/>
      <c r="I282" s="277"/>
      <c r="J282" s="278"/>
      <c r="K282" s="279"/>
      <c r="L282" s="264"/>
      <c r="M282" s="280"/>
      <c r="N282" s="264"/>
      <c r="O282" s="263"/>
      <c r="P282" s="280"/>
      <c r="Q282" s="263"/>
      <c r="R282" s="290"/>
      <c r="S282" s="262"/>
      <c r="T282" s="291"/>
      <c r="U282" s="264"/>
      <c r="V282" s="292"/>
      <c r="W282" s="292"/>
      <c r="X282" s="280"/>
      <c r="Y282" s="298"/>
    </row>
    <row r="283" spans="1:25" ht="17.25" customHeight="1">
      <c r="A283" s="261"/>
      <c r="B283" s="1226"/>
      <c r="C283" s="1227"/>
      <c r="D283" s="575"/>
      <c r="E283" s="570"/>
      <c r="F283" s="263"/>
      <c r="G283" s="263"/>
      <c r="H283" s="264"/>
      <c r="I283" s="277"/>
      <c r="J283" s="278"/>
      <c r="K283" s="279"/>
      <c r="L283" s="264"/>
      <c r="M283" s="280"/>
      <c r="N283" s="278"/>
      <c r="O283" s="278"/>
      <c r="P283" s="278"/>
      <c r="Q283" s="278"/>
      <c r="R283" s="278"/>
      <c r="S283" s="262"/>
      <c r="T283" s="291"/>
      <c r="U283" s="264"/>
      <c r="V283" s="292"/>
      <c r="W283" s="292"/>
      <c r="X283" s="280"/>
      <c r="Y283" s="278"/>
    </row>
    <row r="284" spans="1:25" ht="17.25" customHeight="1">
      <c r="A284" s="261"/>
      <c r="B284" s="1226"/>
      <c r="C284" s="1227"/>
      <c r="D284" s="575"/>
      <c r="E284" s="570"/>
      <c r="F284" s="263"/>
      <c r="G284" s="263"/>
      <c r="H284" s="264"/>
      <c r="I284" s="277"/>
      <c r="J284" s="278"/>
      <c r="K284" s="279"/>
      <c r="L284" s="264"/>
      <c r="M284" s="280"/>
      <c r="N284" s="264"/>
      <c r="O284" s="263"/>
      <c r="P284" s="280"/>
      <c r="Q284" s="263"/>
      <c r="R284" s="290"/>
      <c r="S284" s="262"/>
      <c r="T284" s="291"/>
      <c r="U284" s="264"/>
      <c r="V284" s="292"/>
      <c r="W284" s="292"/>
      <c r="X284" s="280"/>
      <c r="Y284" s="298"/>
    </row>
    <row r="285" spans="1:25" ht="17.25" customHeight="1">
      <c r="A285" s="261"/>
      <c r="B285" s="1226"/>
      <c r="C285" s="1227"/>
      <c r="D285" s="575"/>
      <c r="E285" s="570"/>
      <c r="F285" s="263"/>
      <c r="G285" s="263"/>
      <c r="H285" s="264"/>
      <c r="I285" s="277"/>
      <c r="J285" s="278"/>
      <c r="K285" s="279"/>
      <c r="L285" s="264"/>
      <c r="M285" s="280"/>
      <c r="N285" s="264"/>
      <c r="O285" s="263"/>
      <c r="P285" s="280"/>
      <c r="Q285" s="263"/>
      <c r="R285" s="290"/>
      <c r="S285" s="262"/>
      <c r="T285" s="291"/>
      <c r="U285" s="264"/>
      <c r="V285" s="292"/>
      <c r="W285" s="292"/>
      <c r="X285" s="280"/>
      <c r="Y285" s="298"/>
    </row>
    <row r="286" spans="1:25" ht="17.25" customHeight="1">
      <c r="A286" s="261"/>
      <c r="B286" s="1226"/>
      <c r="C286" s="1227"/>
      <c r="D286" s="575"/>
      <c r="E286" s="570"/>
      <c r="F286" s="263"/>
      <c r="G286" s="263"/>
      <c r="H286" s="264"/>
      <c r="I286" s="277"/>
      <c r="J286" s="278"/>
      <c r="K286" s="279"/>
      <c r="L286" s="264"/>
      <c r="M286" s="280"/>
      <c r="N286" s="278"/>
      <c r="O286" s="278"/>
      <c r="P286" s="278"/>
      <c r="Q286" s="278"/>
      <c r="R286" s="278"/>
      <c r="S286" s="262"/>
      <c r="T286" s="291"/>
      <c r="U286" s="264"/>
      <c r="V286" s="292"/>
      <c r="W286" s="292"/>
      <c r="X286" s="280"/>
      <c r="Y286" s="278"/>
    </row>
    <row r="287" spans="1:25" ht="17.25" customHeight="1">
      <c r="A287" s="261"/>
      <c r="B287" s="1226"/>
      <c r="C287" s="1227"/>
      <c r="D287" s="575"/>
      <c r="E287" s="570"/>
      <c r="F287" s="263"/>
      <c r="G287" s="263"/>
      <c r="H287" s="264"/>
      <c r="I287" s="277"/>
      <c r="J287" s="278"/>
      <c r="K287" s="279"/>
      <c r="L287" s="264"/>
      <c r="M287" s="280"/>
      <c r="N287" s="264"/>
      <c r="O287" s="263"/>
      <c r="P287" s="280"/>
      <c r="Q287" s="263"/>
      <c r="R287" s="290"/>
      <c r="S287" s="262"/>
      <c r="T287" s="291"/>
      <c r="U287" s="264"/>
      <c r="V287" s="292"/>
      <c r="W287" s="292"/>
      <c r="X287" s="280"/>
      <c r="Y287" s="298"/>
    </row>
    <row r="288" spans="1:25" ht="17.25" customHeight="1">
      <c r="A288" s="261"/>
      <c r="B288" s="1226"/>
      <c r="C288" s="1227"/>
      <c r="D288" s="575"/>
      <c r="E288" s="570"/>
      <c r="F288" s="263"/>
      <c r="G288" s="263"/>
      <c r="H288" s="264"/>
      <c r="I288" s="277"/>
      <c r="J288" s="278"/>
      <c r="K288" s="279"/>
      <c r="L288" s="264"/>
      <c r="M288" s="280"/>
      <c r="N288" s="264"/>
      <c r="O288" s="264"/>
      <c r="P288" s="264"/>
      <c r="Q288" s="264"/>
      <c r="R288" s="264"/>
      <c r="S288" s="262"/>
      <c r="T288" s="291"/>
      <c r="U288" s="264"/>
      <c r="V288" s="292"/>
      <c r="W288" s="292"/>
      <c r="X288" s="280"/>
      <c r="Y288" s="298"/>
    </row>
    <row r="289" spans="1:25" ht="17.25" customHeight="1">
      <c r="A289" s="261"/>
      <c r="B289" s="1226"/>
      <c r="C289" s="1227"/>
      <c r="D289" s="575"/>
      <c r="E289" s="570"/>
      <c r="F289" s="263"/>
      <c r="G289" s="263"/>
      <c r="H289" s="264"/>
      <c r="I289" s="277"/>
      <c r="J289" s="278"/>
      <c r="K289" s="279"/>
      <c r="L289" s="264"/>
      <c r="M289" s="280"/>
      <c r="N289" s="264"/>
      <c r="O289" s="264"/>
      <c r="P289" s="264"/>
      <c r="Q289" s="264"/>
      <c r="R289" s="264"/>
      <c r="S289" s="262"/>
      <c r="T289" s="291"/>
      <c r="U289" s="264"/>
      <c r="V289" s="292"/>
      <c r="W289" s="292"/>
      <c r="X289" s="280"/>
      <c r="Y289" s="298"/>
    </row>
    <row r="290" spans="1:25" ht="17.25" customHeight="1">
      <c r="A290" s="261"/>
      <c r="B290" s="1226"/>
      <c r="C290" s="1227"/>
      <c r="D290" s="575"/>
      <c r="E290" s="570"/>
      <c r="F290" s="263"/>
      <c r="G290" s="263"/>
      <c r="H290" s="264"/>
      <c r="I290" s="277"/>
      <c r="J290" s="278"/>
      <c r="K290" s="279"/>
      <c r="L290" s="264"/>
      <c r="M290" s="280"/>
      <c r="N290" s="264"/>
      <c r="O290" s="264"/>
      <c r="P290" s="264"/>
      <c r="Q290" s="264"/>
      <c r="R290" s="264"/>
      <c r="S290" s="262"/>
      <c r="T290" s="291"/>
      <c r="U290" s="264"/>
      <c r="V290" s="292"/>
      <c r="W290" s="292"/>
      <c r="X290" s="280"/>
      <c r="Y290" s="298"/>
    </row>
    <row r="291" spans="1:25" ht="17.25" customHeight="1">
      <c r="A291" s="261"/>
      <c r="B291" s="1226"/>
      <c r="C291" s="1227"/>
      <c r="D291" s="575"/>
      <c r="E291" s="570"/>
      <c r="F291" s="263"/>
      <c r="G291" s="263"/>
      <c r="H291" s="264"/>
      <c r="I291" s="277"/>
      <c r="J291" s="278"/>
      <c r="K291" s="279"/>
      <c r="L291" s="264"/>
      <c r="M291" s="280"/>
      <c r="N291" s="264"/>
      <c r="O291" s="264"/>
      <c r="P291" s="264"/>
      <c r="Q291" s="264"/>
      <c r="R291" s="264"/>
      <c r="S291" s="262"/>
      <c r="T291" s="291"/>
      <c r="U291" s="264"/>
      <c r="V291" s="292"/>
      <c r="W291" s="292"/>
      <c r="X291" s="280"/>
      <c r="Y291" s="298"/>
    </row>
    <row r="292" spans="1:25" ht="17.25" customHeight="1">
      <c r="A292" s="261"/>
      <c r="B292" s="1226"/>
      <c r="C292" s="1227"/>
      <c r="D292" s="575"/>
      <c r="E292" s="570"/>
      <c r="F292" s="263"/>
      <c r="G292" s="263"/>
      <c r="H292" s="264"/>
      <c r="I292" s="277"/>
      <c r="J292" s="278"/>
      <c r="K292" s="279"/>
      <c r="L292" s="264"/>
      <c r="M292" s="280"/>
      <c r="N292" s="264"/>
      <c r="O292" s="264"/>
      <c r="P292" s="264"/>
      <c r="Q292" s="264"/>
      <c r="R292" s="264"/>
      <c r="S292" s="262"/>
      <c r="T292" s="291"/>
      <c r="U292" s="264"/>
      <c r="V292" s="292"/>
      <c r="W292" s="292"/>
      <c r="X292" s="280"/>
      <c r="Y292" s="298"/>
    </row>
    <row r="293" spans="1:25" ht="17.25" customHeight="1">
      <c r="A293" s="261"/>
      <c r="B293" s="1226"/>
      <c r="C293" s="1227"/>
      <c r="D293" s="575"/>
      <c r="E293" s="570"/>
      <c r="F293" s="263"/>
      <c r="G293" s="263"/>
      <c r="H293" s="264"/>
      <c r="I293" s="277"/>
      <c r="J293" s="278"/>
      <c r="K293" s="279"/>
      <c r="L293" s="264"/>
      <c r="M293" s="280"/>
      <c r="N293" s="264"/>
      <c r="O293" s="264"/>
      <c r="P293" s="264"/>
      <c r="Q293" s="264"/>
      <c r="R293" s="264"/>
      <c r="S293" s="262"/>
      <c r="T293" s="291"/>
      <c r="U293" s="264"/>
      <c r="V293" s="292"/>
      <c r="W293" s="292"/>
      <c r="X293" s="280"/>
      <c r="Y293" s="298"/>
    </row>
    <row r="294" spans="1:25" ht="17.25" customHeight="1">
      <c r="A294" s="261"/>
      <c r="B294" s="1226"/>
      <c r="C294" s="1227"/>
      <c r="D294" s="575"/>
      <c r="E294" s="570"/>
      <c r="F294" s="263"/>
      <c r="G294" s="263"/>
      <c r="H294" s="264"/>
      <c r="I294" s="277"/>
      <c r="J294" s="278"/>
      <c r="K294" s="279"/>
      <c r="L294" s="264"/>
      <c r="M294" s="280"/>
      <c r="N294" s="264"/>
      <c r="O294" s="264"/>
      <c r="P294" s="264"/>
      <c r="Q294" s="264"/>
      <c r="R294" s="264"/>
      <c r="S294" s="262"/>
      <c r="T294" s="291"/>
      <c r="U294" s="264"/>
      <c r="V294" s="292"/>
      <c r="W294" s="292"/>
      <c r="X294" s="280"/>
      <c r="Y294" s="298"/>
    </row>
    <row r="295" spans="1:25" ht="17.25" customHeight="1">
      <c r="A295" s="261"/>
      <c r="B295" s="1226"/>
      <c r="C295" s="1227"/>
      <c r="D295" s="575"/>
      <c r="E295" s="570"/>
      <c r="F295" s="263"/>
      <c r="G295" s="263"/>
      <c r="H295" s="264"/>
      <c r="I295" s="277"/>
      <c r="J295" s="278"/>
      <c r="K295" s="279"/>
      <c r="L295" s="264"/>
      <c r="M295" s="280"/>
      <c r="N295" s="264"/>
      <c r="O295" s="264"/>
      <c r="P295" s="264"/>
      <c r="Q295" s="264"/>
      <c r="R295" s="264"/>
      <c r="S295" s="262"/>
      <c r="T295" s="291"/>
      <c r="U295" s="264"/>
      <c r="V295" s="292"/>
      <c r="W295" s="292"/>
      <c r="X295" s="280"/>
      <c r="Y295" s="298"/>
    </row>
    <row r="296" spans="1:25" ht="17.25" customHeight="1">
      <c r="A296" s="261"/>
      <c r="B296" s="1226"/>
      <c r="C296" s="1227"/>
      <c r="D296" s="575"/>
      <c r="E296" s="570"/>
      <c r="F296" s="263"/>
      <c r="G296" s="263"/>
      <c r="H296" s="264"/>
      <c r="I296" s="277"/>
      <c r="J296" s="278"/>
      <c r="K296" s="279"/>
      <c r="L296" s="264"/>
      <c r="M296" s="280"/>
      <c r="N296" s="264"/>
      <c r="O296" s="264"/>
      <c r="P296" s="264"/>
      <c r="Q296" s="264"/>
      <c r="R296" s="264"/>
      <c r="S296" s="262"/>
      <c r="T296" s="291"/>
      <c r="U296" s="264"/>
      <c r="V296" s="292"/>
      <c r="W296" s="292"/>
      <c r="X296" s="280"/>
      <c r="Y296" s="298"/>
    </row>
    <row r="297" spans="1:25" ht="17.25" customHeight="1">
      <c r="A297" s="261"/>
      <c r="B297" s="1226"/>
      <c r="C297" s="1227"/>
      <c r="D297" s="575"/>
      <c r="E297" s="570"/>
      <c r="F297" s="263"/>
      <c r="G297" s="263"/>
      <c r="H297" s="264"/>
      <c r="I297" s="277"/>
      <c r="J297" s="278"/>
      <c r="K297" s="279"/>
      <c r="L297" s="264"/>
      <c r="M297" s="280"/>
      <c r="N297" s="264"/>
      <c r="O297" s="264"/>
      <c r="P297" s="264"/>
      <c r="Q297" s="264"/>
      <c r="R297" s="264"/>
      <c r="S297" s="262"/>
      <c r="T297" s="291"/>
      <c r="U297" s="264"/>
      <c r="V297" s="292"/>
      <c r="W297" s="292"/>
      <c r="X297" s="280"/>
      <c r="Y297" s="298"/>
    </row>
    <row r="298" spans="1:25" ht="17.25" customHeight="1">
      <c r="A298" s="261"/>
      <c r="B298" s="1226"/>
      <c r="C298" s="1227"/>
      <c r="D298" s="575"/>
      <c r="E298" s="570"/>
      <c r="F298" s="263"/>
      <c r="G298" s="263"/>
      <c r="H298" s="264"/>
      <c r="I298" s="277"/>
      <c r="J298" s="278"/>
      <c r="K298" s="279"/>
      <c r="L298" s="264"/>
      <c r="M298" s="280"/>
      <c r="N298" s="264"/>
      <c r="O298" s="264"/>
      <c r="P298" s="264"/>
      <c r="Q298" s="264"/>
      <c r="R298" s="264"/>
      <c r="S298" s="262"/>
      <c r="T298" s="291"/>
      <c r="U298" s="264"/>
      <c r="V298" s="292"/>
      <c r="W298" s="292"/>
      <c r="X298" s="280"/>
      <c r="Y298" s="298"/>
    </row>
    <row r="299" spans="1:25" ht="17.25" customHeight="1">
      <c r="A299" s="261"/>
      <c r="B299" s="1226"/>
      <c r="C299" s="1227"/>
      <c r="D299" s="575"/>
      <c r="E299" s="570"/>
      <c r="F299" s="263"/>
      <c r="G299" s="263"/>
      <c r="H299" s="264"/>
      <c r="I299" s="277"/>
      <c r="J299" s="278"/>
      <c r="K299" s="279"/>
      <c r="L299" s="264"/>
      <c r="M299" s="280"/>
      <c r="N299" s="264"/>
      <c r="O299" s="264"/>
      <c r="P299" s="264"/>
      <c r="Q299" s="264"/>
      <c r="R299" s="264"/>
      <c r="S299" s="262"/>
      <c r="T299" s="291"/>
      <c r="U299" s="264"/>
      <c r="V299" s="292"/>
      <c r="W299" s="292"/>
      <c r="X299" s="280"/>
      <c r="Y299" s="298"/>
    </row>
    <row r="300" spans="1:25" ht="17.25" customHeight="1">
      <c r="A300" s="261"/>
      <c r="B300" s="1226"/>
      <c r="C300" s="1227"/>
      <c r="D300" s="575"/>
      <c r="E300" s="570"/>
      <c r="F300" s="263"/>
      <c r="G300" s="263"/>
      <c r="H300" s="264"/>
      <c r="I300" s="277"/>
      <c r="J300" s="278"/>
      <c r="K300" s="279"/>
      <c r="L300" s="264"/>
      <c r="M300" s="280"/>
      <c r="N300" s="278"/>
      <c r="O300" s="278"/>
      <c r="P300" s="278"/>
      <c r="Q300" s="278"/>
      <c r="R300" s="278"/>
      <c r="S300" s="262"/>
      <c r="T300" s="291"/>
      <c r="U300" s="264"/>
      <c r="V300" s="292"/>
      <c r="W300" s="292"/>
      <c r="X300" s="280"/>
      <c r="Y300" s="278"/>
    </row>
    <row r="301" spans="1:25" ht="17.25" customHeight="1">
      <c r="A301" s="261"/>
      <c r="B301" s="1226"/>
      <c r="C301" s="1227"/>
      <c r="D301" s="575"/>
      <c r="E301" s="570"/>
      <c r="F301" s="263"/>
      <c r="G301" s="263"/>
      <c r="H301" s="264"/>
      <c r="I301" s="277"/>
      <c r="J301" s="278"/>
      <c r="K301" s="279"/>
      <c r="L301" s="264"/>
      <c r="M301" s="280"/>
      <c r="N301" s="264"/>
      <c r="O301" s="263"/>
      <c r="P301" s="280"/>
      <c r="Q301" s="263"/>
      <c r="R301" s="290"/>
      <c r="S301" s="262"/>
      <c r="T301" s="291"/>
      <c r="U301" s="264"/>
      <c r="V301" s="292"/>
      <c r="W301" s="292"/>
      <c r="X301" s="280"/>
      <c r="Y301" s="298"/>
    </row>
    <row r="302" spans="1:25" ht="17.25" customHeight="1">
      <c r="A302" s="261"/>
      <c r="B302" s="1226"/>
      <c r="C302" s="1227"/>
      <c r="D302" s="575"/>
      <c r="E302" s="570"/>
      <c r="F302" s="263"/>
      <c r="G302" s="263"/>
      <c r="H302" s="264"/>
      <c r="I302" s="277"/>
      <c r="J302" s="278"/>
      <c r="K302" s="279"/>
      <c r="L302" s="264"/>
      <c r="M302" s="280"/>
      <c r="N302" s="264"/>
      <c r="O302" s="264"/>
      <c r="P302" s="264"/>
      <c r="Q302" s="264"/>
      <c r="R302" s="264"/>
      <c r="S302" s="262"/>
      <c r="T302" s="291"/>
      <c r="U302" s="264"/>
      <c r="V302" s="292"/>
      <c r="W302" s="292"/>
      <c r="X302" s="280"/>
      <c r="Y302" s="298"/>
    </row>
    <row r="303" spans="1:25" ht="17.25" customHeight="1">
      <c r="A303" s="261"/>
      <c r="B303" s="1226"/>
      <c r="C303" s="1227"/>
      <c r="D303" s="575"/>
      <c r="E303" s="570"/>
      <c r="F303" s="263"/>
      <c r="G303" s="263"/>
      <c r="H303" s="264"/>
      <c r="I303" s="277"/>
      <c r="J303" s="278"/>
      <c r="K303" s="279"/>
      <c r="L303" s="264"/>
      <c r="M303" s="280"/>
      <c r="N303" s="264"/>
      <c r="O303" s="264"/>
      <c r="P303" s="264"/>
      <c r="Q303" s="264"/>
      <c r="R303" s="264"/>
      <c r="S303" s="262"/>
      <c r="T303" s="291"/>
      <c r="U303" s="264"/>
      <c r="V303" s="292"/>
      <c r="W303" s="292"/>
      <c r="X303" s="280"/>
      <c r="Y303" s="298"/>
    </row>
    <row r="304" spans="1:25" ht="17.25" customHeight="1">
      <c r="A304" s="261"/>
      <c r="B304" s="1226"/>
      <c r="C304" s="1227"/>
      <c r="D304" s="575"/>
      <c r="E304" s="570"/>
      <c r="F304" s="263"/>
      <c r="G304" s="263"/>
      <c r="H304" s="264"/>
      <c r="I304" s="277"/>
      <c r="J304" s="278"/>
      <c r="K304" s="279"/>
      <c r="L304" s="264"/>
      <c r="M304" s="280"/>
      <c r="N304" s="264"/>
      <c r="O304" s="264"/>
      <c r="P304" s="264"/>
      <c r="Q304" s="264"/>
      <c r="R304" s="264"/>
      <c r="S304" s="262"/>
      <c r="T304" s="291"/>
      <c r="U304" s="264"/>
      <c r="V304" s="292"/>
      <c r="W304" s="292"/>
      <c r="X304" s="280"/>
      <c r="Y304" s="298"/>
    </row>
    <row r="305" spans="1:25" ht="17.25" customHeight="1">
      <c r="A305" s="261"/>
      <c r="B305" s="1226"/>
      <c r="C305" s="1227"/>
      <c r="D305" s="575"/>
      <c r="E305" s="570"/>
      <c r="F305" s="263"/>
      <c r="G305" s="263"/>
      <c r="H305" s="264"/>
      <c r="I305" s="277"/>
      <c r="J305" s="278"/>
      <c r="K305" s="279"/>
      <c r="L305" s="264"/>
      <c r="M305" s="280"/>
      <c r="N305" s="264"/>
      <c r="O305" s="264"/>
      <c r="P305" s="264"/>
      <c r="Q305" s="264"/>
      <c r="R305" s="264"/>
      <c r="S305" s="262"/>
      <c r="T305" s="291"/>
      <c r="U305" s="264"/>
      <c r="V305" s="292"/>
      <c r="W305" s="292"/>
      <c r="X305" s="280"/>
      <c r="Y305" s="298"/>
    </row>
    <row r="306" spans="1:25" ht="17.25" customHeight="1">
      <c r="A306" s="261"/>
      <c r="B306" s="1226"/>
      <c r="C306" s="1227"/>
      <c r="D306" s="575"/>
      <c r="E306" s="570"/>
      <c r="F306" s="263"/>
      <c r="G306" s="263"/>
      <c r="H306" s="264"/>
      <c r="I306" s="277"/>
      <c r="J306" s="278"/>
      <c r="K306" s="279"/>
      <c r="L306" s="264"/>
      <c r="M306" s="280"/>
      <c r="N306" s="264"/>
      <c r="O306" s="264"/>
      <c r="P306" s="264"/>
      <c r="Q306" s="264"/>
      <c r="R306" s="264"/>
      <c r="S306" s="262"/>
      <c r="T306" s="291"/>
      <c r="U306" s="264"/>
      <c r="V306" s="292"/>
      <c r="W306" s="292"/>
      <c r="X306" s="280"/>
      <c r="Y306" s="298"/>
    </row>
    <row r="307" spans="1:25" ht="17.25" customHeight="1">
      <c r="A307" s="261"/>
      <c r="B307" s="1226"/>
      <c r="C307" s="1227"/>
      <c r="D307" s="575"/>
      <c r="E307" s="570"/>
      <c r="F307" s="263"/>
      <c r="G307" s="263"/>
      <c r="H307" s="264"/>
      <c r="I307" s="277"/>
      <c r="J307" s="278"/>
      <c r="K307" s="279"/>
      <c r="L307" s="264"/>
      <c r="M307" s="280"/>
      <c r="N307" s="264"/>
      <c r="O307" s="264"/>
      <c r="P307" s="264"/>
      <c r="Q307" s="264"/>
      <c r="R307" s="264"/>
      <c r="S307" s="262"/>
      <c r="T307" s="291"/>
      <c r="U307" s="264"/>
      <c r="V307" s="292"/>
      <c r="W307" s="292"/>
      <c r="X307" s="280"/>
      <c r="Y307" s="298"/>
    </row>
    <row r="308" spans="1:25" ht="17.25" customHeight="1">
      <c r="A308" s="261"/>
      <c r="B308" s="1226"/>
      <c r="C308" s="1227"/>
      <c r="D308" s="575"/>
      <c r="E308" s="570"/>
      <c r="F308" s="263"/>
      <c r="G308" s="263"/>
      <c r="H308" s="264"/>
      <c r="I308" s="277"/>
      <c r="J308" s="278"/>
      <c r="K308" s="279"/>
      <c r="L308" s="264"/>
      <c r="M308" s="280"/>
      <c r="N308" s="264"/>
      <c r="O308" s="264"/>
      <c r="P308" s="264"/>
      <c r="Q308" s="264"/>
      <c r="R308" s="264"/>
      <c r="S308" s="262"/>
      <c r="T308" s="291"/>
      <c r="U308" s="264"/>
      <c r="V308" s="292"/>
      <c r="W308" s="292"/>
      <c r="X308" s="280"/>
      <c r="Y308" s="298"/>
    </row>
    <row r="309" spans="1:25" ht="17.25" customHeight="1">
      <c r="A309" s="261"/>
      <c r="B309" s="1226"/>
      <c r="C309" s="1227"/>
      <c r="D309" s="575"/>
      <c r="E309" s="570"/>
      <c r="F309" s="263"/>
      <c r="G309" s="263"/>
      <c r="H309" s="264"/>
      <c r="I309" s="277"/>
      <c r="J309" s="278"/>
      <c r="K309" s="279"/>
      <c r="L309" s="264"/>
      <c r="M309" s="280"/>
      <c r="N309" s="264"/>
      <c r="O309" s="264"/>
      <c r="P309" s="264"/>
      <c r="Q309" s="264"/>
      <c r="R309" s="264"/>
      <c r="S309" s="262"/>
      <c r="T309" s="291"/>
      <c r="U309" s="264"/>
      <c r="V309" s="292"/>
      <c r="W309" s="292"/>
      <c r="X309" s="280"/>
      <c r="Y309" s="298"/>
    </row>
    <row r="310" spans="1:25" ht="17.25" customHeight="1">
      <c r="A310" s="261"/>
      <c r="B310" s="1226"/>
      <c r="C310" s="1227"/>
      <c r="D310" s="575"/>
      <c r="E310" s="570"/>
      <c r="F310" s="263"/>
      <c r="G310" s="263"/>
      <c r="H310" s="264"/>
      <c r="I310" s="277"/>
      <c r="J310" s="278"/>
      <c r="K310" s="279"/>
      <c r="L310" s="264"/>
      <c r="M310" s="280"/>
      <c r="N310" s="264"/>
      <c r="O310" s="264"/>
      <c r="P310" s="264"/>
      <c r="Q310" s="264"/>
      <c r="R310" s="264"/>
      <c r="S310" s="262"/>
      <c r="T310" s="291"/>
      <c r="U310" s="264"/>
      <c r="V310" s="292"/>
      <c r="W310" s="292"/>
      <c r="X310" s="280"/>
      <c r="Y310" s="298"/>
    </row>
    <row r="311" spans="1:25" ht="17.25" customHeight="1">
      <c r="A311" s="261"/>
      <c r="B311" s="1226"/>
      <c r="C311" s="1227"/>
      <c r="D311" s="575"/>
      <c r="E311" s="570"/>
      <c r="F311" s="263"/>
      <c r="G311" s="263"/>
      <c r="H311" s="264"/>
      <c r="I311" s="277"/>
      <c r="J311" s="278"/>
      <c r="K311" s="279"/>
      <c r="L311" s="264"/>
      <c r="M311" s="280"/>
      <c r="N311" s="264"/>
      <c r="O311" s="264"/>
      <c r="P311" s="264"/>
      <c r="Q311" s="264"/>
      <c r="R311" s="264"/>
      <c r="S311" s="262"/>
      <c r="T311" s="291"/>
      <c r="U311" s="264"/>
      <c r="V311" s="292"/>
      <c r="W311" s="292"/>
      <c r="X311" s="280"/>
      <c r="Y311" s="298"/>
    </row>
    <row r="312" spans="1:25" ht="17.25" customHeight="1">
      <c r="A312" s="261"/>
      <c r="B312" s="1226"/>
      <c r="C312" s="1227"/>
      <c r="D312" s="575"/>
      <c r="E312" s="570"/>
      <c r="F312" s="263"/>
      <c r="G312" s="263"/>
      <c r="H312" s="264"/>
      <c r="I312" s="277"/>
      <c r="J312" s="278"/>
      <c r="K312" s="279"/>
      <c r="L312" s="264"/>
      <c r="M312" s="280"/>
      <c r="N312" s="264"/>
      <c r="O312" s="264"/>
      <c r="P312" s="264"/>
      <c r="Q312" s="264"/>
      <c r="R312" s="264"/>
      <c r="S312" s="262"/>
      <c r="T312" s="291"/>
      <c r="U312" s="264"/>
      <c r="V312" s="292"/>
      <c r="W312" s="292"/>
      <c r="X312" s="280"/>
      <c r="Y312" s="298"/>
    </row>
    <row r="313" spans="1:25" ht="17.25" customHeight="1">
      <c r="A313" s="261"/>
      <c r="B313" s="1226"/>
      <c r="C313" s="1227"/>
      <c r="D313" s="575"/>
      <c r="E313" s="570"/>
      <c r="F313" s="263"/>
      <c r="G313" s="263"/>
      <c r="H313" s="264"/>
      <c r="I313" s="277"/>
      <c r="J313" s="278"/>
      <c r="K313" s="279"/>
      <c r="L313" s="264"/>
      <c r="M313" s="280"/>
      <c r="N313" s="264"/>
      <c r="O313" s="264"/>
      <c r="P313" s="264"/>
      <c r="Q313" s="264"/>
      <c r="R313" s="264"/>
      <c r="S313" s="262"/>
      <c r="T313" s="291"/>
      <c r="U313" s="264"/>
      <c r="V313" s="292"/>
      <c r="W313" s="292"/>
      <c r="X313" s="280"/>
      <c r="Y313" s="298"/>
    </row>
    <row r="314" spans="1:25" ht="17.25" customHeight="1">
      <c r="A314" s="261"/>
      <c r="B314" s="1226"/>
      <c r="C314" s="1227"/>
      <c r="D314" s="575"/>
      <c r="E314" s="570"/>
      <c r="F314" s="263"/>
      <c r="G314" s="263"/>
      <c r="H314" s="264"/>
      <c r="I314" s="277"/>
      <c r="J314" s="278"/>
      <c r="K314" s="279"/>
      <c r="L314" s="264"/>
      <c r="M314" s="280"/>
      <c r="N314" s="278"/>
      <c r="O314" s="278"/>
      <c r="P314" s="278"/>
      <c r="Q314" s="278"/>
      <c r="R314" s="278"/>
      <c r="S314" s="262"/>
      <c r="T314" s="291"/>
      <c r="U314" s="264"/>
      <c r="V314" s="292"/>
      <c r="W314" s="292"/>
      <c r="X314" s="280"/>
      <c r="Y314" s="298"/>
    </row>
    <row r="315" spans="1:25" ht="17.25" customHeight="1">
      <c r="A315" s="261"/>
      <c r="B315" s="1226"/>
      <c r="C315" s="1227"/>
      <c r="D315" s="575"/>
      <c r="E315" s="570"/>
      <c r="F315" s="263"/>
      <c r="G315" s="263"/>
      <c r="H315" s="264"/>
      <c r="I315" s="277"/>
      <c r="J315" s="278"/>
      <c r="K315" s="279"/>
      <c r="L315" s="264"/>
      <c r="M315" s="280"/>
      <c r="N315" s="264"/>
      <c r="O315" s="263"/>
      <c r="P315" s="280"/>
      <c r="Q315" s="263"/>
      <c r="R315" s="290"/>
      <c r="S315" s="262"/>
      <c r="T315" s="291"/>
      <c r="U315" s="264"/>
      <c r="V315" s="292"/>
      <c r="W315" s="292"/>
      <c r="X315" s="280"/>
      <c r="Y315" s="298"/>
    </row>
    <row r="316" spans="1:25" ht="17.25" customHeight="1">
      <c r="A316" s="261"/>
      <c r="B316" s="1226"/>
      <c r="C316" s="1227"/>
      <c r="D316" s="575"/>
      <c r="E316" s="570"/>
      <c r="F316" s="263"/>
      <c r="G316" s="263"/>
      <c r="H316" s="264"/>
      <c r="I316" s="277"/>
      <c r="J316" s="278"/>
      <c r="K316" s="279"/>
      <c r="L316" s="264"/>
      <c r="M316" s="280"/>
      <c r="N316" s="264"/>
      <c r="O316" s="264"/>
      <c r="P316" s="264"/>
      <c r="Q316" s="264"/>
      <c r="R316" s="264"/>
      <c r="S316" s="262"/>
      <c r="T316" s="291"/>
      <c r="U316" s="264"/>
      <c r="V316" s="292"/>
      <c r="W316" s="292"/>
      <c r="X316" s="280"/>
      <c r="Y316" s="298"/>
    </row>
    <row r="317" spans="1:25" ht="17.25" customHeight="1">
      <c r="A317" s="261"/>
      <c r="B317" s="1226"/>
      <c r="C317" s="1227"/>
      <c r="D317" s="575"/>
      <c r="E317" s="570"/>
      <c r="F317" s="263"/>
      <c r="G317" s="263"/>
      <c r="H317" s="264"/>
      <c r="I317" s="277"/>
      <c r="J317" s="278"/>
      <c r="K317" s="279"/>
      <c r="L317" s="264"/>
      <c r="M317" s="280"/>
      <c r="N317" s="264"/>
      <c r="O317" s="264"/>
      <c r="P317" s="264"/>
      <c r="Q317" s="264"/>
      <c r="R317" s="264"/>
      <c r="S317" s="262"/>
      <c r="T317" s="291"/>
      <c r="U317" s="264"/>
      <c r="V317" s="292"/>
      <c r="W317" s="292"/>
      <c r="X317" s="280"/>
      <c r="Y317" s="298"/>
    </row>
    <row r="318" spans="1:25" ht="17.25" customHeight="1">
      <c r="A318" s="261"/>
      <c r="B318" s="1226"/>
      <c r="C318" s="1227"/>
      <c r="D318" s="575"/>
      <c r="E318" s="570"/>
      <c r="F318" s="263"/>
      <c r="G318" s="263"/>
      <c r="H318" s="264"/>
      <c r="I318" s="277"/>
      <c r="J318" s="278"/>
      <c r="K318" s="279"/>
      <c r="L318" s="264"/>
      <c r="M318" s="280"/>
      <c r="N318" s="264"/>
      <c r="O318" s="264"/>
      <c r="P318" s="264"/>
      <c r="Q318" s="264"/>
      <c r="R318" s="264"/>
      <c r="S318" s="262"/>
      <c r="T318" s="291"/>
      <c r="U318" s="264"/>
      <c r="V318" s="292"/>
      <c r="W318" s="292"/>
      <c r="X318" s="280"/>
      <c r="Y318" s="298"/>
    </row>
    <row r="319" spans="1:25" ht="17.25" customHeight="1">
      <c r="A319" s="261"/>
      <c r="B319" s="1226"/>
      <c r="C319" s="1227"/>
      <c r="D319" s="575"/>
      <c r="E319" s="570"/>
      <c r="F319" s="263"/>
      <c r="G319" s="263"/>
      <c r="H319" s="264"/>
      <c r="I319" s="277"/>
      <c r="J319" s="278"/>
      <c r="K319" s="279"/>
      <c r="L319" s="264"/>
      <c r="M319" s="280"/>
      <c r="N319" s="264"/>
      <c r="O319" s="263"/>
      <c r="P319" s="280"/>
      <c r="Q319" s="263"/>
      <c r="R319" s="290"/>
      <c r="S319" s="262"/>
      <c r="T319" s="291"/>
      <c r="U319" s="264"/>
      <c r="V319" s="292"/>
      <c r="W319" s="292"/>
      <c r="X319" s="280"/>
      <c r="Y319" s="298"/>
    </row>
    <row r="320" spans="1:25" ht="17.25" customHeight="1">
      <c r="A320" s="261"/>
      <c r="B320" s="1226"/>
      <c r="C320" s="1227"/>
      <c r="D320" s="575"/>
      <c r="E320" s="570"/>
      <c r="F320" s="263"/>
      <c r="G320" s="263"/>
      <c r="H320" s="264"/>
      <c r="I320" s="277"/>
      <c r="J320" s="278"/>
      <c r="K320" s="279"/>
      <c r="L320" s="264"/>
      <c r="M320" s="280"/>
      <c r="N320" s="278"/>
      <c r="O320" s="278"/>
      <c r="P320" s="278"/>
      <c r="Q320" s="278"/>
      <c r="R320" s="278"/>
      <c r="S320" s="262"/>
      <c r="T320" s="291"/>
      <c r="U320" s="264"/>
      <c r="V320" s="292"/>
      <c r="W320" s="292"/>
      <c r="X320" s="280"/>
      <c r="Y320" s="264"/>
    </row>
    <row r="321" spans="1:25" ht="17.25" customHeight="1">
      <c r="A321" s="261"/>
      <c r="B321" s="1226"/>
      <c r="C321" s="1227"/>
      <c r="D321" s="575"/>
      <c r="E321" s="570"/>
      <c r="F321" s="263"/>
      <c r="G321" s="263"/>
      <c r="H321" s="264"/>
      <c r="I321" s="277"/>
      <c r="J321" s="278"/>
      <c r="K321" s="279"/>
      <c r="L321" s="264"/>
      <c r="M321" s="280"/>
      <c r="N321" s="264"/>
      <c r="O321" s="263"/>
      <c r="P321" s="280"/>
      <c r="Q321" s="263"/>
      <c r="R321" s="290"/>
      <c r="S321" s="262"/>
      <c r="T321" s="291"/>
      <c r="U321" s="264"/>
      <c r="V321" s="292"/>
      <c r="W321" s="292"/>
      <c r="X321" s="280"/>
      <c r="Y321" s="298"/>
    </row>
    <row r="322" spans="1:25" ht="17.25" customHeight="1">
      <c r="A322" s="261"/>
      <c r="B322" s="1226"/>
      <c r="C322" s="1227"/>
      <c r="D322" s="575"/>
      <c r="E322" s="570"/>
      <c r="F322" s="263"/>
      <c r="G322" s="263"/>
      <c r="H322" s="264"/>
      <c r="I322" s="277"/>
      <c r="J322" s="278"/>
      <c r="K322" s="279"/>
      <c r="L322" s="264"/>
      <c r="M322" s="280"/>
      <c r="N322" s="264"/>
      <c r="O322" s="264"/>
      <c r="P322" s="264"/>
      <c r="Q322" s="264"/>
      <c r="R322" s="264"/>
      <c r="S322" s="262"/>
      <c r="T322" s="291"/>
      <c r="U322" s="264"/>
      <c r="V322" s="292"/>
      <c r="W322" s="292"/>
      <c r="X322" s="280"/>
      <c r="Y322" s="298"/>
    </row>
    <row r="323" spans="1:25" ht="17.25" customHeight="1">
      <c r="A323" s="261"/>
      <c r="B323" s="1226"/>
      <c r="C323" s="1227"/>
      <c r="D323" s="575"/>
      <c r="E323" s="570"/>
      <c r="F323" s="263"/>
      <c r="G323" s="263"/>
      <c r="H323" s="264"/>
      <c r="I323" s="277"/>
      <c r="J323" s="278"/>
      <c r="K323" s="279"/>
      <c r="L323" s="264"/>
      <c r="M323" s="280"/>
      <c r="N323" s="264"/>
      <c r="O323" s="264"/>
      <c r="P323" s="264"/>
      <c r="Q323" s="264"/>
      <c r="R323" s="264"/>
      <c r="S323" s="262"/>
      <c r="T323" s="291"/>
      <c r="U323" s="264"/>
      <c r="V323" s="292"/>
      <c r="W323" s="292"/>
      <c r="X323" s="280"/>
      <c r="Y323" s="298"/>
    </row>
    <row r="324" spans="1:25" ht="17.25" customHeight="1">
      <c r="A324" s="261"/>
      <c r="B324" s="1226"/>
      <c r="C324" s="1227"/>
      <c r="D324" s="575"/>
      <c r="E324" s="570"/>
      <c r="F324" s="263"/>
      <c r="G324" s="263"/>
      <c r="H324" s="264"/>
      <c r="I324" s="277"/>
      <c r="J324" s="278"/>
      <c r="K324" s="279"/>
      <c r="L324" s="264"/>
      <c r="M324" s="280"/>
      <c r="N324" s="264"/>
      <c r="O324" s="264"/>
      <c r="P324" s="264"/>
      <c r="Q324" s="264"/>
      <c r="R324" s="264"/>
      <c r="S324" s="262"/>
      <c r="T324" s="291"/>
      <c r="U324" s="264"/>
      <c r="V324" s="292"/>
      <c r="W324" s="292"/>
      <c r="X324" s="280"/>
      <c r="Y324" s="298"/>
    </row>
    <row r="325" spans="1:25" ht="17.25" customHeight="1">
      <c r="A325" s="261"/>
      <c r="B325" s="1226"/>
      <c r="C325" s="1227"/>
      <c r="D325" s="575"/>
      <c r="E325" s="570"/>
      <c r="F325" s="263"/>
      <c r="G325" s="263"/>
      <c r="H325" s="264"/>
      <c r="I325" s="277"/>
      <c r="J325" s="278"/>
      <c r="K325" s="279"/>
      <c r="L325" s="264"/>
      <c r="M325" s="280"/>
      <c r="N325" s="264"/>
      <c r="O325" s="264"/>
      <c r="P325" s="264"/>
      <c r="Q325" s="264"/>
      <c r="R325" s="264"/>
      <c r="S325" s="262"/>
      <c r="T325" s="291"/>
      <c r="U325" s="264"/>
      <c r="V325" s="292"/>
      <c r="W325" s="292"/>
      <c r="X325" s="280"/>
      <c r="Y325" s="298"/>
    </row>
    <row r="326" spans="1:25" ht="17.25" customHeight="1">
      <c r="A326" s="261"/>
      <c r="B326" s="1226"/>
      <c r="C326" s="1227"/>
      <c r="D326" s="575"/>
      <c r="E326" s="570"/>
      <c r="F326" s="263"/>
      <c r="G326" s="263"/>
      <c r="H326" s="264"/>
      <c r="I326" s="277"/>
      <c r="J326" s="278"/>
      <c r="K326" s="279"/>
      <c r="L326" s="264"/>
      <c r="M326" s="280"/>
      <c r="N326" s="264"/>
      <c r="O326" s="264"/>
      <c r="P326" s="264"/>
      <c r="Q326" s="264"/>
      <c r="R326" s="264"/>
      <c r="S326" s="262"/>
      <c r="T326" s="291"/>
      <c r="U326" s="264"/>
      <c r="V326" s="292"/>
      <c r="W326" s="292"/>
      <c r="X326" s="280"/>
      <c r="Y326" s="298"/>
    </row>
    <row r="327" spans="1:25" ht="17.25" customHeight="1">
      <c r="A327" s="261"/>
      <c r="B327" s="1226"/>
      <c r="C327" s="1227"/>
      <c r="D327" s="575"/>
      <c r="E327" s="570"/>
      <c r="F327" s="263"/>
      <c r="G327" s="263"/>
      <c r="H327" s="264"/>
      <c r="I327" s="277"/>
      <c r="J327" s="278"/>
      <c r="K327" s="279"/>
      <c r="L327" s="264"/>
      <c r="M327" s="280"/>
      <c r="N327" s="264"/>
      <c r="O327" s="264"/>
      <c r="P327" s="264"/>
      <c r="Q327" s="264"/>
      <c r="R327" s="264"/>
      <c r="S327" s="262"/>
      <c r="T327" s="291"/>
      <c r="U327" s="264"/>
      <c r="V327" s="292"/>
      <c r="W327" s="292"/>
      <c r="X327" s="280"/>
      <c r="Y327" s="298"/>
    </row>
    <row r="328" spans="1:25" ht="17.25" customHeight="1">
      <c r="A328" s="261"/>
      <c r="B328" s="1226"/>
      <c r="C328" s="1227"/>
      <c r="D328" s="575"/>
      <c r="E328" s="570"/>
      <c r="F328" s="263"/>
      <c r="G328" s="263"/>
      <c r="H328" s="264"/>
      <c r="I328" s="277"/>
      <c r="J328" s="278"/>
      <c r="K328" s="279"/>
      <c r="L328" s="264"/>
      <c r="M328" s="280"/>
      <c r="N328" s="264"/>
      <c r="O328" s="264"/>
      <c r="P328" s="264"/>
      <c r="Q328" s="264"/>
      <c r="R328" s="264"/>
      <c r="S328" s="262"/>
      <c r="T328" s="291"/>
      <c r="U328" s="264"/>
      <c r="V328" s="292"/>
      <c r="W328" s="292"/>
      <c r="X328" s="280"/>
      <c r="Y328" s="298"/>
    </row>
    <row r="329" spans="1:25" ht="17.25" customHeight="1">
      <c r="A329" s="261"/>
      <c r="B329" s="1226"/>
      <c r="C329" s="1227"/>
      <c r="D329" s="575"/>
      <c r="E329" s="570"/>
      <c r="F329" s="263"/>
      <c r="G329" s="263"/>
      <c r="H329" s="264"/>
      <c r="I329" s="277"/>
      <c r="J329" s="278"/>
      <c r="K329" s="279"/>
      <c r="L329" s="264"/>
      <c r="M329" s="280"/>
      <c r="N329" s="264"/>
      <c r="O329" s="264"/>
      <c r="P329" s="264"/>
      <c r="Q329" s="264"/>
      <c r="R329" s="264"/>
      <c r="S329" s="262"/>
      <c r="T329" s="291"/>
      <c r="U329" s="264"/>
      <c r="V329" s="292"/>
      <c r="W329" s="292"/>
      <c r="X329" s="280"/>
      <c r="Y329" s="298"/>
    </row>
    <row r="330" spans="1:25" ht="17.25" customHeight="1">
      <c r="A330" s="261"/>
      <c r="B330" s="1226"/>
      <c r="C330" s="1227"/>
      <c r="D330" s="575"/>
      <c r="E330" s="570"/>
      <c r="F330" s="263"/>
      <c r="G330" s="263"/>
      <c r="H330" s="264"/>
      <c r="I330" s="277"/>
      <c r="J330" s="278"/>
      <c r="K330" s="279"/>
      <c r="L330" s="264"/>
      <c r="M330" s="280"/>
      <c r="N330" s="264"/>
      <c r="O330" s="264"/>
      <c r="P330" s="264"/>
      <c r="Q330" s="264"/>
      <c r="R330" s="264"/>
      <c r="S330" s="262"/>
      <c r="T330" s="291"/>
      <c r="U330" s="264"/>
      <c r="V330" s="292"/>
      <c r="W330" s="292"/>
      <c r="X330" s="280"/>
      <c r="Y330" s="298"/>
    </row>
    <row r="331" spans="1:25" ht="17.25" customHeight="1">
      <c r="A331" s="261"/>
      <c r="B331" s="1226"/>
      <c r="C331" s="1227"/>
      <c r="D331" s="575"/>
      <c r="E331" s="570"/>
      <c r="F331" s="263"/>
      <c r="G331" s="263"/>
      <c r="H331" s="264"/>
      <c r="I331" s="277"/>
      <c r="J331" s="278"/>
      <c r="K331" s="279"/>
      <c r="L331" s="264"/>
      <c r="M331" s="280"/>
      <c r="N331" s="264"/>
      <c r="O331" s="264"/>
      <c r="P331" s="264"/>
      <c r="Q331" s="264"/>
      <c r="R331" s="264"/>
      <c r="S331" s="262"/>
      <c r="T331" s="291"/>
      <c r="U331" s="264"/>
      <c r="V331" s="292"/>
      <c r="W331" s="292"/>
      <c r="X331" s="280"/>
      <c r="Y331" s="298"/>
    </row>
    <row r="332" spans="1:25" ht="17.25" customHeight="1">
      <c r="A332" s="261"/>
      <c r="B332" s="1226"/>
      <c r="C332" s="1227"/>
      <c r="D332" s="575"/>
      <c r="E332" s="570"/>
      <c r="F332" s="263"/>
      <c r="G332" s="263"/>
      <c r="H332" s="264"/>
      <c r="I332" s="277"/>
      <c r="J332" s="278"/>
      <c r="K332" s="279"/>
      <c r="L332" s="264"/>
      <c r="M332" s="280"/>
      <c r="N332" s="264"/>
      <c r="O332" s="263"/>
      <c r="P332" s="280"/>
      <c r="Q332" s="263"/>
      <c r="R332" s="290"/>
      <c r="S332" s="262"/>
      <c r="T332" s="291"/>
      <c r="U332" s="264"/>
      <c r="V332" s="292"/>
      <c r="W332" s="292"/>
      <c r="X332" s="280"/>
      <c r="Y332" s="298"/>
    </row>
    <row r="333" spans="1:25" ht="17.25" customHeight="1">
      <c r="A333" s="261"/>
      <c r="B333" s="1226"/>
      <c r="C333" s="1227"/>
      <c r="D333" s="575"/>
      <c r="E333" s="570"/>
      <c r="F333" s="263"/>
      <c r="G333" s="263"/>
      <c r="H333" s="264"/>
      <c r="I333" s="277"/>
      <c r="J333" s="278"/>
      <c r="K333" s="279"/>
      <c r="L333" s="264"/>
      <c r="M333" s="280"/>
      <c r="N333" s="264"/>
      <c r="O333" s="264"/>
      <c r="P333" s="264"/>
      <c r="Q333" s="264"/>
      <c r="R333" s="264"/>
      <c r="S333" s="262"/>
      <c r="T333" s="291"/>
      <c r="U333" s="264"/>
      <c r="V333" s="292"/>
      <c r="W333" s="292"/>
      <c r="X333" s="280"/>
      <c r="Y333" s="298"/>
    </row>
    <row r="334" spans="1:25" ht="17.25" customHeight="1">
      <c r="A334" s="261"/>
      <c r="B334" s="1226"/>
      <c r="C334" s="1227"/>
      <c r="D334" s="575"/>
      <c r="E334" s="570"/>
      <c r="F334" s="263"/>
      <c r="G334" s="263"/>
      <c r="H334" s="264"/>
      <c r="I334" s="277"/>
      <c r="J334" s="278"/>
      <c r="K334" s="279"/>
      <c r="L334" s="264"/>
      <c r="M334" s="280"/>
      <c r="N334" s="264"/>
      <c r="O334" s="264"/>
      <c r="P334" s="264"/>
      <c r="Q334" s="264"/>
      <c r="R334" s="264"/>
      <c r="S334" s="262"/>
      <c r="T334" s="291"/>
      <c r="U334" s="264"/>
      <c r="V334" s="292"/>
      <c r="W334" s="292"/>
      <c r="X334" s="280"/>
      <c r="Y334" s="298"/>
    </row>
    <row r="335" spans="1:25" ht="17.25" customHeight="1">
      <c r="A335" s="261"/>
      <c r="B335" s="1226"/>
      <c r="C335" s="1227"/>
      <c r="D335" s="575"/>
      <c r="E335" s="570"/>
      <c r="F335" s="263"/>
      <c r="G335" s="263"/>
      <c r="H335" s="264"/>
      <c r="I335" s="277"/>
      <c r="J335" s="278"/>
      <c r="K335" s="279"/>
      <c r="L335" s="264"/>
      <c r="M335" s="280"/>
      <c r="N335" s="264"/>
      <c r="O335" s="264"/>
      <c r="P335" s="264"/>
      <c r="Q335" s="264"/>
      <c r="R335" s="264"/>
      <c r="S335" s="262"/>
      <c r="T335" s="291"/>
      <c r="U335" s="264"/>
      <c r="V335" s="292"/>
      <c r="W335" s="292"/>
      <c r="X335" s="280"/>
      <c r="Y335" s="298"/>
    </row>
    <row r="336" spans="1:25" ht="17.25" customHeight="1">
      <c r="A336" s="261"/>
      <c r="B336" s="1226"/>
      <c r="C336" s="1227"/>
      <c r="D336" s="575"/>
      <c r="E336" s="570"/>
      <c r="F336" s="263"/>
      <c r="G336" s="263"/>
      <c r="H336" s="264"/>
      <c r="I336" s="277"/>
      <c r="J336" s="278"/>
      <c r="K336" s="279"/>
      <c r="L336" s="264"/>
      <c r="M336" s="280"/>
      <c r="N336" s="264"/>
      <c r="O336" s="263"/>
      <c r="P336" s="280"/>
      <c r="Q336" s="263"/>
      <c r="R336" s="290"/>
      <c r="S336" s="262"/>
      <c r="T336" s="291"/>
      <c r="U336" s="264"/>
      <c r="V336" s="292"/>
      <c r="W336" s="292"/>
      <c r="X336" s="280"/>
      <c r="Y336" s="298"/>
    </row>
    <row r="337" spans="1:25" ht="17.25" customHeight="1">
      <c r="A337" s="261"/>
      <c r="B337" s="1226"/>
      <c r="C337" s="1227"/>
      <c r="D337" s="575"/>
      <c r="E337" s="570"/>
      <c r="F337" s="263"/>
      <c r="G337" s="263"/>
      <c r="H337" s="264"/>
      <c r="I337" s="277"/>
      <c r="J337" s="278"/>
      <c r="K337" s="279"/>
      <c r="L337" s="264"/>
      <c r="M337" s="280"/>
      <c r="N337" s="264"/>
      <c r="O337" s="264"/>
      <c r="P337" s="264"/>
      <c r="Q337" s="264"/>
      <c r="R337" s="264"/>
      <c r="S337" s="262"/>
      <c r="T337" s="291"/>
      <c r="U337" s="264"/>
      <c r="V337" s="292"/>
      <c r="W337" s="292"/>
      <c r="X337" s="280"/>
      <c r="Y337" s="298"/>
    </row>
    <row r="338" spans="1:25" ht="17.25" customHeight="1">
      <c r="A338" s="261"/>
      <c r="B338" s="1226"/>
      <c r="C338" s="1227"/>
      <c r="D338" s="575"/>
      <c r="E338" s="570"/>
      <c r="F338" s="263"/>
      <c r="G338" s="263"/>
      <c r="H338" s="264"/>
      <c r="I338" s="277"/>
      <c r="J338" s="278"/>
      <c r="K338" s="279"/>
      <c r="L338" s="264"/>
      <c r="M338" s="280"/>
      <c r="N338" s="264"/>
      <c r="O338" s="264"/>
      <c r="P338" s="264"/>
      <c r="Q338" s="264"/>
      <c r="R338" s="264"/>
      <c r="S338" s="262"/>
      <c r="T338" s="291"/>
      <c r="U338" s="264"/>
      <c r="V338" s="292"/>
      <c r="W338" s="292"/>
      <c r="X338" s="280"/>
      <c r="Y338" s="298"/>
    </row>
    <row r="339" spans="1:25" ht="17.25" customHeight="1">
      <c r="A339" s="261"/>
      <c r="B339" s="1226"/>
      <c r="C339" s="1227"/>
      <c r="D339" s="575"/>
      <c r="E339" s="570"/>
      <c r="F339" s="263"/>
      <c r="G339" s="263"/>
      <c r="H339" s="264"/>
      <c r="I339" s="277"/>
      <c r="J339" s="278"/>
      <c r="K339" s="279"/>
      <c r="L339" s="264"/>
      <c r="M339" s="280"/>
      <c r="N339" s="264"/>
      <c r="O339" s="264"/>
      <c r="P339" s="316"/>
      <c r="Q339" s="264"/>
      <c r="R339" s="264"/>
      <c r="S339" s="262"/>
      <c r="T339" s="291"/>
      <c r="U339" s="264"/>
      <c r="V339" s="292"/>
      <c r="W339" s="292"/>
      <c r="X339" s="280"/>
      <c r="Y339" s="298"/>
    </row>
    <row r="340" spans="1:25" ht="17.25" customHeight="1">
      <c r="A340" s="261"/>
      <c r="B340" s="1226"/>
      <c r="C340" s="1227"/>
      <c r="D340" s="575"/>
      <c r="E340" s="570"/>
      <c r="F340" s="263"/>
      <c r="G340" s="263"/>
      <c r="H340" s="264"/>
      <c r="I340" s="277"/>
      <c r="J340" s="278"/>
      <c r="K340" s="279"/>
      <c r="L340" s="264"/>
      <c r="M340" s="280"/>
      <c r="N340" s="264"/>
      <c r="O340" s="264"/>
      <c r="P340" s="316"/>
      <c r="Q340" s="264"/>
      <c r="R340" s="264"/>
      <c r="S340" s="262"/>
      <c r="T340" s="291"/>
      <c r="U340" s="264"/>
      <c r="V340" s="292"/>
      <c r="W340" s="292"/>
      <c r="X340" s="280"/>
      <c r="Y340" s="298"/>
    </row>
    <row r="341" spans="1:25" ht="17.25" customHeight="1">
      <c r="A341" s="261"/>
      <c r="B341" s="1226"/>
      <c r="C341" s="1227"/>
      <c r="D341" s="575"/>
      <c r="E341" s="570"/>
      <c r="F341" s="263"/>
      <c r="G341" s="263"/>
      <c r="H341" s="264"/>
      <c r="I341" s="277"/>
      <c r="J341" s="278"/>
      <c r="K341" s="279"/>
      <c r="L341" s="264"/>
      <c r="M341" s="280"/>
      <c r="N341" s="264"/>
      <c r="O341" s="264"/>
      <c r="P341" s="316"/>
      <c r="Q341" s="264"/>
      <c r="R341" s="264"/>
      <c r="S341" s="262"/>
      <c r="T341" s="291"/>
      <c r="U341" s="264"/>
      <c r="V341" s="292"/>
      <c r="W341" s="292"/>
      <c r="X341" s="280"/>
      <c r="Y341" s="298"/>
    </row>
    <row r="342" spans="1:25" ht="17.25" customHeight="1">
      <c r="A342" s="261"/>
      <c r="B342" s="1226"/>
      <c r="C342" s="1227"/>
      <c r="D342" s="575"/>
      <c r="E342" s="570"/>
      <c r="F342" s="263"/>
      <c r="G342" s="263"/>
      <c r="H342" s="264"/>
      <c r="I342" s="277"/>
      <c r="J342" s="278"/>
      <c r="K342" s="279"/>
      <c r="L342" s="264"/>
      <c r="M342" s="280"/>
      <c r="N342" s="264"/>
      <c r="O342" s="264"/>
      <c r="P342" s="316"/>
      <c r="Q342" s="264"/>
      <c r="R342" s="264"/>
      <c r="S342" s="262"/>
      <c r="T342" s="291"/>
      <c r="U342" s="264"/>
      <c r="V342" s="292"/>
      <c r="W342" s="292"/>
      <c r="X342" s="280"/>
      <c r="Y342" s="298"/>
    </row>
    <row r="343" spans="1:25" ht="17.25" customHeight="1">
      <c r="A343" s="261"/>
      <c r="B343" s="1226"/>
      <c r="C343" s="1227"/>
      <c r="D343" s="575"/>
      <c r="E343" s="570"/>
      <c r="F343" s="263"/>
      <c r="G343" s="263"/>
      <c r="H343" s="264"/>
      <c r="I343" s="277"/>
      <c r="J343" s="278"/>
      <c r="K343" s="279"/>
      <c r="L343" s="264"/>
      <c r="M343" s="280"/>
      <c r="N343" s="264"/>
      <c r="O343" s="264"/>
      <c r="P343" s="316"/>
      <c r="Q343" s="264"/>
      <c r="R343" s="264"/>
      <c r="S343" s="262"/>
      <c r="T343" s="291"/>
      <c r="U343" s="264"/>
      <c r="V343" s="292"/>
      <c r="W343" s="292"/>
      <c r="X343" s="280"/>
      <c r="Y343" s="298"/>
    </row>
    <row r="344" spans="1:25" ht="17.25" customHeight="1">
      <c r="A344" s="261"/>
      <c r="B344" s="1226"/>
      <c r="C344" s="1227"/>
      <c r="D344" s="575"/>
      <c r="E344" s="570"/>
      <c r="F344" s="263"/>
      <c r="G344" s="263"/>
      <c r="H344" s="264"/>
      <c r="I344" s="277"/>
      <c r="J344" s="278"/>
      <c r="K344" s="279"/>
      <c r="L344" s="264"/>
      <c r="M344" s="280"/>
      <c r="N344" s="264"/>
      <c r="O344" s="264"/>
      <c r="P344" s="316"/>
      <c r="Q344" s="264"/>
      <c r="R344" s="264"/>
      <c r="S344" s="262"/>
      <c r="T344" s="291"/>
      <c r="U344" s="264"/>
      <c r="V344" s="292"/>
      <c r="W344" s="292"/>
      <c r="X344" s="280"/>
      <c r="Y344" s="298"/>
    </row>
    <row r="345" spans="1:25" ht="17.25" customHeight="1">
      <c r="A345" s="261"/>
      <c r="B345" s="1226"/>
      <c r="C345" s="1227"/>
      <c r="D345" s="575"/>
      <c r="E345" s="570"/>
      <c r="F345" s="263"/>
      <c r="G345" s="263"/>
      <c r="H345" s="264"/>
      <c r="I345" s="277"/>
      <c r="J345" s="278"/>
      <c r="K345" s="279"/>
      <c r="L345" s="264"/>
      <c r="M345" s="280"/>
      <c r="N345" s="264"/>
      <c r="O345" s="264"/>
      <c r="P345" s="316"/>
      <c r="Q345" s="264"/>
      <c r="R345" s="264"/>
      <c r="S345" s="262"/>
      <c r="T345" s="291"/>
      <c r="U345" s="264"/>
      <c r="V345" s="292"/>
      <c r="W345" s="292"/>
      <c r="X345" s="280"/>
      <c r="Y345" s="298"/>
    </row>
    <row r="346" spans="1:25" ht="17.25" customHeight="1">
      <c r="A346" s="261"/>
      <c r="B346" s="1226"/>
      <c r="C346" s="1227"/>
      <c r="D346" s="575"/>
      <c r="E346" s="570"/>
      <c r="F346" s="263"/>
      <c r="G346" s="263"/>
      <c r="H346" s="264"/>
      <c r="I346" s="277"/>
      <c r="J346" s="278"/>
      <c r="K346" s="279"/>
      <c r="L346" s="264"/>
      <c r="M346" s="280"/>
      <c r="N346" s="264"/>
      <c r="O346" s="264"/>
      <c r="P346" s="316"/>
      <c r="Q346" s="264"/>
      <c r="R346" s="264"/>
      <c r="S346" s="262"/>
      <c r="T346" s="291"/>
      <c r="U346" s="264"/>
      <c r="V346" s="292"/>
      <c r="W346" s="292"/>
      <c r="X346" s="280"/>
      <c r="Y346" s="298"/>
    </row>
    <row r="347" spans="1:25" ht="17.25" customHeight="1">
      <c r="A347" s="261"/>
      <c r="B347" s="1226"/>
      <c r="C347" s="1227"/>
      <c r="D347" s="575"/>
      <c r="E347" s="570"/>
      <c r="F347" s="263"/>
      <c r="G347" s="263"/>
      <c r="H347" s="264"/>
      <c r="I347" s="277"/>
      <c r="J347" s="278"/>
      <c r="K347" s="279"/>
      <c r="L347" s="264"/>
      <c r="M347" s="280"/>
      <c r="N347" s="264"/>
      <c r="O347" s="264"/>
      <c r="P347" s="316"/>
      <c r="Q347" s="264"/>
      <c r="R347" s="264"/>
      <c r="S347" s="262"/>
      <c r="T347" s="291"/>
      <c r="U347" s="264"/>
      <c r="V347" s="292"/>
      <c r="W347" s="292"/>
      <c r="X347" s="280"/>
      <c r="Y347" s="298"/>
    </row>
    <row r="348" spans="1:25" ht="17.25" customHeight="1">
      <c r="A348" s="261"/>
      <c r="B348" s="1226"/>
      <c r="C348" s="1227"/>
      <c r="D348" s="575"/>
      <c r="E348" s="570"/>
      <c r="F348" s="263"/>
      <c r="G348" s="263"/>
      <c r="H348" s="264"/>
      <c r="I348" s="277"/>
      <c r="J348" s="278"/>
      <c r="K348" s="279"/>
      <c r="L348" s="264"/>
      <c r="M348" s="280"/>
      <c r="N348" s="264"/>
      <c r="O348" s="264"/>
      <c r="P348" s="316"/>
      <c r="Q348" s="264"/>
      <c r="R348" s="264"/>
      <c r="S348" s="262"/>
      <c r="T348" s="291"/>
      <c r="U348" s="264"/>
      <c r="V348" s="292"/>
      <c r="W348" s="292"/>
      <c r="X348" s="280"/>
      <c r="Y348" s="298"/>
    </row>
    <row r="349" spans="1:25" ht="17.25" customHeight="1">
      <c r="A349" s="261"/>
      <c r="B349" s="1226"/>
      <c r="C349" s="1227"/>
      <c r="D349" s="575"/>
      <c r="E349" s="570"/>
      <c r="F349" s="263"/>
      <c r="G349" s="263"/>
      <c r="H349" s="264"/>
      <c r="I349" s="277"/>
      <c r="J349" s="278"/>
      <c r="K349" s="279"/>
      <c r="L349" s="264"/>
      <c r="M349" s="280"/>
      <c r="N349" s="264"/>
      <c r="O349" s="264"/>
      <c r="P349" s="316"/>
      <c r="Q349" s="264"/>
      <c r="R349" s="264"/>
      <c r="S349" s="262"/>
      <c r="T349" s="291"/>
      <c r="U349" s="264"/>
      <c r="V349" s="292"/>
      <c r="W349" s="292"/>
      <c r="X349" s="280"/>
      <c r="Y349" s="298"/>
    </row>
    <row r="350" spans="1:25" ht="17.25" customHeight="1">
      <c r="A350" s="261"/>
      <c r="B350" s="1226"/>
      <c r="C350" s="1227"/>
      <c r="D350" s="575"/>
      <c r="E350" s="570"/>
      <c r="F350" s="263"/>
      <c r="G350" s="263"/>
      <c r="H350" s="264"/>
      <c r="I350" s="277"/>
      <c r="J350" s="278"/>
      <c r="K350" s="279"/>
      <c r="L350" s="264"/>
      <c r="M350" s="280"/>
      <c r="N350" s="264"/>
      <c r="O350" s="264"/>
      <c r="P350" s="316"/>
      <c r="Q350" s="264"/>
      <c r="R350" s="264"/>
      <c r="S350" s="262"/>
      <c r="T350" s="291"/>
      <c r="U350" s="264"/>
      <c r="V350" s="292"/>
      <c r="W350" s="292"/>
      <c r="X350" s="280"/>
      <c r="Y350" s="298"/>
    </row>
    <row r="351" spans="1:25" ht="17.25" customHeight="1">
      <c r="A351" s="261"/>
      <c r="B351" s="1226"/>
      <c r="C351" s="1227"/>
      <c r="D351" s="575"/>
      <c r="E351" s="570"/>
      <c r="F351" s="263"/>
      <c r="G351" s="263"/>
      <c r="H351" s="264"/>
      <c r="I351" s="277"/>
      <c r="J351" s="278"/>
      <c r="K351" s="279"/>
      <c r="L351" s="264"/>
      <c r="M351" s="280"/>
      <c r="N351" s="264"/>
      <c r="O351" s="264"/>
      <c r="P351" s="316"/>
      <c r="Q351" s="264"/>
      <c r="R351" s="264"/>
      <c r="S351" s="262"/>
      <c r="T351" s="291"/>
      <c r="U351" s="264"/>
      <c r="V351" s="292"/>
      <c r="W351" s="292"/>
      <c r="X351" s="280"/>
      <c r="Y351" s="298"/>
    </row>
    <row r="352" spans="1:25" ht="17.25" customHeight="1">
      <c r="A352" s="261"/>
      <c r="B352" s="1226"/>
      <c r="C352" s="1227"/>
      <c r="D352" s="575"/>
      <c r="E352" s="570"/>
      <c r="F352" s="263"/>
      <c r="G352" s="263"/>
      <c r="H352" s="264"/>
      <c r="I352" s="277"/>
      <c r="J352" s="278"/>
      <c r="K352" s="279"/>
      <c r="L352" s="264"/>
      <c r="M352" s="280"/>
      <c r="N352" s="264"/>
      <c r="O352" s="264"/>
      <c r="P352" s="316"/>
      <c r="Q352" s="264"/>
      <c r="R352" s="264"/>
      <c r="S352" s="262"/>
      <c r="T352" s="291"/>
      <c r="U352" s="264"/>
      <c r="V352" s="292"/>
      <c r="W352" s="292"/>
      <c r="X352" s="280"/>
      <c r="Y352" s="298"/>
    </row>
    <row r="353" spans="1:25" ht="17.25" customHeight="1">
      <c r="A353" s="261"/>
      <c r="B353" s="1226"/>
      <c r="C353" s="1227"/>
      <c r="D353" s="575"/>
      <c r="E353" s="570"/>
      <c r="F353" s="263"/>
      <c r="G353" s="263"/>
      <c r="H353" s="264"/>
      <c r="I353" s="277"/>
      <c r="J353" s="278"/>
      <c r="K353" s="279"/>
      <c r="L353" s="264"/>
      <c r="M353" s="280"/>
      <c r="N353" s="264"/>
      <c r="O353" s="264"/>
      <c r="P353" s="316"/>
      <c r="Q353" s="264"/>
      <c r="R353" s="264"/>
      <c r="S353" s="262"/>
      <c r="T353" s="291"/>
      <c r="U353" s="264"/>
      <c r="V353" s="292"/>
      <c r="W353" s="292"/>
      <c r="X353" s="280"/>
      <c r="Y353" s="298"/>
    </row>
    <row r="354" spans="1:25" ht="17.25" customHeight="1">
      <c r="A354" s="261"/>
      <c r="B354" s="1226"/>
      <c r="C354" s="1227"/>
      <c r="D354" s="575"/>
      <c r="E354" s="570"/>
      <c r="F354" s="263"/>
      <c r="G354" s="263"/>
      <c r="H354" s="264"/>
      <c r="I354" s="277"/>
      <c r="J354" s="278"/>
      <c r="K354" s="279"/>
      <c r="L354" s="264"/>
      <c r="M354" s="280"/>
      <c r="N354" s="264"/>
      <c r="O354" s="264"/>
      <c r="P354" s="316"/>
      <c r="Q354" s="264"/>
      <c r="R354" s="264"/>
      <c r="S354" s="262"/>
      <c r="T354" s="291"/>
      <c r="U354" s="264"/>
      <c r="V354" s="292"/>
      <c r="W354" s="292"/>
      <c r="X354" s="280"/>
      <c r="Y354" s="298"/>
    </row>
    <row r="355" spans="1:25" ht="17.25" customHeight="1">
      <c r="A355" s="261"/>
      <c r="B355" s="1226"/>
      <c r="C355" s="1227"/>
      <c r="D355" s="575"/>
      <c r="E355" s="570"/>
      <c r="F355" s="263"/>
      <c r="G355" s="263"/>
      <c r="H355" s="264"/>
      <c r="I355" s="277"/>
      <c r="J355" s="278"/>
      <c r="K355" s="279"/>
      <c r="L355" s="264"/>
      <c r="M355" s="280"/>
      <c r="N355" s="264"/>
      <c r="O355" s="264"/>
      <c r="P355" s="316"/>
      <c r="Q355" s="264"/>
      <c r="R355" s="264"/>
      <c r="S355" s="262"/>
      <c r="T355" s="291"/>
      <c r="U355" s="264"/>
      <c r="V355" s="292"/>
      <c r="W355" s="292"/>
      <c r="X355" s="280"/>
      <c r="Y355" s="298"/>
    </row>
    <row r="356" spans="1:25" ht="17.25" customHeight="1">
      <c r="A356" s="261"/>
      <c r="B356" s="1226"/>
      <c r="C356" s="1227"/>
      <c r="D356" s="575"/>
      <c r="E356" s="570"/>
      <c r="F356" s="263"/>
      <c r="G356" s="263"/>
      <c r="H356" s="264"/>
      <c r="I356" s="277"/>
      <c r="J356" s="278"/>
      <c r="K356" s="279"/>
      <c r="L356" s="264"/>
      <c r="M356" s="280"/>
      <c r="N356" s="264"/>
      <c r="O356" s="264"/>
      <c r="P356" s="316"/>
      <c r="Q356" s="264"/>
      <c r="R356" s="264"/>
      <c r="S356" s="262"/>
      <c r="T356" s="291"/>
      <c r="U356" s="264"/>
      <c r="V356" s="292"/>
      <c r="W356" s="292"/>
      <c r="X356" s="280"/>
      <c r="Y356" s="298"/>
    </row>
    <row r="357" spans="1:25" ht="17.25" customHeight="1">
      <c r="A357" s="261"/>
      <c r="B357" s="1226"/>
      <c r="C357" s="1227"/>
      <c r="D357" s="575"/>
      <c r="E357" s="570"/>
      <c r="F357" s="263"/>
      <c r="G357" s="263"/>
      <c r="H357" s="264"/>
      <c r="I357" s="277"/>
      <c r="J357" s="278"/>
      <c r="K357" s="279"/>
      <c r="L357" s="264"/>
      <c r="M357" s="280"/>
      <c r="N357" s="264"/>
      <c r="O357" s="264"/>
      <c r="P357" s="316"/>
      <c r="Q357" s="264"/>
      <c r="R357" s="264"/>
      <c r="S357" s="262"/>
      <c r="T357" s="291"/>
      <c r="U357" s="264"/>
      <c r="V357" s="292"/>
      <c r="W357" s="292"/>
      <c r="X357" s="280"/>
      <c r="Y357" s="298"/>
    </row>
    <row r="358" spans="1:25" ht="17.25" customHeight="1">
      <c r="A358" s="261"/>
      <c r="B358" s="1226"/>
      <c r="C358" s="1227"/>
      <c r="D358" s="575"/>
      <c r="E358" s="570"/>
      <c r="F358" s="263"/>
      <c r="G358" s="263"/>
      <c r="H358" s="264"/>
      <c r="I358" s="277"/>
      <c r="J358" s="278"/>
      <c r="K358" s="279"/>
      <c r="L358" s="264"/>
      <c r="M358" s="280"/>
      <c r="N358" s="264"/>
      <c r="O358" s="264"/>
      <c r="P358" s="316"/>
      <c r="Q358" s="264"/>
      <c r="R358" s="264"/>
      <c r="S358" s="262"/>
      <c r="T358" s="291"/>
      <c r="U358" s="264"/>
      <c r="V358" s="292"/>
      <c r="W358" s="292"/>
      <c r="X358" s="280"/>
      <c r="Y358" s="298"/>
    </row>
    <row r="359" spans="1:25" ht="17.25" customHeight="1">
      <c r="A359" s="261"/>
      <c r="B359" s="1226"/>
      <c r="C359" s="1227"/>
      <c r="D359" s="575"/>
      <c r="E359" s="570"/>
      <c r="F359" s="263"/>
      <c r="G359" s="263"/>
      <c r="H359" s="264"/>
      <c r="I359" s="277"/>
      <c r="J359" s="278"/>
      <c r="K359" s="279"/>
      <c r="L359" s="264"/>
      <c r="M359" s="280"/>
      <c r="N359" s="264"/>
      <c r="O359" s="264"/>
      <c r="P359" s="316"/>
      <c r="Q359" s="264"/>
      <c r="R359" s="264"/>
      <c r="S359" s="262"/>
      <c r="T359" s="291"/>
      <c r="U359" s="264"/>
      <c r="V359" s="292"/>
      <c r="W359" s="292"/>
      <c r="X359" s="280"/>
      <c r="Y359" s="298"/>
    </row>
    <row r="360" spans="1:25" ht="17.25" customHeight="1">
      <c r="A360" s="261"/>
      <c r="B360" s="1226"/>
      <c r="C360" s="1227"/>
      <c r="D360" s="575"/>
      <c r="E360" s="570"/>
      <c r="F360" s="263"/>
      <c r="G360" s="263"/>
      <c r="H360" s="264"/>
      <c r="I360" s="277"/>
      <c r="J360" s="278"/>
      <c r="K360" s="279"/>
      <c r="L360" s="264"/>
      <c r="M360" s="280"/>
      <c r="N360" s="264"/>
      <c r="O360" s="264"/>
      <c r="P360" s="316"/>
      <c r="Q360" s="264"/>
      <c r="R360" s="264"/>
      <c r="S360" s="262"/>
      <c r="T360" s="291"/>
      <c r="U360" s="264"/>
      <c r="V360" s="292"/>
      <c r="W360" s="292"/>
      <c r="X360" s="280"/>
      <c r="Y360" s="298"/>
    </row>
    <row r="361" spans="1:25" ht="17.25" customHeight="1">
      <c r="A361" s="261"/>
      <c r="B361" s="1226"/>
      <c r="C361" s="1227"/>
      <c r="D361" s="575"/>
      <c r="E361" s="570"/>
      <c r="F361" s="263"/>
      <c r="G361" s="263"/>
      <c r="H361" s="264"/>
      <c r="I361" s="277"/>
      <c r="J361" s="278"/>
      <c r="K361" s="279"/>
      <c r="L361" s="264"/>
      <c r="M361" s="280"/>
      <c r="N361" s="264"/>
      <c r="O361" s="264"/>
      <c r="P361" s="316"/>
      <c r="Q361" s="264"/>
      <c r="R361" s="264"/>
      <c r="S361" s="262"/>
      <c r="T361" s="291"/>
      <c r="U361" s="264"/>
      <c r="V361" s="292"/>
      <c r="W361" s="292"/>
      <c r="X361" s="280"/>
      <c r="Y361" s="298"/>
    </row>
    <row r="362" spans="1:25" ht="17.25" customHeight="1">
      <c r="A362" s="261"/>
      <c r="B362" s="1226"/>
      <c r="C362" s="1227"/>
      <c r="D362" s="575"/>
      <c r="E362" s="570"/>
      <c r="F362" s="263"/>
      <c r="G362" s="263"/>
      <c r="H362" s="264"/>
      <c r="I362" s="277"/>
      <c r="J362" s="278"/>
      <c r="K362" s="279"/>
      <c r="L362" s="264"/>
      <c r="M362" s="280"/>
      <c r="N362" s="264"/>
      <c r="O362" s="264"/>
      <c r="P362" s="316"/>
      <c r="Q362" s="264"/>
      <c r="R362" s="264"/>
      <c r="S362" s="262"/>
      <c r="T362" s="291"/>
      <c r="U362" s="264"/>
      <c r="V362" s="292"/>
      <c r="W362" s="292"/>
      <c r="X362" s="280"/>
      <c r="Y362" s="298"/>
    </row>
    <row r="363" spans="1:25" ht="17.25" customHeight="1">
      <c r="A363" s="261"/>
      <c r="B363" s="1226"/>
      <c r="C363" s="1227"/>
      <c r="D363" s="575"/>
      <c r="E363" s="570"/>
      <c r="F363" s="263"/>
      <c r="G363" s="263"/>
      <c r="H363" s="264"/>
      <c r="I363" s="277"/>
      <c r="J363" s="278"/>
      <c r="K363" s="279"/>
      <c r="L363" s="264"/>
      <c r="M363" s="280"/>
      <c r="N363" s="264"/>
      <c r="O363" s="264"/>
      <c r="P363" s="316"/>
      <c r="Q363" s="264"/>
      <c r="R363" s="264"/>
      <c r="S363" s="262"/>
      <c r="T363" s="291"/>
      <c r="U363" s="264"/>
      <c r="V363" s="292"/>
      <c r="W363" s="292"/>
      <c r="X363" s="280"/>
      <c r="Y363" s="298"/>
    </row>
    <row r="364" spans="1:25" ht="17.25" customHeight="1">
      <c r="A364" s="261"/>
      <c r="B364" s="1226"/>
      <c r="C364" s="1227"/>
      <c r="D364" s="575"/>
      <c r="E364" s="570"/>
      <c r="F364" s="263"/>
      <c r="G364" s="263"/>
      <c r="H364" s="264"/>
      <c r="I364" s="277"/>
      <c r="J364" s="278"/>
      <c r="K364" s="279"/>
      <c r="L364" s="264"/>
      <c r="M364" s="280"/>
      <c r="N364" s="264"/>
      <c r="O364" s="264"/>
      <c r="P364" s="316"/>
      <c r="Q364" s="264"/>
      <c r="R364" s="264"/>
      <c r="S364" s="262"/>
      <c r="T364" s="291"/>
      <c r="U364" s="264"/>
      <c r="V364" s="292"/>
      <c r="W364" s="292"/>
      <c r="X364" s="280"/>
      <c r="Y364" s="298"/>
    </row>
    <row r="365" spans="1:25" ht="17.25" customHeight="1">
      <c r="A365" s="261"/>
      <c r="B365" s="1226"/>
      <c r="C365" s="1227"/>
      <c r="D365" s="575"/>
      <c r="E365" s="570"/>
      <c r="F365" s="263"/>
      <c r="G365" s="263"/>
      <c r="H365" s="264"/>
      <c r="I365" s="277"/>
      <c r="J365" s="278"/>
      <c r="K365" s="279"/>
      <c r="L365" s="264"/>
      <c r="M365" s="280"/>
      <c r="N365" s="264"/>
      <c r="O365" s="264"/>
      <c r="P365" s="316"/>
      <c r="Q365" s="264"/>
      <c r="R365" s="264"/>
      <c r="S365" s="262"/>
      <c r="T365" s="291"/>
      <c r="U365" s="264"/>
      <c r="V365" s="292"/>
      <c r="W365" s="292"/>
      <c r="X365" s="280"/>
      <c r="Y365" s="298"/>
    </row>
    <row r="366" spans="1:25" ht="17.25" customHeight="1">
      <c r="A366" s="261"/>
      <c r="B366" s="1226"/>
      <c r="C366" s="1227"/>
      <c r="D366" s="575"/>
      <c r="E366" s="570"/>
      <c r="F366" s="263"/>
      <c r="G366" s="263"/>
      <c r="H366" s="264"/>
      <c r="I366" s="277"/>
      <c r="J366" s="278"/>
      <c r="K366" s="279"/>
      <c r="L366" s="264"/>
      <c r="M366" s="280"/>
      <c r="N366" s="264"/>
      <c r="O366" s="264"/>
      <c r="P366" s="316"/>
      <c r="Q366" s="264"/>
      <c r="R366" s="264"/>
      <c r="S366" s="262"/>
      <c r="T366" s="291"/>
      <c r="U366" s="264"/>
      <c r="V366" s="292"/>
      <c r="W366" s="292"/>
      <c r="X366" s="280"/>
      <c r="Y366" s="298"/>
    </row>
    <row r="367" spans="1:25" ht="17.25" customHeight="1">
      <c r="A367" s="261"/>
      <c r="B367" s="1226"/>
      <c r="C367" s="1227"/>
      <c r="D367" s="575"/>
      <c r="E367" s="570"/>
      <c r="F367" s="263"/>
      <c r="G367" s="263"/>
      <c r="H367" s="264"/>
      <c r="I367" s="277"/>
      <c r="J367" s="278"/>
      <c r="K367" s="279"/>
      <c r="L367" s="264"/>
      <c r="M367" s="280"/>
      <c r="N367" s="264"/>
      <c r="O367" s="264"/>
      <c r="P367" s="316"/>
      <c r="Q367" s="264"/>
      <c r="R367" s="264"/>
      <c r="S367" s="262"/>
      <c r="T367" s="291"/>
      <c r="U367" s="264"/>
      <c r="V367" s="292"/>
      <c r="W367" s="292"/>
      <c r="X367" s="280"/>
      <c r="Y367" s="298"/>
    </row>
    <row r="368" spans="1:25" ht="17.25" customHeight="1">
      <c r="A368" s="261"/>
      <c r="B368" s="1226"/>
      <c r="C368" s="1227"/>
      <c r="D368" s="575"/>
      <c r="E368" s="570"/>
      <c r="F368" s="263"/>
      <c r="G368" s="263"/>
      <c r="H368" s="264"/>
      <c r="I368" s="277"/>
      <c r="J368" s="278"/>
      <c r="K368" s="279"/>
      <c r="L368" s="264"/>
      <c r="M368" s="280"/>
      <c r="N368" s="264"/>
      <c r="O368" s="264"/>
      <c r="P368" s="316"/>
      <c r="Q368" s="264"/>
      <c r="R368" s="264"/>
      <c r="S368" s="262"/>
      <c r="T368" s="291"/>
      <c r="U368" s="264"/>
      <c r="V368" s="292"/>
      <c r="W368" s="292"/>
      <c r="X368" s="280"/>
      <c r="Y368" s="298"/>
    </row>
    <row r="369" spans="1:25" ht="17.25" customHeight="1">
      <c r="A369" s="261"/>
      <c r="B369" s="1226"/>
      <c r="C369" s="1227"/>
      <c r="D369" s="575"/>
      <c r="E369" s="570"/>
      <c r="F369" s="263"/>
      <c r="G369" s="263"/>
      <c r="H369" s="264"/>
      <c r="I369" s="277"/>
      <c r="J369" s="278"/>
      <c r="K369" s="279"/>
      <c r="L369" s="264"/>
      <c r="M369" s="280"/>
      <c r="N369" s="264"/>
      <c r="O369" s="264"/>
      <c r="P369" s="316"/>
      <c r="Q369" s="264"/>
      <c r="R369" s="264"/>
      <c r="S369" s="262"/>
      <c r="T369" s="291"/>
      <c r="U369" s="264"/>
      <c r="V369" s="292"/>
      <c r="W369" s="292"/>
      <c r="X369" s="280"/>
      <c r="Y369" s="298"/>
    </row>
    <row r="370" spans="1:25" ht="17.25" customHeight="1">
      <c r="A370" s="261"/>
      <c r="B370" s="1226"/>
      <c r="C370" s="1227"/>
      <c r="D370" s="575"/>
      <c r="E370" s="570"/>
      <c r="F370" s="263"/>
      <c r="G370" s="263"/>
      <c r="H370" s="264"/>
      <c r="I370" s="277"/>
      <c r="J370" s="278"/>
      <c r="K370" s="279"/>
      <c r="L370" s="264"/>
      <c r="M370" s="280"/>
      <c r="N370" s="264"/>
      <c r="O370" s="264"/>
      <c r="P370" s="316"/>
      <c r="Q370" s="264"/>
      <c r="R370" s="264"/>
      <c r="S370" s="262"/>
      <c r="T370" s="291"/>
      <c r="U370" s="264"/>
      <c r="V370" s="292"/>
      <c r="W370" s="292"/>
      <c r="X370" s="280"/>
      <c r="Y370" s="298"/>
    </row>
    <row r="371" spans="1:25" ht="17.25" customHeight="1">
      <c r="A371" s="261"/>
      <c r="B371" s="1226"/>
      <c r="C371" s="1227"/>
      <c r="D371" s="575"/>
      <c r="E371" s="570"/>
      <c r="F371" s="263"/>
      <c r="G371" s="263"/>
      <c r="H371" s="264"/>
      <c r="I371" s="277"/>
      <c r="J371" s="278"/>
      <c r="K371" s="279"/>
      <c r="L371" s="264"/>
      <c r="M371" s="280"/>
      <c r="N371" s="264"/>
      <c r="O371" s="264"/>
      <c r="P371" s="316"/>
      <c r="Q371" s="264"/>
      <c r="R371" s="264"/>
      <c r="S371" s="262"/>
      <c r="T371" s="291"/>
      <c r="U371" s="264"/>
      <c r="V371" s="292"/>
      <c r="W371" s="292"/>
      <c r="X371" s="280"/>
      <c r="Y371" s="298"/>
    </row>
    <row r="372" spans="1:25" ht="17.25" customHeight="1">
      <c r="A372" s="261"/>
      <c r="B372" s="1226"/>
      <c r="C372" s="1227"/>
      <c r="D372" s="575"/>
      <c r="E372" s="570"/>
      <c r="F372" s="263"/>
      <c r="G372" s="263"/>
      <c r="H372" s="264"/>
      <c r="I372" s="277"/>
      <c r="J372" s="278"/>
      <c r="K372" s="279"/>
      <c r="L372" s="264"/>
      <c r="M372" s="280"/>
      <c r="N372" s="264"/>
      <c r="O372" s="264"/>
      <c r="P372" s="316"/>
      <c r="Q372" s="264"/>
      <c r="R372" s="264"/>
      <c r="S372" s="262"/>
      <c r="T372" s="291"/>
      <c r="U372" s="264"/>
      <c r="V372" s="292"/>
      <c r="W372" s="292"/>
      <c r="X372" s="280"/>
      <c r="Y372" s="298"/>
    </row>
    <row r="373" spans="1:25" ht="17.25" customHeight="1">
      <c r="A373" s="261"/>
      <c r="B373" s="1226"/>
      <c r="C373" s="1227"/>
      <c r="D373" s="575"/>
      <c r="E373" s="570"/>
      <c r="F373" s="263"/>
      <c r="G373" s="263"/>
      <c r="H373" s="264"/>
      <c r="I373" s="277"/>
      <c r="J373" s="278"/>
      <c r="K373" s="279"/>
      <c r="L373" s="264"/>
      <c r="M373" s="280"/>
      <c r="N373" s="264"/>
      <c r="O373" s="264"/>
      <c r="P373" s="316"/>
      <c r="Q373" s="264"/>
      <c r="R373" s="264"/>
      <c r="S373" s="262"/>
      <c r="T373" s="291"/>
      <c r="U373" s="264"/>
      <c r="V373" s="292"/>
      <c r="W373" s="292"/>
      <c r="X373" s="280"/>
      <c r="Y373" s="298"/>
    </row>
    <row r="374" spans="1:25" ht="17.25" customHeight="1">
      <c r="A374" s="261"/>
      <c r="B374" s="1226"/>
      <c r="C374" s="1227"/>
      <c r="D374" s="575"/>
      <c r="E374" s="570"/>
      <c r="F374" s="263"/>
      <c r="G374" s="263"/>
      <c r="H374" s="264"/>
      <c r="I374" s="277"/>
      <c r="J374" s="278"/>
      <c r="K374" s="279"/>
      <c r="L374" s="264"/>
      <c r="M374" s="280"/>
      <c r="N374" s="264"/>
      <c r="O374" s="264"/>
      <c r="P374" s="316"/>
      <c r="Q374" s="264"/>
      <c r="R374" s="264"/>
      <c r="S374" s="262"/>
      <c r="T374" s="291"/>
      <c r="U374" s="264"/>
      <c r="V374" s="292"/>
      <c r="W374" s="292"/>
      <c r="X374" s="280"/>
      <c r="Y374" s="298"/>
    </row>
    <row r="375" spans="1:25" ht="17.25" customHeight="1">
      <c r="A375" s="261"/>
      <c r="B375" s="1226"/>
      <c r="C375" s="1227"/>
      <c r="D375" s="575"/>
      <c r="E375" s="570"/>
      <c r="F375" s="263"/>
      <c r="G375" s="263"/>
      <c r="H375" s="264"/>
      <c r="I375" s="277"/>
      <c r="J375" s="278"/>
      <c r="K375" s="279"/>
      <c r="L375" s="264"/>
      <c r="M375" s="280"/>
      <c r="N375" s="264"/>
      <c r="O375" s="264"/>
      <c r="P375" s="316"/>
      <c r="Q375" s="264"/>
      <c r="R375" s="264"/>
      <c r="S375" s="262"/>
      <c r="T375" s="291"/>
      <c r="U375" s="264"/>
      <c r="V375" s="292"/>
      <c r="W375" s="292"/>
      <c r="X375" s="280"/>
      <c r="Y375" s="298"/>
    </row>
    <row r="376" spans="1:25" ht="17.25" customHeight="1">
      <c r="A376" s="261"/>
      <c r="B376" s="1226"/>
      <c r="C376" s="1227"/>
      <c r="D376" s="575"/>
      <c r="E376" s="570"/>
      <c r="F376" s="263"/>
      <c r="G376" s="263"/>
      <c r="H376" s="264"/>
      <c r="I376" s="277"/>
      <c r="J376" s="278"/>
      <c r="K376" s="279"/>
      <c r="L376" s="264"/>
      <c r="M376" s="280"/>
      <c r="N376" s="264"/>
      <c r="O376" s="264"/>
      <c r="P376" s="316"/>
      <c r="Q376" s="264"/>
      <c r="R376" s="264"/>
      <c r="S376" s="262"/>
      <c r="T376" s="291"/>
      <c r="U376" s="264"/>
      <c r="V376" s="292"/>
      <c r="W376" s="292"/>
      <c r="X376" s="280"/>
      <c r="Y376" s="298"/>
    </row>
    <row r="377" spans="1:25" ht="17.25" customHeight="1">
      <c r="A377" s="261"/>
      <c r="B377" s="1226"/>
      <c r="C377" s="1227"/>
      <c r="D377" s="575"/>
      <c r="E377" s="570"/>
      <c r="F377" s="263"/>
      <c r="G377" s="263"/>
      <c r="H377" s="264"/>
      <c r="I377" s="277"/>
      <c r="J377" s="278"/>
      <c r="K377" s="279"/>
      <c r="L377" s="264"/>
      <c r="M377" s="280"/>
      <c r="N377" s="264"/>
      <c r="O377" s="264"/>
      <c r="P377" s="316"/>
      <c r="Q377" s="264"/>
      <c r="R377" s="264"/>
      <c r="S377" s="262"/>
      <c r="T377" s="291"/>
      <c r="U377" s="264"/>
      <c r="V377" s="292"/>
      <c r="W377" s="292"/>
      <c r="X377" s="280"/>
      <c r="Y377" s="298"/>
    </row>
    <row r="378" spans="1:25" ht="17.25" customHeight="1">
      <c r="A378" s="1223"/>
      <c r="B378" s="1223"/>
      <c r="C378" s="1223"/>
      <c r="D378" s="1223"/>
      <c r="E378" s="1223"/>
      <c r="F378" s="1223"/>
      <c r="G378" s="1223"/>
      <c r="H378" s="1223"/>
      <c r="I378" s="1224"/>
      <c r="J378" s="1223"/>
      <c r="K378" s="1223"/>
      <c r="L378" s="1223"/>
      <c r="M378" s="1223"/>
      <c r="N378" s="1223"/>
      <c r="O378" s="1223"/>
      <c r="P378" s="1223"/>
      <c r="Q378" s="1223"/>
      <c r="R378" s="1223"/>
      <c r="S378" s="1223"/>
      <c r="T378" s="1224"/>
      <c r="U378" s="1223"/>
      <c r="V378" s="1223"/>
      <c r="W378" s="1223"/>
      <c r="X378" s="1223"/>
      <c r="Y378" s="1225"/>
    </row>
    <row r="379" spans="1:25" ht="17.25" customHeight="1">
      <c r="A379" s="261"/>
      <c r="B379" s="1226"/>
      <c r="C379" s="1227"/>
      <c r="D379" s="575"/>
      <c r="E379" s="570"/>
      <c r="F379" s="263"/>
      <c r="G379" s="263"/>
      <c r="H379" s="264"/>
      <c r="I379" s="277"/>
      <c r="J379" s="278"/>
      <c r="K379" s="279"/>
      <c r="L379" s="264"/>
      <c r="M379" s="280"/>
      <c r="N379" s="264"/>
      <c r="O379" s="263"/>
      <c r="P379" s="280"/>
      <c r="Q379" s="263"/>
      <c r="R379" s="290"/>
      <c r="S379" s="262"/>
      <c r="T379" s="291"/>
      <c r="U379" s="264"/>
      <c r="V379" s="292"/>
      <c r="W379" s="292"/>
      <c r="X379" s="280"/>
      <c r="Y379" s="298"/>
    </row>
    <row r="380" spans="1:25" ht="17.25" customHeight="1">
      <c r="A380" s="261"/>
      <c r="B380" s="1226"/>
      <c r="C380" s="1227"/>
      <c r="D380" s="575"/>
      <c r="E380" s="570"/>
      <c r="F380" s="263"/>
      <c r="G380" s="263"/>
      <c r="H380" s="264"/>
      <c r="I380" s="277"/>
      <c r="J380" s="278"/>
      <c r="K380" s="279"/>
      <c r="L380" s="264"/>
      <c r="M380" s="280"/>
      <c r="N380" s="264"/>
      <c r="O380" s="263"/>
      <c r="P380" s="280"/>
      <c r="Q380" s="263"/>
      <c r="R380" s="290"/>
      <c r="S380" s="262"/>
      <c r="T380" s="291"/>
      <c r="U380" s="264"/>
      <c r="V380" s="292"/>
      <c r="W380" s="292"/>
      <c r="X380" s="280"/>
      <c r="Y380" s="298"/>
    </row>
    <row r="381" spans="1:25" ht="17.25" customHeight="1">
      <c r="A381" s="261"/>
      <c r="B381" s="1226"/>
      <c r="C381" s="1227"/>
      <c r="D381" s="575"/>
      <c r="E381" s="570"/>
      <c r="F381" s="263"/>
      <c r="G381" s="263"/>
      <c r="H381" s="264"/>
      <c r="I381" s="277"/>
      <c r="J381" s="278"/>
      <c r="K381" s="279"/>
      <c r="L381" s="264"/>
      <c r="M381" s="280"/>
      <c r="N381" s="264"/>
      <c r="O381" s="263"/>
      <c r="P381" s="280"/>
      <c r="Q381" s="263"/>
      <c r="R381" s="290"/>
      <c r="S381" s="262"/>
      <c r="T381" s="291"/>
      <c r="U381" s="264"/>
      <c r="V381" s="292"/>
      <c r="W381" s="292"/>
      <c r="X381" s="280"/>
      <c r="Y381" s="298"/>
    </row>
    <row r="382" spans="1:25" ht="17.25" customHeight="1">
      <c r="A382" s="261"/>
      <c r="B382" s="1226"/>
      <c r="C382" s="1227"/>
      <c r="D382" s="575"/>
      <c r="E382" s="570"/>
      <c r="F382" s="263"/>
      <c r="G382" s="263"/>
      <c r="H382" s="264"/>
      <c r="I382" s="277"/>
      <c r="J382" s="278"/>
      <c r="K382" s="279"/>
      <c r="L382" s="264"/>
      <c r="M382" s="280"/>
      <c r="N382" s="264"/>
      <c r="O382" s="263"/>
      <c r="P382" s="280"/>
      <c r="Q382" s="263"/>
      <c r="R382" s="290"/>
      <c r="S382" s="262"/>
      <c r="T382" s="291"/>
      <c r="U382" s="264"/>
      <c r="V382" s="292"/>
      <c r="W382" s="292"/>
      <c r="X382" s="280"/>
      <c r="Y382" s="298"/>
    </row>
    <row r="383" spans="1:25" ht="17.25" customHeight="1">
      <c r="A383" s="261"/>
      <c r="B383" s="1226"/>
      <c r="C383" s="1227"/>
      <c r="D383" s="575"/>
      <c r="E383" s="570"/>
      <c r="F383" s="263"/>
      <c r="G383" s="263"/>
      <c r="H383" s="264"/>
      <c r="I383" s="277"/>
      <c r="J383" s="278"/>
      <c r="K383" s="279"/>
      <c r="L383" s="264"/>
      <c r="M383" s="280"/>
      <c r="N383" s="264"/>
      <c r="O383" s="263"/>
      <c r="P383" s="280"/>
      <c r="Q383" s="263"/>
      <c r="R383" s="290"/>
      <c r="S383" s="262"/>
      <c r="T383" s="291"/>
      <c r="U383" s="264"/>
      <c r="V383" s="292"/>
      <c r="W383" s="292"/>
      <c r="X383" s="280"/>
      <c r="Y383" s="298"/>
    </row>
    <row r="384" spans="1:25" ht="17.25" customHeight="1">
      <c r="A384" s="261"/>
      <c r="B384" s="1226"/>
      <c r="C384" s="1227"/>
      <c r="D384" s="575"/>
      <c r="E384" s="570"/>
      <c r="F384" s="263"/>
      <c r="G384" s="263"/>
      <c r="H384" s="264"/>
      <c r="I384" s="277"/>
      <c r="J384" s="278"/>
      <c r="K384" s="279"/>
      <c r="L384" s="264"/>
      <c r="M384" s="280"/>
      <c r="N384" s="264"/>
      <c r="O384" s="263"/>
      <c r="P384" s="280"/>
      <c r="Q384" s="263"/>
      <c r="R384" s="290"/>
      <c r="S384" s="262"/>
      <c r="T384" s="291"/>
      <c r="U384" s="264"/>
      <c r="V384" s="292"/>
      <c r="W384" s="292"/>
      <c r="X384" s="280"/>
      <c r="Y384" s="298"/>
    </row>
    <row r="385" spans="1:25" ht="17.25" customHeight="1">
      <c r="A385" s="261"/>
      <c r="B385" s="1226"/>
      <c r="C385" s="1227"/>
      <c r="D385" s="575"/>
      <c r="E385" s="570"/>
      <c r="F385" s="263"/>
      <c r="G385" s="263"/>
      <c r="H385" s="264"/>
      <c r="I385" s="277"/>
      <c r="J385" s="278"/>
      <c r="K385" s="279"/>
      <c r="L385" s="264"/>
      <c r="M385" s="280"/>
      <c r="N385" s="264"/>
      <c r="O385" s="263"/>
      <c r="P385" s="280"/>
      <c r="Q385" s="263"/>
      <c r="R385" s="290"/>
      <c r="S385" s="262"/>
      <c r="T385" s="291"/>
      <c r="U385" s="264"/>
      <c r="V385" s="292"/>
      <c r="W385" s="292"/>
      <c r="X385" s="280"/>
      <c r="Y385" s="298"/>
    </row>
    <row r="386" spans="1:25" ht="17.25" customHeight="1">
      <c r="A386" s="261"/>
      <c r="B386" s="1226"/>
      <c r="C386" s="1227"/>
      <c r="D386" s="575"/>
      <c r="E386" s="570"/>
      <c r="F386" s="263"/>
      <c r="G386" s="263"/>
      <c r="H386" s="264"/>
      <c r="I386" s="277"/>
      <c r="J386" s="278"/>
      <c r="K386" s="279"/>
      <c r="L386" s="264"/>
      <c r="M386" s="280"/>
      <c r="N386" s="264"/>
      <c r="O386" s="263"/>
      <c r="P386" s="280"/>
      <c r="Q386" s="263"/>
      <c r="R386" s="290"/>
      <c r="S386" s="262"/>
      <c r="T386" s="291"/>
      <c r="U386" s="264"/>
      <c r="V386" s="292"/>
      <c r="W386" s="292"/>
      <c r="X386" s="280"/>
      <c r="Y386" s="298"/>
    </row>
    <row r="387" spans="1:25" ht="17.25" customHeight="1">
      <c r="A387" s="261"/>
      <c r="B387" s="1226"/>
      <c r="C387" s="1227"/>
      <c r="D387" s="575"/>
      <c r="E387" s="570"/>
      <c r="F387" s="263"/>
      <c r="G387" s="263"/>
      <c r="H387" s="264"/>
      <c r="I387" s="277"/>
      <c r="J387" s="278"/>
      <c r="K387" s="279"/>
      <c r="L387" s="264"/>
      <c r="M387" s="280"/>
      <c r="N387" s="264"/>
      <c r="O387" s="263"/>
      <c r="P387" s="280"/>
      <c r="Q387" s="263"/>
      <c r="R387" s="290"/>
      <c r="S387" s="262"/>
      <c r="T387" s="291"/>
      <c r="U387" s="264"/>
      <c r="V387" s="292"/>
      <c r="W387" s="292"/>
      <c r="X387" s="280"/>
      <c r="Y387" s="298"/>
    </row>
    <row r="388" spans="1:25" ht="17.25" customHeight="1">
      <c r="A388" s="261"/>
      <c r="B388" s="1226"/>
      <c r="C388" s="1227"/>
      <c r="D388" s="575"/>
      <c r="E388" s="570"/>
      <c r="F388" s="263"/>
      <c r="G388" s="263"/>
      <c r="H388" s="264"/>
      <c r="I388" s="277"/>
      <c r="J388" s="278"/>
      <c r="K388" s="279"/>
      <c r="L388" s="264"/>
      <c r="M388" s="280"/>
      <c r="N388" s="264"/>
      <c r="O388" s="263"/>
      <c r="P388" s="280"/>
      <c r="Q388" s="263"/>
      <c r="R388" s="290"/>
      <c r="S388" s="262"/>
      <c r="T388" s="291"/>
      <c r="U388" s="264"/>
      <c r="V388" s="292"/>
      <c r="W388" s="292"/>
      <c r="X388" s="280"/>
      <c r="Y388" s="298"/>
    </row>
    <row r="389" spans="1:25" ht="17.25" customHeight="1">
      <c r="A389" s="261"/>
      <c r="B389" s="1226"/>
      <c r="C389" s="1227"/>
      <c r="D389" s="575"/>
      <c r="E389" s="570"/>
      <c r="F389" s="263"/>
      <c r="G389" s="263"/>
      <c r="H389" s="264"/>
      <c r="I389" s="277"/>
      <c r="J389" s="278"/>
      <c r="K389" s="279"/>
      <c r="L389" s="264"/>
      <c r="M389" s="280"/>
      <c r="N389" s="264"/>
      <c r="O389" s="263"/>
      <c r="P389" s="280"/>
      <c r="Q389" s="263"/>
      <c r="R389" s="290"/>
      <c r="S389" s="262"/>
      <c r="T389" s="291"/>
      <c r="U389" s="264"/>
      <c r="V389" s="292"/>
      <c r="W389" s="292"/>
      <c r="X389" s="280"/>
      <c r="Y389" s="298"/>
    </row>
    <row r="390" spans="1:25" ht="17.25" customHeight="1">
      <c r="A390" s="261"/>
      <c r="B390" s="1226"/>
      <c r="C390" s="1227"/>
      <c r="D390" s="575"/>
      <c r="E390" s="570"/>
      <c r="F390" s="263"/>
      <c r="G390" s="263"/>
      <c r="H390" s="264"/>
      <c r="I390" s="277"/>
      <c r="J390" s="278"/>
      <c r="K390" s="279"/>
      <c r="L390" s="264"/>
      <c r="M390" s="280"/>
      <c r="N390" s="264"/>
      <c r="O390" s="263"/>
      <c r="P390" s="280"/>
      <c r="Q390" s="263"/>
      <c r="R390" s="290"/>
      <c r="S390" s="262"/>
      <c r="T390" s="291"/>
      <c r="U390" s="264"/>
      <c r="V390" s="292"/>
      <c r="W390" s="292"/>
      <c r="X390" s="280"/>
      <c r="Y390" s="298"/>
    </row>
    <row r="391" spans="1:25" ht="17.25" customHeight="1">
      <c r="A391" s="261"/>
      <c r="B391" s="1226"/>
      <c r="C391" s="1227"/>
      <c r="D391" s="575"/>
      <c r="E391" s="570"/>
      <c r="F391" s="263"/>
      <c r="G391" s="263"/>
      <c r="H391" s="264"/>
      <c r="I391" s="277"/>
      <c r="J391" s="278"/>
      <c r="K391" s="279"/>
      <c r="L391" s="264"/>
      <c r="M391" s="280"/>
      <c r="N391" s="264"/>
      <c r="O391" s="263"/>
      <c r="P391" s="280"/>
      <c r="Q391" s="263"/>
      <c r="R391" s="290"/>
      <c r="S391" s="262"/>
      <c r="T391" s="291"/>
      <c r="U391" s="264"/>
      <c r="V391" s="292"/>
      <c r="W391" s="292"/>
      <c r="X391" s="280"/>
      <c r="Y391" s="298"/>
    </row>
    <row r="392" spans="1:25" ht="17.25" customHeight="1">
      <c r="A392" s="261"/>
      <c r="B392" s="1226"/>
      <c r="C392" s="1227"/>
      <c r="D392" s="575"/>
      <c r="E392" s="570"/>
      <c r="F392" s="263"/>
      <c r="G392" s="263"/>
      <c r="H392" s="264"/>
      <c r="I392" s="277"/>
      <c r="J392" s="278"/>
      <c r="K392" s="279"/>
      <c r="L392" s="264"/>
      <c r="M392" s="280"/>
      <c r="N392" s="264"/>
      <c r="O392" s="263"/>
      <c r="P392" s="280"/>
      <c r="Q392" s="263"/>
      <c r="R392" s="290"/>
      <c r="S392" s="262"/>
      <c r="T392" s="291"/>
      <c r="U392" s="264"/>
      <c r="V392" s="292"/>
      <c r="W392" s="292"/>
      <c r="X392" s="280"/>
      <c r="Y392" s="298"/>
    </row>
    <row r="393" spans="1:25" ht="17.25" customHeight="1">
      <c r="A393" s="261"/>
      <c r="B393" s="1226"/>
      <c r="C393" s="1227"/>
      <c r="D393" s="575"/>
      <c r="E393" s="570"/>
      <c r="F393" s="263"/>
      <c r="G393" s="263"/>
      <c r="H393" s="264"/>
      <c r="I393" s="277"/>
      <c r="J393" s="278"/>
      <c r="K393" s="279"/>
      <c r="L393" s="264"/>
      <c r="M393" s="280"/>
      <c r="N393" s="264"/>
      <c r="O393" s="263"/>
      <c r="P393" s="280"/>
      <c r="Q393" s="263"/>
      <c r="R393" s="290"/>
      <c r="S393" s="262"/>
      <c r="T393" s="291"/>
      <c r="U393" s="264"/>
      <c r="V393" s="292"/>
      <c r="W393" s="292"/>
      <c r="X393" s="280"/>
      <c r="Y393" s="298"/>
    </row>
    <row r="394" spans="1:25" ht="17.25" customHeight="1">
      <c r="A394" s="261"/>
      <c r="B394" s="1226"/>
      <c r="C394" s="1227"/>
      <c r="D394" s="575"/>
      <c r="E394" s="570"/>
      <c r="F394" s="263"/>
      <c r="G394" s="263"/>
      <c r="H394" s="264"/>
      <c r="I394" s="277"/>
      <c r="J394" s="278"/>
      <c r="K394" s="279"/>
      <c r="L394" s="264"/>
      <c r="M394" s="280"/>
      <c r="N394" s="264"/>
      <c r="O394" s="263"/>
      <c r="P394" s="280"/>
      <c r="Q394" s="263"/>
      <c r="R394" s="290"/>
      <c r="S394" s="262"/>
      <c r="T394" s="291"/>
      <c r="U394" s="264"/>
      <c r="V394" s="292"/>
      <c r="W394" s="292"/>
      <c r="X394" s="280"/>
      <c r="Y394" s="298"/>
    </row>
    <row r="395" spans="1:25" ht="17.25" customHeight="1">
      <c r="A395" s="261"/>
      <c r="B395" s="1226"/>
      <c r="C395" s="1227"/>
      <c r="D395" s="575"/>
      <c r="E395" s="570"/>
      <c r="F395" s="263"/>
      <c r="G395" s="263"/>
      <c r="H395" s="264"/>
      <c r="I395" s="277"/>
      <c r="J395" s="278"/>
      <c r="K395" s="279"/>
      <c r="L395" s="264"/>
      <c r="M395" s="280"/>
      <c r="N395" s="264"/>
      <c r="O395" s="263"/>
      <c r="P395" s="280"/>
      <c r="Q395" s="263"/>
      <c r="R395" s="290"/>
      <c r="S395" s="262"/>
      <c r="T395" s="291"/>
      <c r="U395" s="264"/>
      <c r="V395" s="292"/>
      <c r="W395" s="292"/>
      <c r="X395" s="280"/>
      <c r="Y395" s="298"/>
    </row>
    <row r="396" spans="1:25" ht="17.25" customHeight="1">
      <c r="A396" s="261"/>
      <c r="B396" s="1226"/>
      <c r="C396" s="1227"/>
      <c r="D396" s="575"/>
      <c r="E396" s="570"/>
      <c r="F396" s="263"/>
      <c r="G396" s="263"/>
      <c r="H396" s="264"/>
      <c r="I396" s="277"/>
      <c r="J396" s="278"/>
      <c r="K396" s="279"/>
      <c r="L396" s="264"/>
      <c r="M396" s="280"/>
      <c r="N396" s="264"/>
      <c r="O396" s="263"/>
      <c r="P396" s="280"/>
      <c r="Q396" s="263"/>
      <c r="R396" s="290"/>
      <c r="S396" s="262"/>
      <c r="T396" s="291"/>
      <c r="U396" s="264"/>
      <c r="V396" s="292"/>
      <c r="W396" s="292"/>
      <c r="X396" s="280"/>
      <c r="Y396" s="298"/>
    </row>
    <row r="397" spans="1:25" ht="17.25" customHeight="1">
      <c r="A397" s="261"/>
      <c r="B397" s="1226"/>
      <c r="C397" s="1227"/>
      <c r="D397" s="575"/>
      <c r="E397" s="570"/>
      <c r="F397" s="263"/>
      <c r="G397" s="263"/>
      <c r="H397" s="264"/>
      <c r="I397" s="277"/>
      <c r="J397" s="278"/>
      <c r="K397" s="279"/>
      <c r="L397" s="264"/>
      <c r="M397" s="280"/>
      <c r="N397" s="264"/>
      <c r="O397" s="263"/>
      <c r="P397" s="280"/>
      <c r="Q397" s="263"/>
      <c r="R397" s="290"/>
      <c r="S397" s="262"/>
      <c r="T397" s="291"/>
      <c r="U397" s="264"/>
      <c r="V397" s="292"/>
      <c r="W397" s="292"/>
      <c r="X397" s="280"/>
      <c r="Y397" s="298"/>
    </row>
    <row r="398" spans="1:25" ht="17.25" customHeight="1">
      <c r="A398" s="261"/>
      <c r="B398" s="1226"/>
      <c r="C398" s="1227"/>
      <c r="D398" s="575"/>
      <c r="E398" s="570"/>
      <c r="F398" s="263"/>
      <c r="G398" s="263"/>
      <c r="H398" s="264"/>
      <c r="I398" s="277"/>
      <c r="J398" s="278"/>
      <c r="K398" s="279"/>
      <c r="L398" s="264"/>
      <c r="M398" s="280"/>
      <c r="N398" s="264"/>
      <c r="O398" s="263"/>
      <c r="P398" s="280"/>
      <c r="Q398" s="263"/>
      <c r="R398" s="290"/>
      <c r="S398" s="262"/>
      <c r="T398" s="291"/>
      <c r="U398" s="264"/>
      <c r="V398" s="292"/>
      <c r="W398" s="292"/>
      <c r="X398" s="280"/>
      <c r="Y398" s="298"/>
    </row>
    <row r="399" spans="1:25" ht="17.25" customHeight="1">
      <c r="A399" s="261"/>
      <c r="B399" s="1226"/>
      <c r="C399" s="1227"/>
      <c r="D399" s="575"/>
      <c r="E399" s="570"/>
      <c r="F399" s="263"/>
      <c r="G399" s="263"/>
      <c r="H399" s="264"/>
      <c r="I399" s="277"/>
      <c r="J399" s="278"/>
      <c r="K399" s="279"/>
      <c r="L399" s="264"/>
      <c r="M399" s="280"/>
      <c r="N399" s="264"/>
      <c r="O399" s="263"/>
      <c r="P399" s="280"/>
      <c r="Q399" s="263"/>
      <c r="R399" s="290"/>
      <c r="S399" s="262"/>
      <c r="T399" s="291"/>
      <c r="U399" s="264"/>
      <c r="V399" s="292"/>
      <c r="W399" s="292"/>
      <c r="X399" s="280"/>
      <c r="Y399" s="298"/>
    </row>
    <row r="400" spans="1:25" ht="17.25" customHeight="1">
      <c r="A400" s="261"/>
      <c r="B400" s="1226"/>
      <c r="C400" s="1227"/>
      <c r="D400" s="575"/>
      <c r="E400" s="570"/>
      <c r="F400" s="263"/>
      <c r="G400" s="263"/>
      <c r="H400" s="264"/>
      <c r="I400" s="277"/>
      <c r="J400" s="278"/>
      <c r="K400" s="279"/>
      <c r="L400" s="264"/>
      <c r="M400" s="280"/>
      <c r="N400" s="264"/>
      <c r="O400" s="263"/>
      <c r="P400" s="280"/>
      <c r="Q400" s="263"/>
      <c r="R400" s="290"/>
      <c r="S400" s="262"/>
      <c r="T400" s="291"/>
      <c r="U400" s="264"/>
      <c r="V400" s="292"/>
      <c r="W400" s="292"/>
      <c r="X400" s="280"/>
      <c r="Y400" s="298"/>
    </row>
    <row r="401" spans="1:25" ht="17.25" customHeight="1">
      <c r="A401" s="261"/>
      <c r="B401" s="1226"/>
      <c r="C401" s="1227"/>
      <c r="D401" s="575"/>
      <c r="E401" s="570"/>
      <c r="F401" s="263"/>
      <c r="G401" s="263"/>
      <c r="H401" s="264"/>
      <c r="I401" s="277"/>
      <c r="J401" s="278"/>
      <c r="K401" s="279"/>
      <c r="L401" s="264"/>
      <c r="M401" s="280"/>
      <c r="N401" s="264"/>
      <c r="O401" s="263"/>
      <c r="P401" s="280"/>
      <c r="Q401" s="263"/>
      <c r="R401" s="290"/>
      <c r="S401" s="262"/>
      <c r="T401" s="291"/>
      <c r="U401" s="264"/>
      <c r="V401" s="292"/>
      <c r="W401" s="292"/>
      <c r="X401" s="280"/>
      <c r="Y401" s="298"/>
    </row>
    <row r="402" spans="1:25" ht="17.25" customHeight="1">
      <c r="A402" s="261"/>
      <c r="B402" s="1226"/>
      <c r="C402" s="1227"/>
      <c r="D402" s="575"/>
      <c r="E402" s="570"/>
      <c r="F402" s="263"/>
      <c r="G402" s="263"/>
      <c r="H402" s="264"/>
      <c r="I402" s="277"/>
      <c r="J402" s="278"/>
      <c r="K402" s="279"/>
      <c r="L402" s="264"/>
      <c r="M402" s="280"/>
      <c r="N402" s="264"/>
      <c r="O402" s="263"/>
      <c r="P402" s="280"/>
      <c r="Q402" s="263"/>
      <c r="R402" s="290"/>
      <c r="S402" s="262"/>
      <c r="T402" s="291"/>
      <c r="U402" s="264"/>
      <c r="V402" s="292"/>
      <c r="W402" s="292"/>
      <c r="X402" s="280"/>
      <c r="Y402" s="298"/>
    </row>
    <row r="403" spans="1:25" ht="17.25" customHeight="1">
      <c r="A403" s="261"/>
      <c r="B403" s="1226"/>
      <c r="C403" s="1227"/>
      <c r="D403" s="575"/>
      <c r="E403" s="570"/>
      <c r="F403" s="263"/>
      <c r="G403" s="263"/>
      <c r="H403" s="264"/>
      <c r="I403" s="277"/>
      <c r="J403" s="278"/>
      <c r="K403" s="279"/>
      <c r="L403" s="264"/>
      <c r="M403" s="280"/>
      <c r="N403" s="264"/>
      <c r="O403" s="263"/>
      <c r="P403" s="280"/>
      <c r="Q403" s="263"/>
      <c r="R403" s="290"/>
      <c r="S403" s="262"/>
      <c r="T403" s="291"/>
      <c r="U403" s="264"/>
      <c r="V403" s="292"/>
      <c r="W403" s="292"/>
      <c r="X403" s="280"/>
      <c r="Y403" s="298"/>
    </row>
    <row r="404" spans="1:25" ht="17.25" customHeight="1">
      <c r="A404" s="1223"/>
      <c r="B404" s="1223"/>
      <c r="C404" s="1223"/>
      <c r="D404" s="1223"/>
      <c r="E404" s="1223"/>
      <c r="F404" s="1223"/>
      <c r="G404" s="1223"/>
      <c r="H404" s="1223"/>
      <c r="I404" s="1224"/>
      <c r="J404" s="1223"/>
      <c r="K404" s="1223"/>
      <c r="L404" s="1223"/>
      <c r="M404" s="1223"/>
      <c r="N404" s="1223"/>
      <c r="O404" s="1223"/>
      <c r="P404" s="1223"/>
      <c r="Q404" s="1223"/>
      <c r="R404" s="1223"/>
      <c r="S404" s="1223"/>
      <c r="T404" s="1224"/>
      <c r="U404" s="1223"/>
      <c r="V404" s="1223"/>
      <c r="W404" s="1223"/>
      <c r="X404" s="1223"/>
      <c r="Y404" s="1225"/>
    </row>
    <row r="405" spans="1:25" ht="17.25" customHeight="1">
      <c r="A405" s="261"/>
      <c r="B405" s="1226"/>
      <c r="C405" s="1227"/>
      <c r="D405" s="575"/>
      <c r="E405" s="570"/>
      <c r="F405" s="263"/>
      <c r="G405" s="263"/>
      <c r="H405" s="264"/>
      <c r="I405" s="277"/>
      <c r="J405" s="278"/>
      <c r="K405" s="279"/>
      <c r="L405" s="264"/>
      <c r="M405" s="280"/>
      <c r="N405" s="264"/>
      <c r="O405" s="263"/>
      <c r="P405" s="280"/>
      <c r="Q405" s="263"/>
      <c r="R405" s="290"/>
      <c r="S405" s="262"/>
      <c r="T405" s="291"/>
      <c r="U405" s="264"/>
      <c r="V405" s="292"/>
      <c r="W405" s="292"/>
      <c r="X405" s="280"/>
      <c r="Y405" s="298"/>
    </row>
    <row r="406" spans="1:25" ht="17.25" customHeight="1">
      <c r="A406" s="261"/>
      <c r="B406" s="1226"/>
      <c r="C406" s="1227"/>
      <c r="D406" s="575"/>
      <c r="E406" s="570"/>
      <c r="F406" s="263"/>
      <c r="G406" s="263"/>
      <c r="H406" s="264"/>
      <c r="I406" s="277"/>
      <c r="J406" s="278"/>
      <c r="K406" s="279"/>
      <c r="L406" s="264"/>
      <c r="M406" s="280"/>
      <c r="N406" s="264"/>
      <c r="O406" s="263"/>
      <c r="P406" s="280"/>
      <c r="Q406" s="263"/>
      <c r="R406" s="290"/>
      <c r="S406" s="262"/>
      <c r="T406" s="291"/>
      <c r="U406" s="264"/>
      <c r="V406" s="292"/>
      <c r="W406" s="292"/>
      <c r="X406" s="280"/>
      <c r="Y406" s="298"/>
    </row>
    <row r="407" spans="1:25" ht="17.25" customHeight="1">
      <c r="A407" s="261"/>
      <c r="B407" s="1226"/>
      <c r="C407" s="1227"/>
      <c r="D407" s="575"/>
      <c r="E407" s="570"/>
      <c r="F407" s="263"/>
      <c r="G407" s="263"/>
      <c r="H407" s="264"/>
      <c r="I407" s="277"/>
      <c r="J407" s="278"/>
      <c r="K407" s="279"/>
      <c r="L407" s="264"/>
      <c r="M407" s="280"/>
      <c r="N407" s="264"/>
      <c r="O407" s="263"/>
      <c r="P407" s="280"/>
      <c r="Q407" s="263"/>
      <c r="R407" s="290"/>
      <c r="S407" s="262"/>
      <c r="T407" s="291"/>
      <c r="U407" s="264"/>
      <c r="V407" s="292"/>
      <c r="W407" s="292"/>
      <c r="X407" s="280"/>
      <c r="Y407" s="298"/>
    </row>
    <row r="408" spans="1:25" ht="17.25" customHeight="1">
      <c r="A408" s="261"/>
      <c r="B408" s="1226"/>
      <c r="C408" s="1227"/>
      <c r="D408" s="575"/>
      <c r="E408" s="570"/>
      <c r="F408" s="263"/>
      <c r="G408" s="263"/>
      <c r="H408" s="264"/>
      <c r="I408" s="277"/>
      <c r="J408" s="278"/>
      <c r="K408" s="279"/>
      <c r="L408" s="607"/>
      <c r="M408" s="280"/>
      <c r="N408" s="264"/>
      <c r="O408" s="263"/>
      <c r="P408" s="280"/>
      <c r="Q408" s="263"/>
      <c r="R408" s="290"/>
      <c r="S408" s="262"/>
      <c r="T408" s="291"/>
      <c r="U408" s="264"/>
      <c r="V408" s="292"/>
      <c r="W408" s="292"/>
      <c r="X408" s="280"/>
      <c r="Y408" s="298"/>
    </row>
    <row r="409" spans="1:25" ht="17.25" customHeight="1">
      <c r="A409" s="261"/>
      <c r="B409" s="1226"/>
      <c r="C409" s="1227"/>
      <c r="D409" s="575"/>
      <c r="E409" s="570"/>
      <c r="F409" s="263"/>
      <c r="G409" s="263"/>
      <c r="H409" s="264"/>
      <c r="I409" s="277"/>
      <c r="J409" s="278"/>
      <c r="K409" s="279"/>
      <c r="L409" s="607"/>
      <c r="M409" s="280"/>
      <c r="N409" s="264"/>
      <c r="O409" s="263"/>
      <c r="P409" s="280"/>
      <c r="Q409" s="263"/>
      <c r="R409" s="290"/>
      <c r="S409" s="262"/>
      <c r="T409" s="291"/>
      <c r="U409" s="264"/>
      <c r="V409" s="292"/>
      <c r="W409" s="292"/>
      <c r="X409" s="280"/>
      <c r="Y409" s="298"/>
    </row>
    <row r="410" spans="1:25" ht="17.25" customHeight="1">
      <c r="A410" s="261"/>
      <c r="B410" s="1226"/>
      <c r="C410" s="1227"/>
      <c r="D410" s="575"/>
      <c r="E410" s="570"/>
      <c r="F410" s="263"/>
      <c r="G410" s="263"/>
      <c r="H410" s="264"/>
      <c r="I410" s="277"/>
      <c r="J410" s="278"/>
      <c r="K410" s="279"/>
      <c r="L410" s="607"/>
      <c r="M410" s="280"/>
      <c r="N410" s="264"/>
      <c r="O410" s="263"/>
      <c r="P410" s="280"/>
      <c r="Q410" s="263"/>
      <c r="R410" s="290"/>
      <c r="S410" s="262"/>
      <c r="T410" s="291"/>
      <c r="U410" s="264"/>
      <c r="V410" s="292"/>
      <c r="W410" s="292"/>
      <c r="X410" s="280"/>
      <c r="Y410" s="298"/>
    </row>
    <row r="411" spans="1:25" ht="17.25" customHeight="1">
      <c r="A411" s="261"/>
      <c r="B411" s="1226"/>
      <c r="C411" s="1227"/>
      <c r="D411" s="575"/>
      <c r="E411" s="570"/>
      <c r="F411" s="263"/>
      <c r="G411" s="263"/>
      <c r="H411" s="264"/>
      <c r="I411" s="277"/>
      <c r="J411" s="278"/>
      <c r="K411" s="279"/>
      <c r="L411" s="607"/>
      <c r="M411" s="280"/>
      <c r="N411" s="264"/>
      <c r="O411" s="263"/>
      <c r="P411" s="280"/>
      <c r="Q411" s="263"/>
      <c r="R411" s="290"/>
      <c r="S411" s="262"/>
      <c r="T411" s="291"/>
      <c r="U411" s="264"/>
      <c r="V411" s="292"/>
      <c r="W411" s="292"/>
      <c r="X411" s="280"/>
      <c r="Y411" s="298"/>
    </row>
    <row r="412" spans="1:25" ht="17.25" customHeight="1">
      <c r="A412" s="261"/>
      <c r="B412" s="1226"/>
      <c r="C412" s="1227"/>
      <c r="D412" s="575"/>
      <c r="E412" s="570"/>
      <c r="F412" s="263"/>
      <c r="G412" s="263"/>
      <c r="H412" s="264"/>
      <c r="I412" s="277"/>
      <c r="J412" s="278"/>
      <c r="K412" s="279"/>
      <c r="L412" s="607"/>
      <c r="M412" s="280"/>
      <c r="N412" s="264"/>
      <c r="O412" s="263"/>
      <c r="P412" s="280"/>
      <c r="Q412" s="263"/>
      <c r="R412" s="290"/>
      <c r="S412" s="262"/>
      <c r="T412" s="291"/>
      <c r="U412" s="264"/>
      <c r="V412" s="292"/>
      <c r="W412" s="292"/>
      <c r="X412" s="280"/>
      <c r="Y412" s="298"/>
    </row>
    <row r="413" spans="1:25" ht="17.25" customHeight="1">
      <c r="A413" s="261"/>
      <c r="B413" s="1226"/>
      <c r="C413" s="1227"/>
      <c r="D413" s="575"/>
      <c r="E413" s="570"/>
      <c r="F413" s="263"/>
      <c r="G413" s="263"/>
      <c r="H413" s="264"/>
      <c r="I413" s="277"/>
      <c r="J413" s="278"/>
      <c r="K413" s="279"/>
      <c r="L413" s="607"/>
      <c r="M413" s="280"/>
      <c r="N413" s="264"/>
      <c r="O413" s="263"/>
      <c r="P413" s="280"/>
      <c r="Q413" s="263"/>
      <c r="R413" s="290"/>
      <c r="S413" s="262"/>
      <c r="T413" s="291"/>
      <c r="U413" s="264"/>
      <c r="V413" s="292"/>
      <c r="W413" s="292"/>
      <c r="X413" s="280"/>
      <c r="Y413" s="298"/>
    </row>
    <row r="414" spans="1:25" ht="17.25" customHeight="1">
      <c r="A414" s="261"/>
      <c r="B414" s="1226"/>
      <c r="C414" s="1227"/>
      <c r="D414" s="575"/>
      <c r="E414" s="570"/>
      <c r="F414" s="263"/>
      <c r="G414" s="263"/>
      <c r="H414" s="264"/>
      <c r="I414" s="277"/>
      <c r="J414" s="278"/>
      <c r="K414" s="279"/>
      <c r="L414" s="607"/>
      <c r="M414" s="280"/>
      <c r="N414" s="264"/>
      <c r="O414" s="263"/>
      <c r="P414" s="280"/>
      <c r="Q414" s="263"/>
      <c r="R414" s="290"/>
      <c r="S414" s="262"/>
      <c r="T414" s="291"/>
      <c r="U414" s="264"/>
      <c r="V414" s="292"/>
      <c r="W414" s="292"/>
      <c r="X414" s="280"/>
      <c r="Y414" s="298"/>
    </row>
    <row r="415" spans="1:25" ht="17.25" customHeight="1">
      <c r="A415" s="261"/>
      <c r="B415" s="1226"/>
      <c r="C415" s="1227"/>
      <c r="D415" s="575"/>
      <c r="E415" s="570"/>
      <c r="F415" s="263"/>
      <c r="G415" s="263"/>
      <c r="H415" s="264"/>
      <c r="I415" s="277"/>
      <c r="J415" s="278"/>
      <c r="K415" s="279"/>
      <c r="L415" s="607"/>
      <c r="M415" s="280"/>
      <c r="N415" s="264"/>
      <c r="O415" s="263"/>
      <c r="P415" s="280"/>
      <c r="Q415" s="263"/>
      <c r="R415" s="290"/>
      <c r="S415" s="262"/>
      <c r="T415" s="291"/>
      <c r="U415" s="264"/>
      <c r="V415" s="292"/>
      <c r="W415" s="292"/>
      <c r="X415" s="280"/>
      <c r="Y415" s="298"/>
    </row>
    <row r="416" spans="1:25" ht="17.25" customHeight="1">
      <c r="A416" s="261"/>
      <c r="B416" s="1226"/>
      <c r="C416" s="1227"/>
      <c r="D416" s="575"/>
      <c r="E416" s="570"/>
      <c r="F416" s="263"/>
      <c r="G416" s="263"/>
      <c r="H416" s="264"/>
      <c r="I416" s="277"/>
      <c r="J416" s="278"/>
      <c r="K416" s="279"/>
      <c r="L416" s="607"/>
      <c r="M416" s="280"/>
      <c r="N416" s="264"/>
      <c r="O416" s="263"/>
      <c r="P416" s="280"/>
      <c r="Q416" s="263"/>
      <c r="R416" s="290"/>
      <c r="S416" s="262"/>
      <c r="T416" s="291"/>
      <c r="U416" s="264"/>
      <c r="V416" s="292"/>
      <c r="W416" s="292"/>
      <c r="X416" s="280"/>
      <c r="Y416" s="298"/>
    </row>
    <row r="417" spans="1:25" ht="17.25" customHeight="1">
      <c r="A417" s="261"/>
      <c r="B417" s="1226"/>
      <c r="C417" s="1227"/>
      <c r="D417" s="575"/>
      <c r="E417" s="570"/>
      <c r="F417" s="263"/>
      <c r="G417" s="263"/>
      <c r="H417" s="264"/>
      <c r="I417" s="277"/>
      <c r="J417" s="278"/>
      <c r="K417" s="279"/>
      <c r="L417" s="607"/>
      <c r="M417" s="280"/>
      <c r="N417" s="264"/>
      <c r="O417" s="263"/>
      <c r="P417" s="280"/>
      <c r="Q417" s="263"/>
      <c r="R417" s="290"/>
      <c r="S417" s="262"/>
      <c r="T417" s="291"/>
      <c r="U417" s="264"/>
      <c r="V417" s="292"/>
      <c r="W417" s="292"/>
      <c r="X417" s="280"/>
      <c r="Y417" s="298"/>
    </row>
    <row r="418" spans="1:25" ht="17.25" customHeight="1">
      <c r="A418" s="261"/>
      <c r="B418" s="1226"/>
      <c r="C418" s="1227"/>
      <c r="D418" s="575"/>
      <c r="E418" s="570"/>
      <c r="F418" s="263"/>
      <c r="G418" s="263"/>
      <c r="H418" s="264"/>
      <c r="I418" s="277"/>
      <c r="J418" s="278"/>
      <c r="K418" s="279"/>
      <c r="L418" s="607"/>
      <c r="M418" s="280"/>
      <c r="N418" s="264"/>
      <c r="O418" s="263"/>
      <c r="P418" s="280"/>
      <c r="Q418" s="263"/>
      <c r="R418" s="290"/>
      <c r="S418" s="262"/>
      <c r="T418" s="291"/>
      <c r="U418" s="264"/>
      <c r="V418" s="292"/>
      <c r="W418" s="292"/>
      <c r="X418" s="280"/>
      <c r="Y418" s="298"/>
    </row>
    <row r="419" spans="1:25" ht="17.25" customHeight="1">
      <c r="A419" s="261"/>
      <c r="B419" s="1226"/>
      <c r="C419" s="1227"/>
      <c r="D419" s="575"/>
      <c r="E419" s="570"/>
      <c r="F419" s="263"/>
      <c r="G419" s="263"/>
      <c r="H419" s="264"/>
      <c r="I419" s="277"/>
      <c r="J419" s="278"/>
      <c r="K419" s="279"/>
      <c r="L419" s="607"/>
      <c r="M419" s="280"/>
      <c r="N419" s="264"/>
      <c r="O419" s="263"/>
      <c r="P419" s="280"/>
      <c r="Q419" s="263"/>
      <c r="R419" s="290"/>
      <c r="S419" s="262"/>
      <c r="T419" s="291"/>
      <c r="U419" s="264"/>
      <c r="V419" s="292"/>
      <c r="W419" s="292"/>
      <c r="X419" s="280"/>
      <c r="Y419" s="298"/>
    </row>
    <row r="420" spans="1:25" ht="17.25" customHeight="1">
      <c r="A420" s="261"/>
      <c r="B420" s="1226"/>
      <c r="C420" s="1227"/>
      <c r="D420" s="575"/>
      <c r="E420" s="570"/>
      <c r="F420" s="263"/>
      <c r="G420" s="263"/>
      <c r="H420" s="264"/>
      <c r="I420" s="277"/>
      <c r="J420" s="278"/>
      <c r="K420" s="279"/>
      <c r="L420" s="607"/>
      <c r="M420" s="280"/>
      <c r="N420" s="264"/>
      <c r="O420" s="263"/>
      <c r="P420" s="280"/>
      <c r="Q420" s="263"/>
      <c r="R420" s="290"/>
      <c r="S420" s="262"/>
      <c r="T420" s="291"/>
      <c r="U420" s="264"/>
      <c r="V420" s="292"/>
      <c r="W420" s="292"/>
      <c r="X420" s="280"/>
      <c r="Y420" s="298"/>
    </row>
    <row r="421" spans="1:25" ht="17.25" customHeight="1">
      <c r="A421" s="261"/>
      <c r="B421" s="1226"/>
      <c r="C421" s="1227"/>
      <c r="D421" s="575"/>
      <c r="E421" s="570"/>
      <c r="F421" s="263"/>
      <c r="G421" s="263"/>
      <c r="H421" s="264"/>
      <c r="I421" s="277"/>
      <c r="J421" s="278"/>
      <c r="K421" s="279"/>
      <c r="L421" s="607"/>
      <c r="M421" s="280"/>
      <c r="N421" s="264"/>
      <c r="O421" s="263"/>
      <c r="P421" s="280"/>
      <c r="Q421" s="263"/>
      <c r="R421" s="290"/>
      <c r="S421" s="262"/>
      <c r="T421" s="291"/>
      <c r="U421" s="264"/>
      <c r="V421" s="292"/>
      <c r="W421" s="292"/>
      <c r="X421" s="280"/>
      <c r="Y421" s="298"/>
    </row>
    <row r="422" spans="1:25" ht="17.25" customHeight="1">
      <c r="A422" s="261"/>
      <c r="B422" s="1226"/>
      <c r="C422" s="1227"/>
      <c r="D422" s="575"/>
      <c r="E422" s="570"/>
      <c r="F422" s="263"/>
      <c r="G422" s="263"/>
      <c r="H422" s="264"/>
      <c r="I422" s="277"/>
      <c r="J422" s="278"/>
      <c r="K422" s="279"/>
      <c r="L422" s="607"/>
      <c r="M422" s="280"/>
      <c r="N422" s="264"/>
      <c r="O422" s="263"/>
      <c r="P422" s="280"/>
      <c r="Q422" s="263"/>
      <c r="R422" s="290"/>
      <c r="S422" s="262"/>
      <c r="T422" s="291"/>
      <c r="U422" s="264"/>
      <c r="V422" s="292"/>
      <c r="W422" s="292"/>
      <c r="X422" s="280"/>
      <c r="Y422" s="298"/>
    </row>
    <row r="423" spans="1:25" ht="17.25" customHeight="1">
      <c r="A423" s="261"/>
      <c r="B423" s="1226"/>
      <c r="C423" s="1227"/>
      <c r="D423" s="575"/>
      <c r="E423" s="570"/>
      <c r="F423" s="263"/>
      <c r="G423" s="263"/>
      <c r="H423" s="264"/>
      <c r="I423" s="277"/>
      <c r="J423" s="278"/>
      <c r="K423" s="279"/>
      <c r="L423" s="607"/>
      <c r="M423" s="280"/>
      <c r="N423" s="264"/>
      <c r="O423" s="263"/>
      <c r="P423" s="280"/>
      <c r="Q423" s="263"/>
      <c r="R423" s="290"/>
      <c r="S423" s="262"/>
      <c r="T423" s="291"/>
      <c r="U423" s="264"/>
      <c r="V423" s="292"/>
      <c r="W423" s="292"/>
      <c r="X423" s="280"/>
      <c r="Y423" s="298"/>
    </row>
    <row r="424" spans="1:25" ht="17.25" customHeight="1">
      <c r="A424" s="261"/>
      <c r="B424" s="1226"/>
      <c r="C424" s="1227"/>
      <c r="D424" s="575"/>
      <c r="E424" s="570"/>
      <c r="F424" s="263"/>
      <c r="G424" s="263"/>
      <c r="H424" s="264"/>
      <c r="I424" s="277"/>
      <c r="J424" s="278"/>
      <c r="K424" s="279"/>
      <c r="L424" s="607"/>
      <c r="M424" s="280"/>
      <c r="N424" s="264"/>
      <c r="O424" s="263"/>
      <c r="P424" s="280"/>
      <c r="Q424" s="263"/>
      <c r="R424" s="290"/>
      <c r="S424" s="262"/>
      <c r="T424" s="291"/>
      <c r="U424" s="264"/>
      <c r="V424" s="292"/>
      <c r="W424" s="292"/>
      <c r="X424" s="280"/>
      <c r="Y424" s="298"/>
    </row>
    <row r="425" spans="1:25" ht="17.25" customHeight="1">
      <c r="A425" s="261"/>
      <c r="B425" s="1226"/>
      <c r="C425" s="1227"/>
      <c r="D425" s="575"/>
      <c r="E425" s="570"/>
      <c r="F425" s="263"/>
      <c r="G425" s="263"/>
      <c r="H425" s="264"/>
      <c r="I425" s="277"/>
      <c r="J425" s="278"/>
      <c r="K425" s="279"/>
      <c r="L425" s="607"/>
      <c r="M425" s="280"/>
      <c r="N425" s="264"/>
      <c r="O425" s="263"/>
      <c r="P425" s="280"/>
      <c r="Q425" s="263"/>
      <c r="R425" s="290"/>
      <c r="S425" s="262"/>
      <c r="T425" s="291"/>
      <c r="U425" s="264"/>
      <c r="V425" s="292"/>
      <c r="W425" s="292"/>
      <c r="X425" s="280"/>
      <c r="Y425" s="298"/>
    </row>
    <row r="426" spans="1:25" ht="17.25" customHeight="1">
      <c r="A426" s="1223"/>
      <c r="B426" s="1223"/>
      <c r="C426" s="1223"/>
      <c r="D426" s="1223"/>
      <c r="E426" s="1223"/>
      <c r="F426" s="1223"/>
      <c r="G426" s="1223"/>
      <c r="H426" s="1223"/>
      <c r="I426" s="1224"/>
      <c r="J426" s="1223"/>
      <c r="K426" s="1223"/>
      <c r="L426" s="1223"/>
      <c r="M426" s="1223"/>
      <c r="N426" s="1223"/>
      <c r="O426" s="1223"/>
      <c r="P426" s="1223"/>
      <c r="Q426" s="1223"/>
      <c r="R426" s="1223"/>
      <c r="S426" s="1223"/>
      <c r="T426" s="1224"/>
      <c r="U426" s="1223"/>
      <c r="V426" s="1223"/>
      <c r="W426" s="1223"/>
      <c r="X426" s="1223"/>
      <c r="Y426" s="1225"/>
    </row>
    <row r="427" spans="1:25" ht="17.25" customHeight="1">
      <c r="A427" s="261"/>
      <c r="B427" s="623"/>
      <c r="C427" s="624"/>
      <c r="D427" s="575"/>
      <c r="E427" s="570"/>
      <c r="F427" s="263"/>
      <c r="G427" s="263"/>
      <c r="H427" s="264"/>
      <c r="I427" s="277"/>
      <c r="J427" s="278"/>
      <c r="K427" s="279"/>
      <c r="L427" s="264"/>
      <c r="M427" s="280"/>
      <c r="N427" s="264"/>
      <c r="O427" s="263"/>
      <c r="P427" s="280"/>
      <c r="Q427" s="263"/>
      <c r="R427" s="290"/>
      <c r="S427" s="262"/>
      <c r="T427" s="291"/>
      <c r="U427" s="264"/>
      <c r="V427" s="292"/>
      <c r="W427" s="292"/>
      <c r="X427" s="280"/>
      <c r="Y427" s="298"/>
    </row>
    <row r="428" spans="1:25" ht="17.25" customHeight="1">
      <c r="A428" s="261"/>
      <c r="B428" s="1226"/>
      <c r="C428" s="1227"/>
      <c r="D428" s="575"/>
      <c r="E428" s="570"/>
      <c r="F428" s="263"/>
      <c r="G428" s="263"/>
      <c r="H428" s="264"/>
      <c r="I428" s="277"/>
      <c r="J428" s="278"/>
      <c r="K428" s="279"/>
      <c r="L428" s="264"/>
      <c r="M428" s="280"/>
      <c r="N428" s="264"/>
      <c r="O428" s="263"/>
      <c r="P428" s="280"/>
      <c r="Q428" s="263"/>
      <c r="R428" s="290"/>
      <c r="S428" s="262"/>
      <c r="T428" s="291"/>
      <c r="U428" s="264"/>
      <c r="V428" s="292"/>
      <c r="W428" s="292"/>
      <c r="X428" s="280"/>
      <c r="Y428" s="298"/>
    </row>
    <row r="429" spans="1:25" ht="17.25" customHeight="1">
      <c r="A429" s="261"/>
      <c r="B429" s="1226"/>
      <c r="C429" s="1227"/>
      <c r="D429" s="575"/>
      <c r="E429" s="570"/>
      <c r="F429" s="263"/>
      <c r="G429" s="263"/>
      <c r="H429" s="264"/>
      <c r="I429" s="277"/>
      <c r="J429" s="278"/>
      <c r="K429" s="279"/>
      <c r="L429" s="264"/>
      <c r="M429" s="280"/>
      <c r="N429" s="264"/>
      <c r="O429" s="263"/>
      <c r="P429" s="280"/>
      <c r="Q429" s="263"/>
      <c r="R429" s="290"/>
      <c r="S429" s="262"/>
      <c r="T429" s="291"/>
      <c r="U429" s="264"/>
      <c r="V429" s="292"/>
      <c r="W429" s="292"/>
      <c r="X429" s="280"/>
      <c r="Y429" s="298"/>
    </row>
    <row r="430" spans="1:25" ht="17.25" customHeight="1">
      <c r="A430" s="261"/>
      <c r="B430" s="1226"/>
      <c r="C430" s="1227"/>
      <c r="D430" s="575"/>
      <c r="E430" s="570"/>
      <c r="F430" s="263"/>
      <c r="G430" s="263"/>
      <c r="H430" s="264"/>
      <c r="I430" s="277"/>
      <c r="J430" s="278"/>
      <c r="K430" s="279"/>
      <c r="L430" s="264"/>
      <c r="M430" s="280"/>
      <c r="N430" s="264"/>
      <c r="O430" s="263"/>
      <c r="P430" s="280"/>
      <c r="Q430" s="263"/>
      <c r="R430" s="290"/>
      <c r="S430" s="262"/>
      <c r="T430" s="291"/>
      <c r="U430" s="264"/>
      <c r="V430" s="292"/>
      <c r="W430" s="292"/>
      <c r="X430" s="280"/>
      <c r="Y430" s="298"/>
    </row>
    <row r="431" spans="1:25" ht="17.25" customHeight="1">
      <c r="A431" s="261"/>
      <c r="B431" s="1226"/>
      <c r="C431" s="1227"/>
      <c r="D431" s="575"/>
      <c r="E431" s="570"/>
      <c r="F431" s="263"/>
      <c r="G431" s="263"/>
      <c r="H431" s="264"/>
      <c r="I431" s="277"/>
      <c r="J431" s="278"/>
      <c r="K431" s="279"/>
      <c r="L431" s="264"/>
      <c r="M431" s="280"/>
      <c r="N431" s="264"/>
      <c r="O431" s="263"/>
      <c r="P431" s="280"/>
      <c r="Q431" s="263"/>
      <c r="R431" s="290"/>
      <c r="S431" s="262"/>
      <c r="T431" s="291"/>
      <c r="U431" s="264"/>
      <c r="V431" s="292"/>
      <c r="W431" s="292"/>
      <c r="X431" s="280"/>
      <c r="Y431" s="298"/>
    </row>
    <row r="432" spans="1:25" ht="17.25" customHeight="1">
      <c r="A432" s="261"/>
      <c r="B432" s="1226"/>
      <c r="C432" s="1227"/>
      <c r="D432" s="575"/>
      <c r="E432" s="570"/>
      <c r="F432" s="263"/>
      <c r="G432" s="263"/>
      <c r="H432" s="264"/>
      <c r="I432" s="277"/>
      <c r="J432" s="278"/>
      <c r="K432" s="279"/>
      <c r="L432" s="264"/>
      <c r="M432" s="280"/>
      <c r="N432" s="264"/>
      <c r="O432" s="263"/>
      <c r="P432" s="280"/>
      <c r="Q432" s="263"/>
      <c r="R432" s="290"/>
      <c r="S432" s="262"/>
      <c r="T432" s="291"/>
      <c r="U432" s="264"/>
      <c r="V432" s="292"/>
      <c r="W432" s="292"/>
      <c r="X432" s="280"/>
      <c r="Y432" s="298"/>
    </row>
    <row r="433" spans="1:25" ht="17.25" customHeight="1">
      <c r="A433" s="261"/>
      <c r="B433" s="1226"/>
      <c r="C433" s="1227"/>
      <c r="D433" s="575"/>
      <c r="E433" s="570"/>
      <c r="F433" s="263"/>
      <c r="G433" s="263"/>
      <c r="H433" s="264"/>
      <c r="I433" s="277"/>
      <c r="J433" s="278"/>
      <c r="K433" s="279"/>
      <c r="L433" s="264"/>
      <c r="M433" s="280"/>
      <c r="N433" s="264"/>
      <c r="O433" s="263"/>
      <c r="P433" s="280"/>
      <c r="Q433" s="263"/>
      <c r="R433" s="290"/>
      <c r="S433" s="262"/>
      <c r="T433" s="291"/>
      <c r="U433" s="264"/>
      <c r="V433" s="292"/>
      <c r="W433" s="292"/>
      <c r="X433" s="280"/>
      <c r="Y433" s="298"/>
    </row>
    <row r="434" spans="1:25" ht="17.25" customHeight="1">
      <c r="A434" s="261"/>
      <c r="B434" s="1226"/>
      <c r="C434" s="1227"/>
      <c r="D434" s="575"/>
      <c r="E434" s="570"/>
      <c r="F434" s="263"/>
      <c r="G434" s="263"/>
      <c r="H434" s="264"/>
      <c r="I434" s="277"/>
      <c r="J434" s="278"/>
      <c r="K434" s="279"/>
      <c r="L434" s="264"/>
      <c r="M434" s="280"/>
      <c r="N434" s="264"/>
      <c r="O434" s="263"/>
      <c r="P434" s="280"/>
      <c r="Q434" s="263"/>
      <c r="R434" s="290"/>
      <c r="S434" s="262"/>
      <c r="T434" s="291"/>
      <c r="U434" s="264"/>
      <c r="V434" s="292"/>
      <c r="W434" s="292"/>
      <c r="X434" s="280"/>
      <c r="Y434" s="298"/>
    </row>
    <row r="435" spans="1:25" ht="17.25" customHeight="1">
      <c r="A435" s="261"/>
      <c r="B435" s="1226"/>
      <c r="C435" s="1227"/>
      <c r="D435" s="575"/>
      <c r="E435" s="570"/>
      <c r="F435" s="263"/>
      <c r="G435" s="263"/>
      <c r="H435" s="264"/>
      <c r="I435" s="277"/>
      <c r="J435" s="278"/>
      <c r="K435" s="279"/>
      <c r="L435" s="264"/>
      <c r="M435" s="280"/>
      <c r="N435" s="264"/>
      <c r="O435" s="263"/>
      <c r="P435" s="280"/>
      <c r="Q435" s="263"/>
      <c r="R435" s="290"/>
      <c r="S435" s="262"/>
      <c r="T435" s="291"/>
      <c r="U435" s="264"/>
      <c r="V435" s="292"/>
      <c r="W435" s="292"/>
      <c r="X435" s="280"/>
      <c r="Y435" s="298"/>
    </row>
    <row r="436" spans="1:25" ht="17.25" customHeight="1">
      <c r="A436" s="261"/>
      <c r="B436" s="1226"/>
      <c r="C436" s="1227"/>
      <c r="D436" s="575"/>
      <c r="E436" s="570"/>
      <c r="F436" s="263"/>
      <c r="G436" s="263"/>
      <c r="H436" s="264"/>
      <c r="I436" s="277"/>
      <c r="J436" s="278"/>
      <c r="K436" s="279"/>
      <c r="L436" s="264"/>
      <c r="M436" s="280"/>
      <c r="N436" s="264"/>
      <c r="O436" s="263"/>
      <c r="P436" s="280"/>
      <c r="Q436" s="263"/>
      <c r="R436" s="290"/>
      <c r="S436" s="262"/>
      <c r="T436" s="291"/>
      <c r="U436" s="264"/>
      <c r="V436" s="292"/>
      <c r="W436" s="292"/>
      <c r="X436" s="280"/>
      <c r="Y436" s="298"/>
    </row>
    <row r="437" spans="1:25" ht="17.25" customHeight="1">
      <c r="A437" s="261"/>
      <c r="B437" s="1226"/>
      <c r="C437" s="1227"/>
      <c r="D437" s="575"/>
      <c r="E437" s="570"/>
      <c r="F437" s="263"/>
      <c r="G437" s="263"/>
      <c r="H437" s="264"/>
      <c r="I437" s="277"/>
      <c r="J437" s="278"/>
      <c r="K437" s="279"/>
      <c r="L437" s="264"/>
      <c r="M437" s="280"/>
      <c r="N437" s="264"/>
      <c r="O437" s="263"/>
      <c r="P437" s="280"/>
      <c r="Q437" s="263"/>
      <c r="R437" s="290"/>
      <c r="S437" s="262"/>
      <c r="T437" s="291"/>
      <c r="U437" s="264"/>
      <c r="V437" s="292"/>
      <c r="W437" s="292"/>
      <c r="X437" s="280"/>
      <c r="Y437" s="298"/>
    </row>
    <row r="438" spans="1:25" ht="17.25" customHeight="1">
      <c r="A438" s="261"/>
      <c r="B438" s="1226"/>
      <c r="C438" s="1227"/>
      <c r="D438" s="575"/>
      <c r="E438" s="570"/>
      <c r="F438" s="263"/>
      <c r="G438" s="263"/>
      <c r="H438" s="264"/>
      <c r="I438" s="277"/>
      <c r="J438" s="278"/>
      <c r="K438" s="279"/>
      <c r="L438" s="264"/>
      <c r="M438" s="280"/>
      <c r="N438" s="264"/>
      <c r="O438" s="263"/>
      <c r="P438" s="280"/>
      <c r="Q438" s="263"/>
      <c r="R438" s="290"/>
      <c r="S438" s="262"/>
      <c r="T438" s="291"/>
      <c r="U438" s="264"/>
      <c r="V438" s="292"/>
      <c r="W438" s="292"/>
      <c r="X438" s="280"/>
      <c r="Y438" s="298"/>
    </row>
    <row r="439" spans="1:25" ht="17.25" customHeight="1">
      <c r="A439" s="261"/>
      <c r="B439" s="1226"/>
      <c r="C439" s="1227"/>
      <c r="D439" s="575"/>
      <c r="E439" s="570"/>
      <c r="F439" s="263"/>
      <c r="G439" s="263"/>
      <c r="H439" s="264"/>
      <c r="I439" s="277"/>
      <c r="J439" s="278"/>
      <c r="K439" s="279"/>
      <c r="L439" s="264"/>
      <c r="M439" s="280"/>
      <c r="N439" s="264"/>
      <c r="O439" s="263"/>
      <c r="P439" s="280"/>
      <c r="Q439" s="263"/>
      <c r="R439" s="290"/>
      <c r="S439" s="262"/>
      <c r="T439" s="291"/>
      <c r="U439" s="264"/>
      <c r="V439" s="292"/>
      <c r="W439" s="292"/>
      <c r="X439" s="280"/>
      <c r="Y439" s="298"/>
    </row>
    <row r="440" spans="1:25" ht="17.25" customHeight="1">
      <c r="A440" s="261"/>
      <c r="B440" s="1226"/>
      <c r="C440" s="1227"/>
      <c r="D440" s="575"/>
      <c r="E440" s="570"/>
      <c r="F440" s="263"/>
      <c r="G440" s="263"/>
      <c r="H440" s="264"/>
      <c r="I440" s="277"/>
      <c r="J440" s="278"/>
      <c r="K440" s="279"/>
      <c r="L440" s="264"/>
      <c r="M440" s="280"/>
      <c r="N440" s="264"/>
      <c r="O440" s="263"/>
      <c r="P440" s="280"/>
      <c r="Q440" s="263"/>
      <c r="R440" s="290"/>
      <c r="S440" s="262"/>
      <c r="T440" s="291"/>
      <c r="U440" s="264"/>
      <c r="V440" s="292"/>
      <c r="W440" s="292"/>
      <c r="X440" s="280"/>
      <c r="Y440" s="298"/>
    </row>
    <row r="441" spans="1:25" ht="17.25" customHeight="1">
      <c r="A441" s="261"/>
      <c r="B441" s="1226"/>
      <c r="C441" s="1227"/>
      <c r="D441" s="575"/>
      <c r="E441" s="570"/>
      <c r="F441" s="263"/>
      <c r="G441" s="263"/>
      <c r="H441" s="264"/>
      <c r="I441" s="277"/>
      <c r="J441" s="278"/>
      <c r="K441" s="279"/>
      <c r="L441" s="264"/>
      <c r="M441" s="280"/>
      <c r="N441" s="264"/>
      <c r="O441" s="263"/>
      <c r="P441" s="280"/>
      <c r="Q441" s="263"/>
      <c r="R441" s="290"/>
      <c r="S441" s="262"/>
      <c r="T441" s="291"/>
      <c r="U441" s="264"/>
      <c r="V441" s="292"/>
      <c r="W441" s="292"/>
      <c r="X441" s="280"/>
      <c r="Y441" s="298"/>
    </row>
    <row r="442" spans="1:25" ht="17.25" customHeight="1">
      <c r="A442" s="261"/>
      <c r="B442" s="1226"/>
      <c r="C442" s="1227"/>
      <c r="D442" s="575"/>
      <c r="E442" s="570"/>
      <c r="F442" s="263"/>
      <c r="G442" s="263"/>
      <c r="H442" s="264"/>
      <c r="I442" s="277"/>
      <c r="J442" s="278"/>
      <c r="K442" s="279"/>
      <c r="L442" s="264"/>
      <c r="M442" s="280"/>
      <c r="N442" s="264"/>
      <c r="O442" s="263"/>
      <c r="P442" s="280"/>
      <c r="Q442" s="263"/>
      <c r="R442" s="290"/>
      <c r="S442" s="262"/>
      <c r="T442" s="291"/>
      <c r="U442" s="264"/>
      <c r="V442" s="292"/>
      <c r="W442" s="292"/>
      <c r="X442" s="280"/>
      <c r="Y442" s="298"/>
    </row>
    <row r="443" spans="1:25" ht="17.25" customHeight="1">
      <c r="A443" s="261"/>
      <c r="B443" s="1226"/>
      <c r="C443" s="1227"/>
      <c r="D443" s="575"/>
      <c r="E443" s="570"/>
      <c r="F443" s="263"/>
      <c r="G443" s="263"/>
      <c r="H443" s="264"/>
      <c r="I443" s="277"/>
      <c r="J443" s="278"/>
      <c r="K443" s="279"/>
      <c r="L443" s="264"/>
      <c r="M443" s="280"/>
      <c r="N443" s="264"/>
      <c r="O443" s="263"/>
      <c r="P443" s="280"/>
      <c r="Q443" s="263"/>
      <c r="R443" s="290"/>
      <c r="S443" s="262"/>
      <c r="T443" s="291"/>
      <c r="U443" s="264"/>
      <c r="V443" s="292"/>
      <c r="W443" s="292"/>
      <c r="X443" s="280"/>
      <c r="Y443" s="298"/>
    </row>
    <row r="444" spans="1:25" ht="17.25" customHeight="1">
      <c r="A444" s="261"/>
      <c r="B444" s="1226"/>
      <c r="C444" s="1227"/>
      <c r="D444" s="575"/>
      <c r="E444" s="570"/>
      <c r="F444" s="263"/>
      <c r="G444" s="263"/>
      <c r="H444" s="264"/>
      <c r="I444" s="277"/>
      <c r="J444" s="278"/>
      <c r="K444" s="279"/>
      <c r="L444" s="264"/>
      <c r="M444" s="280"/>
      <c r="N444" s="264"/>
      <c r="O444" s="263"/>
      <c r="P444" s="280"/>
      <c r="Q444" s="263"/>
      <c r="R444" s="290"/>
      <c r="S444" s="262"/>
      <c r="T444" s="291"/>
      <c r="U444" s="264"/>
      <c r="V444" s="292"/>
      <c r="W444" s="292"/>
      <c r="X444" s="280"/>
      <c r="Y444" s="298"/>
    </row>
    <row r="445" spans="1:25" ht="17.25" customHeight="1">
      <c r="A445" s="261"/>
      <c r="B445" s="1226"/>
      <c r="C445" s="1227"/>
      <c r="D445" s="575"/>
      <c r="E445" s="570"/>
      <c r="F445" s="263"/>
      <c r="G445" s="263"/>
      <c r="H445" s="264"/>
      <c r="I445" s="277"/>
      <c r="J445" s="278"/>
      <c r="K445" s="279"/>
      <c r="L445" s="264"/>
      <c r="M445" s="280"/>
      <c r="N445" s="264"/>
      <c r="O445" s="263"/>
      <c r="P445" s="280"/>
      <c r="Q445" s="263"/>
      <c r="R445" s="290"/>
      <c r="S445" s="262"/>
      <c r="T445" s="291"/>
      <c r="U445" s="264"/>
      <c r="V445" s="292"/>
      <c r="W445" s="292"/>
      <c r="X445" s="280"/>
      <c r="Y445" s="298"/>
    </row>
    <row r="446" spans="1:25" ht="17.25" customHeight="1">
      <c r="A446" s="261"/>
      <c r="B446" s="1226"/>
      <c r="C446" s="1227"/>
      <c r="D446" s="575"/>
      <c r="E446" s="570"/>
      <c r="F446" s="263"/>
      <c r="G446" s="263"/>
      <c r="H446" s="264"/>
      <c r="I446" s="277"/>
      <c r="J446" s="278"/>
      <c r="K446" s="279"/>
      <c r="L446" s="264"/>
      <c r="M446" s="280"/>
      <c r="N446" s="264"/>
      <c r="O446" s="263"/>
      <c r="P446" s="280"/>
      <c r="Q446" s="263"/>
      <c r="R446" s="290"/>
      <c r="S446" s="262"/>
      <c r="T446" s="291"/>
      <c r="U446" s="264"/>
      <c r="V446" s="292"/>
      <c r="W446" s="292"/>
      <c r="X446" s="280"/>
      <c r="Y446" s="298"/>
    </row>
    <row r="447" spans="1:25" ht="17.25" customHeight="1">
      <c r="A447" s="261"/>
      <c r="B447" s="1226"/>
      <c r="C447" s="1227"/>
      <c r="D447" s="575"/>
      <c r="E447" s="570"/>
      <c r="F447" s="263"/>
      <c r="G447" s="263"/>
      <c r="H447" s="264"/>
      <c r="I447" s="277"/>
      <c r="J447" s="278"/>
      <c r="K447" s="279"/>
      <c r="L447" s="264"/>
      <c r="M447" s="280"/>
      <c r="N447" s="264"/>
      <c r="O447" s="263"/>
      <c r="P447" s="280"/>
      <c r="Q447" s="263"/>
      <c r="R447" s="290"/>
      <c r="S447" s="262"/>
      <c r="T447" s="291"/>
      <c r="U447" s="264"/>
      <c r="V447" s="292"/>
      <c r="W447" s="292"/>
      <c r="X447" s="280"/>
      <c r="Y447" s="298"/>
    </row>
    <row r="448" spans="1:25" ht="17.25" customHeight="1">
      <c r="A448" s="261"/>
      <c r="B448" s="1226"/>
      <c r="C448" s="1227"/>
      <c r="D448" s="575"/>
      <c r="E448" s="570"/>
      <c r="F448" s="263"/>
      <c r="G448" s="263"/>
      <c r="H448" s="264"/>
      <c r="I448" s="277"/>
      <c r="J448" s="278"/>
      <c r="K448" s="279"/>
      <c r="L448" s="264"/>
      <c r="M448" s="280"/>
      <c r="N448" s="264"/>
      <c r="O448" s="263"/>
      <c r="P448" s="280"/>
      <c r="Q448" s="263"/>
      <c r="R448" s="290"/>
      <c r="S448" s="262"/>
      <c r="T448" s="291"/>
      <c r="U448" s="264"/>
      <c r="V448" s="292"/>
      <c r="W448" s="292"/>
      <c r="X448" s="280"/>
      <c r="Y448" s="298"/>
    </row>
    <row r="449" spans="1:25" ht="17.25" customHeight="1">
      <c r="A449" s="261"/>
      <c r="B449" s="1226"/>
      <c r="C449" s="1227"/>
      <c r="D449" s="575"/>
      <c r="E449" s="570"/>
      <c r="F449" s="263"/>
      <c r="G449" s="263"/>
      <c r="H449" s="264"/>
      <c r="I449" s="277"/>
      <c r="J449" s="278"/>
      <c r="K449" s="279"/>
      <c r="L449" s="264"/>
      <c r="M449" s="280"/>
      <c r="N449" s="264"/>
      <c r="O449" s="263"/>
      <c r="P449" s="280"/>
      <c r="Q449" s="263"/>
      <c r="R449" s="290"/>
      <c r="S449" s="262"/>
      <c r="T449" s="291"/>
      <c r="U449" s="264"/>
      <c r="V449" s="292"/>
      <c r="W449" s="292"/>
      <c r="X449" s="280"/>
      <c r="Y449" s="298"/>
    </row>
    <row r="450" spans="1:25" ht="17.25" customHeight="1">
      <c r="A450" s="261"/>
      <c r="B450" s="1226"/>
      <c r="C450" s="1227"/>
      <c r="D450" s="575"/>
      <c r="E450" s="570"/>
      <c r="F450" s="263"/>
      <c r="G450" s="263"/>
      <c r="H450" s="264"/>
      <c r="I450" s="277"/>
      <c r="J450" s="278"/>
      <c r="K450" s="279"/>
      <c r="L450" s="264"/>
      <c r="M450" s="280"/>
      <c r="N450" s="264"/>
      <c r="O450" s="263"/>
      <c r="P450" s="280"/>
      <c r="Q450" s="263"/>
      <c r="R450" s="290"/>
      <c r="S450" s="262"/>
      <c r="T450" s="291"/>
      <c r="U450" s="264"/>
      <c r="V450" s="292"/>
      <c r="W450" s="292"/>
      <c r="X450" s="280"/>
      <c r="Y450" s="298"/>
    </row>
    <row r="451" spans="1:25" ht="17.25" customHeight="1">
      <c r="A451" s="261"/>
      <c r="B451" s="1226"/>
      <c r="C451" s="1227"/>
      <c r="D451" s="575"/>
      <c r="E451" s="570"/>
      <c r="F451" s="263"/>
      <c r="G451" s="263"/>
      <c r="H451" s="264"/>
      <c r="I451" s="277"/>
      <c r="J451" s="278"/>
      <c r="K451" s="279"/>
      <c r="L451" s="264"/>
      <c r="M451" s="280"/>
      <c r="N451" s="264"/>
      <c r="O451" s="263"/>
      <c r="P451" s="280"/>
      <c r="Q451" s="263"/>
      <c r="R451" s="290"/>
      <c r="S451" s="262"/>
      <c r="T451" s="291"/>
      <c r="U451" s="264"/>
      <c r="V451" s="292"/>
      <c r="W451" s="292"/>
      <c r="X451" s="280"/>
      <c r="Y451" s="298"/>
    </row>
    <row r="452" spans="1:25" ht="17.25" customHeight="1">
      <c r="A452" s="261"/>
      <c r="B452" s="1226"/>
      <c r="C452" s="1227"/>
      <c r="D452" s="575"/>
      <c r="E452" s="570"/>
      <c r="F452" s="263"/>
      <c r="G452" s="263"/>
      <c r="H452" s="264"/>
      <c r="I452" s="277"/>
      <c r="J452" s="278"/>
      <c r="K452" s="279"/>
      <c r="L452" s="264"/>
      <c r="M452" s="280"/>
      <c r="N452" s="264"/>
      <c r="O452" s="263"/>
      <c r="P452" s="280"/>
      <c r="Q452" s="263"/>
      <c r="R452" s="290"/>
      <c r="S452" s="262"/>
      <c r="T452" s="291"/>
      <c r="U452" s="264"/>
      <c r="V452" s="292"/>
      <c r="W452" s="292"/>
      <c r="X452" s="280"/>
      <c r="Y452" s="298"/>
    </row>
    <row r="453" spans="1:25" ht="17.25" customHeight="1">
      <c r="A453" s="261"/>
      <c r="B453" s="1226"/>
      <c r="C453" s="1227"/>
      <c r="D453" s="575"/>
      <c r="E453" s="570"/>
      <c r="F453" s="263"/>
      <c r="G453" s="263"/>
      <c r="H453" s="264"/>
      <c r="I453" s="277"/>
      <c r="J453" s="278"/>
      <c r="K453" s="279"/>
      <c r="L453" s="264"/>
      <c r="M453" s="280"/>
      <c r="N453" s="264"/>
      <c r="O453" s="263"/>
      <c r="P453" s="280"/>
      <c r="Q453" s="263"/>
      <c r="R453" s="290"/>
      <c r="S453" s="262"/>
      <c r="T453" s="291"/>
      <c r="U453" s="264"/>
      <c r="V453" s="292"/>
      <c r="W453" s="292"/>
      <c r="X453" s="280"/>
      <c r="Y453" s="298"/>
    </row>
    <row r="454" spans="1:25" ht="17.25" customHeight="1">
      <c r="A454" s="261"/>
      <c r="B454" s="1226"/>
      <c r="C454" s="1227"/>
      <c r="D454" s="575"/>
      <c r="E454" s="570"/>
      <c r="F454" s="263"/>
      <c r="G454" s="263"/>
      <c r="H454" s="264"/>
      <c r="I454" s="277"/>
      <c r="J454" s="278"/>
      <c r="K454" s="279"/>
      <c r="L454" s="264"/>
      <c r="M454" s="280"/>
      <c r="N454" s="264"/>
      <c r="O454" s="263"/>
      <c r="P454" s="280"/>
      <c r="Q454" s="263"/>
      <c r="R454" s="290"/>
      <c r="S454" s="262"/>
      <c r="T454" s="291"/>
      <c r="U454" s="264"/>
      <c r="V454" s="292"/>
      <c r="W454" s="292"/>
      <c r="X454" s="280"/>
      <c r="Y454" s="298"/>
    </row>
    <row r="455" spans="1:25" ht="17.25" customHeight="1">
      <c r="A455" s="261"/>
      <c r="B455" s="1226"/>
      <c r="C455" s="1227"/>
      <c r="D455" s="575"/>
      <c r="E455" s="570"/>
      <c r="F455" s="263"/>
      <c r="G455" s="263"/>
      <c r="H455" s="264"/>
      <c r="I455" s="277"/>
      <c r="J455" s="278"/>
      <c r="K455" s="279"/>
      <c r="L455" s="264"/>
      <c r="M455" s="280"/>
      <c r="N455" s="264"/>
      <c r="O455" s="263"/>
      <c r="P455" s="280"/>
      <c r="Q455" s="263"/>
      <c r="R455" s="290"/>
      <c r="S455" s="262"/>
      <c r="T455" s="291"/>
      <c r="U455" s="264"/>
      <c r="V455" s="292"/>
      <c r="W455" s="292"/>
      <c r="X455" s="280"/>
      <c r="Y455" s="298"/>
    </row>
    <row r="456" spans="1:25" ht="17.25" customHeight="1">
      <c r="A456" s="261"/>
      <c r="B456" s="1226"/>
      <c r="C456" s="1227"/>
      <c r="D456" s="575"/>
      <c r="E456" s="570"/>
      <c r="F456" s="263"/>
      <c r="G456" s="263"/>
      <c r="H456" s="264"/>
      <c r="I456" s="277"/>
      <c r="J456" s="278"/>
      <c r="K456" s="279"/>
      <c r="L456" s="264"/>
      <c r="M456" s="280"/>
      <c r="N456" s="264"/>
      <c r="O456" s="263"/>
      <c r="P456" s="280"/>
      <c r="Q456" s="263"/>
      <c r="R456" s="290"/>
      <c r="S456" s="262"/>
      <c r="T456" s="291"/>
      <c r="U456" s="264"/>
      <c r="V456" s="292"/>
      <c r="W456" s="292"/>
      <c r="X456" s="280"/>
      <c r="Y456" s="298"/>
    </row>
    <row r="457" spans="1:25" ht="17.25" customHeight="1">
      <c r="A457" s="261"/>
      <c r="B457" s="1226"/>
      <c r="C457" s="1227"/>
      <c r="D457" s="575"/>
      <c r="E457" s="570"/>
      <c r="F457" s="263"/>
      <c r="G457" s="263"/>
      <c r="H457" s="264"/>
      <c r="I457" s="277"/>
      <c r="J457" s="278"/>
      <c r="K457" s="279"/>
      <c r="L457" s="264"/>
      <c r="M457" s="280"/>
      <c r="N457" s="264"/>
      <c r="O457" s="263"/>
      <c r="P457" s="280"/>
      <c r="Q457" s="263"/>
      <c r="R457" s="290"/>
      <c r="S457" s="262"/>
      <c r="T457" s="291"/>
      <c r="U457" s="630"/>
      <c r="V457" s="292"/>
      <c r="W457" s="292"/>
      <c r="X457" s="280"/>
      <c r="Y457" s="298"/>
    </row>
    <row r="458" spans="1:25" ht="17.25" customHeight="1">
      <c r="A458" s="261"/>
      <c r="B458" s="1226"/>
      <c r="C458" s="1227"/>
      <c r="D458" s="575"/>
      <c r="E458" s="570"/>
      <c r="F458" s="263"/>
      <c r="G458" s="263"/>
      <c r="H458" s="264"/>
      <c r="I458" s="277"/>
      <c r="J458" s="278"/>
      <c r="K458" s="279"/>
      <c r="L458" s="264"/>
      <c r="M458" s="280"/>
      <c r="N458" s="264"/>
      <c r="O458" s="263"/>
      <c r="P458" s="280"/>
      <c r="Q458" s="263"/>
      <c r="R458" s="290"/>
      <c r="S458" s="262"/>
      <c r="T458" s="291"/>
      <c r="U458" s="630"/>
      <c r="V458" s="292"/>
      <c r="W458" s="292"/>
      <c r="X458" s="280"/>
      <c r="Y458" s="298"/>
    </row>
    <row r="459" spans="1:25" ht="17.25" customHeight="1">
      <c r="A459" s="261"/>
      <c r="B459" s="1226"/>
      <c r="C459" s="1227"/>
      <c r="D459" s="575"/>
      <c r="E459" s="570"/>
      <c r="F459" s="263"/>
      <c r="G459" s="263"/>
      <c r="H459" s="264"/>
      <c r="I459" s="277"/>
      <c r="J459" s="278"/>
      <c r="K459" s="279"/>
      <c r="L459" s="264"/>
      <c r="M459" s="280"/>
      <c r="N459" s="264"/>
      <c r="O459" s="263"/>
      <c r="P459" s="280"/>
      <c r="Q459" s="263"/>
      <c r="R459" s="290"/>
      <c r="S459" s="262"/>
      <c r="T459" s="291"/>
      <c r="U459" s="630"/>
      <c r="V459" s="292"/>
      <c r="W459" s="292"/>
      <c r="X459" s="280"/>
      <c r="Y459" s="298"/>
    </row>
    <row r="460" spans="1:25" ht="17.25" customHeight="1">
      <c r="A460" s="261"/>
      <c r="B460" s="1226"/>
      <c r="C460" s="1227"/>
      <c r="D460" s="575"/>
      <c r="E460" s="570"/>
      <c r="F460" s="263"/>
      <c r="G460" s="263"/>
      <c r="H460" s="264"/>
      <c r="I460" s="277"/>
      <c r="J460" s="278"/>
      <c r="K460" s="279"/>
      <c r="L460" s="264"/>
      <c r="M460" s="280"/>
      <c r="N460" s="264"/>
      <c r="O460" s="263"/>
      <c r="P460" s="280"/>
      <c r="Q460" s="263"/>
      <c r="R460" s="290"/>
      <c r="S460" s="262"/>
      <c r="T460" s="291"/>
      <c r="U460" s="264"/>
      <c r="V460" s="292"/>
      <c r="W460" s="292"/>
      <c r="X460" s="280"/>
      <c r="Y460" s="298"/>
    </row>
    <row r="461" spans="1:25" ht="17.25" customHeight="1">
      <c r="A461" s="261"/>
      <c r="B461" s="1226"/>
      <c r="C461" s="1227"/>
      <c r="D461" s="575"/>
      <c r="E461" s="570"/>
      <c r="F461" s="263"/>
      <c r="G461" s="263"/>
      <c r="H461" s="264"/>
      <c r="I461" s="277"/>
      <c r="J461" s="278"/>
      <c r="K461" s="279"/>
      <c r="L461" s="264"/>
      <c r="M461" s="280"/>
      <c r="N461" s="264"/>
      <c r="O461" s="263"/>
      <c r="P461" s="280"/>
      <c r="Q461" s="263"/>
      <c r="R461" s="290"/>
      <c r="S461" s="262"/>
      <c r="T461" s="291"/>
      <c r="U461" s="264"/>
      <c r="V461" s="292"/>
      <c r="W461" s="292"/>
      <c r="X461" s="280"/>
      <c r="Y461" s="298"/>
    </row>
    <row r="462" spans="1:25" ht="17.25" customHeight="1">
      <c r="A462" s="261"/>
      <c r="B462" s="1226"/>
      <c r="C462" s="1227"/>
      <c r="D462" s="575"/>
      <c r="E462" s="570"/>
      <c r="F462" s="263"/>
      <c r="G462" s="263"/>
      <c r="H462" s="264"/>
      <c r="I462" s="277"/>
      <c r="J462" s="278"/>
      <c r="K462" s="279"/>
      <c r="L462" s="264"/>
      <c r="M462" s="280"/>
      <c r="N462" s="264"/>
      <c r="O462" s="263"/>
      <c r="P462" s="280"/>
      <c r="Q462" s="263"/>
      <c r="R462" s="290"/>
      <c r="S462" s="262"/>
      <c r="T462" s="291"/>
      <c r="U462" s="264"/>
      <c r="V462" s="292"/>
      <c r="W462" s="292"/>
      <c r="X462" s="280"/>
      <c r="Y462" s="298"/>
    </row>
    <row r="463" spans="1:25" ht="17.25" customHeight="1">
      <c r="A463" s="261"/>
      <c r="B463" s="1226"/>
      <c r="C463" s="1227"/>
      <c r="D463" s="575"/>
      <c r="E463" s="570"/>
      <c r="F463" s="263"/>
      <c r="G463" s="263"/>
      <c r="H463" s="264"/>
      <c r="I463" s="277"/>
      <c r="J463" s="278"/>
      <c r="K463" s="279"/>
      <c r="L463" s="264"/>
      <c r="M463" s="280"/>
      <c r="N463" s="264"/>
      <c r="O463" s="263"/>
      <c r="P463" s="280"/>
      <c r="Q463" s="263"/>
      <c r="R463" s="290"/>
      <c r="S463" s="262"/>
      <c r="T463" s="291"/>
      <c r="U463" s="264"/>
      <c r="V463" s="292"/>
      <c r="W463" s="292"/>
      <c r="X463" s="280"/>
      <c r="Y463" s="298"/>
    </row>
    <row r="464" spans="1:25" ht="17.25" customHeight="1">
      <c r="A464" s="261"/>
      <c r="B464" s="1226"/>
      <c r="C464" s="1227"/>
      <c r="D464" s="575"/>
      <c r="E464" s="570"/>
      <c r="F464" s="263"/>
      <c r="G464" s="263"/>
      <c r="H464" s="264"/>
      <c r="I464" s="277"/>
      <c r="J464" s="278"/>
      <c r="K464" s="279"/>
      <c r="L464" s="264"/>
      <c r="M464" s="280"/>
      <c r="N464" s="264"/>
      <c r="O464" s="263"/>
      <c r="P464" s="280"/>
      <c r="Q464" s="263"/>
      <c r="R464" s="290"/>
      <c r="S464" s="262"/>
      <c r="T464" s="291"/>
      <c r="U464" s="264"/>
      <c r="V464" s="292"/>
      <c r="W464" s="292"/>
      <c r="X464" s="280"/>
      <c r="Y464" s="298"/>
    </row>
    <row r="465" spans="1:25" ht="17.25" customHeight="1">
      <c r="A465" s="261"/>
      <c r="B465" s="1226"/>
      <c r="C465" s="1227"/>
      <c r="D465" s="575"/>
      <c r="E465" s="570"/>
      <c r="F465" s="263"/>
      <c r="G465" s="263"/>
      <c r="H465" s="264"/>
      <c r="I465" s="277"/>
      <c r="J465" s="278"/>
      <c r="K465" s="279"/>
      <c r="L465" s="264"/>
      <c r="M465" s="280"/>
      <c r="N465" s="264"/>
      <c r="O465" s="263"/>
      <c r="P465" s="280"/>
      <c r="Q465" s="263"/>
      <c r="R465" s="290"/>
      <c r="S465" s="262"/>
      <c r="T465" s="291"/>
      <c r="U465" s="264"/>
      <c r="V465" s="292"/>
      <c r="W465" s="292"/>
      <c r="X465" s="280"/>
      <c r="Y465" s="298"/>
    </row>
    <row r="466" spans="1:25" ht="17.25" customHeight="1">
      <c r="A466" s="261"/>
      <c r="B466" s="1226"/>
      <c r="C466" s="1227"/>
      <c r="D466" s="575"/>
      <c r="E466" s="570"/>
      <c r="F466" s="263"/>
      <c r="G466" s="263"/>
      <c r="H466" s="264"/>
      <c r="I466" s="277"/>
      <c r="J466" s="278"/>
      <c r="K466" s="279"/>
      <c r="L466" s="264"/>
      <c r="M466" s="280"/>
      <c r="N466" s="264"/>
      <c r="O466" s="263"/>
      <c r="P466" s="280"/>
      <c r="Q466" s="263"/>
      <c r="R466" s="290"/>
      <c r="S466" s="262"/>
      <c r="T466" s="291"/>
      <c r="U466" s="264"/>
      <c r="V466" s="292"/>
      <c r="W466" s="292"/>
      <c r="X466" s="280"/>
      <c r="Y466" s="298"/>
    </row>
    <row r="467" spans="1:25" ht="17.25" customHeight="1">
      <c r="A467" s="261"/>
      <c r="B467" s="1226"/>
      <c r="C467" s="1227"/>
      <c r="D467" s="575"/>
      <c r="E467" s="570"/>
      <c r="F467" s="263"/>
      <c r="G467" s="263"/>
      <c r="H467" s="264"/>
      <c r="I467" s="277"/>
      <c r="J467" s="278"/>
      <c r="K467" s="279"/>
      <c r="L467" s="264"/>
      <c r="M467" s="280"/>
      <c r="N467" s="264"/>
      <c r="O467" s="263"/>
      <c r="P467" s="280"/>
      <c r="Q467" s="263"/>
      <c r="R467" s="290"/>
      <c r="S467" s="262"/>
      <c r="T467" s="291"/>
      <c r="U467" s="264"/>
      <c r="V467" s="292"/>
      <c r="W467" s="292"/>
      <c r="X467" s="280"/>
      <c r="Y467" s="298"/>
    </row>
    <row r="468" spans="1:25" ht="17.25" customHeight="1">
      <c r="A468" s="261"/>
      <c r="B468" s="1226"/>
      <c r="C468" s="1227"/>
      <c r="D468" s="575"/>
      <c r="E468" s="570"/>
      <c r="F468" s="263"/>
      <c r="G468" s="263"/>
      <c r="H468" s="264"/>
      <c r="I468" s="277"/>
      <c r="J468" s="278"/>
      <c r="K468" s="279"/>
      <c r="L468" s="264"/>
      <c r="M468" s="280"/>
      <c r="N468" s="264"/>
      <c r="O468" s="263"/>
      <c r="P468" s="280"/>
      <c r="Q468" s="263"/>
      <c r="R468" s="290"/>
      <c r="S468" s="262"/>
      <c r="T468" s="291"/>
      <c r="U468" s="264"/>
      <c r="V468" s="292"/>
      <c r="W468" s="292"/>
      <c r="X468" s="280"/>
      <c r="Y468" s="298"/>
    </row>
    <row r="469" spans="1:25" ht="17.25" customHeight="1">
      <c r="A469" s="261"/>
      <c r="B469" s="1226"/>
      <c r="C469" s="1227"/>
      <c r="D469" s="575"/>
      <c r="E469" s="570"/>
      <c r="F469" s="263"/>
      <c r="G469" s="263"/>
      <c r="H469" s="264"/>
      <c r="I469" s="277"/>
      <c r="J469" s="278"/>
      <c r="K469" s="279"/>
      <c r="L469" s="264"/>
      <c r="M469" s="280"/>
      <c r="N469" s="264"/>
      <c r="O469" s="263"/>
      <c r="P469" s="280"/>
      <c r="Q469" s="263"/>
      <c r="R469" s="290"/>
      <c r="S469" s="262"/>
      <c r="T469" s="291"/>
      <c r="U469" s="264"/>
      <c r="V469" s="292"/>
      <c r="W469" s="292"/>
      <c r="X469" s="280"/>
      <c r="Y469" s="298"/>
    </row>
    <row r="470" spans="1:25" ht="17.25" customHeight="1">
      <c r="A470" s="261"/>
      <c r="B470" s="1226"/>
      <c r="C470" s="1227"/>
      <c r="D470" s="575"/>
      <c r="E470" s="570"/>
      <c r="F470" s="263"/>
      <c r="G470" s="263"/>
      <c r="H470" s="264"/>
      <c r="I470" s="277"/>
      <c r="J470" s="278"/>
      <c r="K470" s="279"/>
      <c r="L470" s="264"/>
      <c r="M470" s="280"/>
      <c r="N470" s="264"/>
      <c r="O470" s="263"/>
      <c r="P470" s="280"/>
      <c r="Q470" s="263"/>
      <c r="R470" s="290"/>
      <c r="S470" s="262"/>
      <c r="T470" s="291"/>
      <c r="U470" s="264"/>
      <c r="V470" s="292"/>
      <c r="W470" s="292"/>
      <c r="X470" s="280"/>
      <c r="Y470" s="298"/>
    </row>
    <row r="471" spans="1:25" ht="17.25" customHeight="1">
      <c r="A471" s="261"/>
      <c r="B471" s="1226"/>
      <c r="C471" s="1227"/>
      <c r="D471" s="575"/>
      <c r="E471" s="570"/>
      <c r="F471" s="263"/>
      <c r="G471" s="263"/>
      <c r="H471" s="264"/>
      <c r="I471" s="277"/>
      <c r="J471" s="278"/>
      <c r="K471" s="279"/>
      <c r="L471" s="264"/>
      <c r="M471" s="280"/>
      <c r="N471" s="264"/>
      <c r="O471" s="263"/>
      <c r="P471" s="280"/>
      <c r="Q471" s="263"/>
      <c r="R471" s="290"/>
      <c r="S471" s="262"/>
      <c r="T471" s="291"/>
      <c r="U471" s="264"/>
      <c r="V471" s="292"/>
      <c r="W471" s="292"/>
      <c r="X471" s="280"/>
      <c r="Y471" s="298"/>
    </row>
    <row r="472" spans="1:25" ht="17.25" customHeight="1">
      <c r="A472" s="261"/>
      <c r="B472" s="1226"/>
      <c r="C472" s="1227"/>
      <c r="D472" s="575"/>
      <c r="E472" s="570"/>
      <c r="F472" s="263"/>
      <c r="G472" s="263"/>
      <c r="H472" s="264"/>
      <c r="I472" s="277"/>
      <c r="J472" s="278"/>
      <c r="K472" s="279"/>
      <c r="L472" s="264"/>
      <c r="M472" s="280"/>
      <c r="N472" s="264"/>
      <c r="O472" s="263"/>
      <c r="P472" s="280"/>
      <c r="Q472" s="263"/>
      <c r="R472" s="290"/>
      <c r="S472" s="262"/>
      <c r="T472" s="291"/>
      <c r="U472" s="264"/>
      <c r="V472" s="292"/>
      <c r="W472" s="292"/>
      <c r="X472" s="280"/>
      <c r="Y472" s="298"/>
    </row>
    <row r="473" spans="1:25" ht="17.25" customHeight="1">
      <c r="A473" s="261"/>
      <c r="B473" s="1226"/>
      <c r="C473" s="1227"/>
      <c r="D473" s="575"/>
      <c r="E473" s="570"/>
      <c r="F473" s="263"/>
      <c r="G473" s="263"/>
      <c r="H473" s="264"/>
      <c r="I473" s="277"/>
      <c r="J473" s="278"/>
      <c r="K473" s="279"/>
      <c r="L473" s="264"/>
      <c r="M473" s="280"/>
      <c r="N473" s="264"/>
      <c r="O473" s="263"/>
      <c r="P473" s="280"/>
      <c r="Q473" s="263"/>
      <c r="R473" s="290"/>
      <c r="S473" s="262"/>
      <c r="T473" s="291"/>
      <c r="U473" s="264"/>
      <c r="V473" s="292"/>
      <c r="W473" s="292"/>
      <c r="X473" s="280"/>
      <c r="Y473" s="298"/>
    </row>
    <row r="474" spans="1:25" ht="17.25" customHeight="1">
      <c r="A474" s="261"/>
      <c r="B474" s="1226"/>
      <c r="C474" s="1227"/>
      <c r="D474" s="575"/>
      <c r="E474" s="570"/>
      <c r="F474" s="263"/>
      <c r="G474" s="263"/>
      <c r="H474" s="264"/>
      <c r="I474" s="277"/>
      <c r="J474" s="278"/>
      <c r="K474" s="279"/>
      <c r="L474" s="264"/>
      <c r="M474" s="280"/>
      <c r="N474" s="264"/>
      <c r="O474" s="263"/>
      <c r="P474" s="280"/>
      <c r="Q474" s="263"/>
      <c r="R474" s="290"/>
      <c r="S474" s="262"/>
      <c r="T474" s="291"/>
      <c r="U474" s="264"/>
      <c r="V474" s="292"/>
      <c r="W474" s="292"/>
      <c r="X474" s="280"/>
      <c r="Y474" s="298"/>
    </row>
    <row r="475" spans="1:25" ht="17.25" customHeight="1">
      <c r="A475" s="261"/>
      <c r="B475" s="1226"/>
      <c r="C475" s="1227"/>
      <c r="D475" s="575"/>
      <c r="E475" s="570"/>
      <c r="F475" s="263"/>
      <c r="G475" s="263"/>
      <c r="H475" s="264"/>
      <c r="I475" s="277"/>
      <c r="J475" s="278"/>
      <c r="K475" s="279"/>
      <c r="L475" s="264"/>
      <c r="M475" s="280"/>
      <c r="N475" s="264"/>
      <c r="O475" s="263"/>
      <c r="P475" s="280"/>
      <c r="Q475" s="263"/>
      <c r="R475" s="290"/>
      <c r="S475" s="262"/>
      <c r="T475" s="291"/>
      <c r="U475" s="264"/>
      <c r="V475" s="292"/>
      <c r="W475" s="292"/>
      <c r="X475" s="280"/>
      <c r="Y475" s="298"/>
    </row>
    <row r="476" spans="1:25" ht="17.25" customHeight="1">
      <c r="A476" s="261"/>
      <c r="B476" s="1226"/>
      <c r="C476" s="1227"/>
      <c r="D476" s="575"/>
      <c r="E476" s="570"/>
      <c r="F476" s="263"/>
      <c r="G476" s="263"/>
      <c r="H476" s="264"/>
      <c r="I476" s="277"/>
      <c r="J476" s="278"/>
      <c r="K476" s="279"/>
      <c r="L476" s="264"/>
      <c r="M476" s="280"/>
      <c r="N476" s="264"/>
      <c r="O476" s="263"/>
      <c r="P476" s="280"/>
      <c r="Q476" s="263"/>
      <c r="R476" s="290"/>
      <c r="S476" s="262"/>
      <c r="T476" s="291"/>
      <c r="U476" s="264"/>
      <c r="V476" s="292"/>
      <c r="W476" s="292"/>
      <c r="X476" s="280"/>
      <c r="Y476" s="298"/>
    </row>
    <row r="477" spans="1:25" ht="17.25" customHeight="1">
      <c r="A477" s="261"/>
      <c r="B477" s="1226"/>
      <c r="C477" s="1227"/>
      <c r="D477" s="575"/>
      <c r="E477" s="570"/>
      <c r="F477" s="263"/>
      <c r="G477" s="263"/>
      <c r="H477" s="264"/>
      <c r="I477" s="277"/>
      <c r="J477" s="278"/>
      <c r="K477" s="279"/>
      <c r="L477" s="264"/>
      <c r="M477" s="280"/>
      <c r="N477" s="264"/>
      <c r="O477" s="263"/>
      <c r="P477" s="280"/>
      <c r="Q477" s="263"/>
      <c r="R477" s="290"/>
      <c r="S477" s="262"/>
      <c r="T477" s="291"/>
      <c r="U477" s="264"/>
      <c r="V477" s="292"/>
      <c r="W477" s="292"/>
      <c r="X477" s="280"/>
      <c r="Y477" s="298"/>
    </row>
    <row r="478" spans="1:25" ht="17.25" customHeight="1">
      <c r="A478" s="261"/>
      <c r="B478" s="1226"/>
      <c r="C478" s="1227"/>
      <c r="D478" s="575"/>
      <c r="E478" s="570"/>
      <c r="F478" s="263"/>
      <c r="G478" s="263"/>
      <c r="H478" s="264"/>
      <c r="I478" s="277"/>
      <c r="J478" s="278"/>
      <c r="K478" s="279"/>
      <c r="L478" s="264"/>
      <c r="M478" s="280"/>
      <c r="N478" s="264"/>
      <c r="O478" s="263"/>
      <c r="P478" s="280"/>
      <c r="Q478" s="263"/>
      <c r="R478" s="290"/>
      <c r="S478" s="262"/>
      <c r="T478" s="291"/>
      <c r="U478" s="264"/>
      <c r="V478" s="292"/>
      <c r="W478" s="292"/>
      <c r="X478" s="280"/>
      <c r="Y478" s="298"/>
    </row>
    <row r="479" spans="1:25" ht="17.25" customHeight="1">
      <c r="A479" s="261"/>
      <c r="B479" s="1226"/>
      <c r="C479" s="1227"/>
      <c r="D479" s="575"/>
      <c r="E479" s="570"/>
      <c r="F479" s="263"/>
      <c r="G479" s="263"/>
      <c r="H479" s="264"/>
      <c r="I479" s="277"/>
      <c r="J479" s="278"/>
      <c r="K479" s="279"/>
      <c r="L479" s="264"/>
      <c r="M479" s="280"/>
      <c r="N479" s="264"/>
      <c r="O479" s="263"/>
      <c r="P479" s="280"/>
      <c r="Q479" s="263"/>
      <c r="R479" s="290"/>
      <c r="S479" s="262"/>
      <c r="T479" s="291"/>
      <c r="U479" s="264"/>
      <c r="V479" s="292"/>
      <c r="W479" s="292"/>
      <c r="X479" s="280"/>
      <c r="Y479" s="298"/>
    </row>
    <row r="480" spans="1:25" ht="17.25" customHeight="1">
      <c r="A480" s="261"/>
      <c r="B480" s="1226"/>
      <c r="C480" s="1227"/>
      <c r="D480" s="575"/>
      <c r="E480" s="570"/>
      <c r="F480" s="263"/>
      <c r="G480" s="263"/>
      <c r="H480" s="264"/>
      <c r="I480" s="277"/>
      <c r="J480" s="278"/>
      <c r="K480" s="279"/>
      <c r="L480" s="264"/>
      <c r="M480" s="280"/>
      <c r="N480" s="264"/>
      <c r="O480" s="263"/>
      <c r="P480" s="280"/>
      <c r="Q480" s="263"/>
      <c r="R480" s="290"/>
      <c r="S480" s="262"/>
      <c r="T480" s="291"/>
      <c r="U480" s="264"/>
      <c r="V480" s="292"/>
      <c r="W480" s="292"/>
      <c r="X480" s="280"/>
      <c r="Y480" s="298"/>
    </row>
    <row r="481" spans="1:25" ht="17.25" customHeight="1">
      <c r="A481" s="261"/>
      <c r="B481" s="1226"/>
      <c r="C481" s="1227"/>
      <c r="D481" s="575"/>
      <c r="E481" s="570"/>
      <c r="F481" s="263"/>
      <c r="G481" s="263"/>
      <c r="H481" s="264"/>
      <c r="I481" s="277"/>
      <c r="J481" s="278"/>
      <c r="K481" s="279"/>
      <c r="L481" s="264"/>
      <c r="M481" s="280"/>
      <c r="N481" s="264"/>
      <c r="O481" s="263"/>
      <c r="P481" s="280"/>
      <c r="Q481" s="263"/>
      <c r="R481" s="290"/>
      <c r="S481" s="262"/>
      <c r="T481" s="291"/>
      <c r="U481" s="264"/>
      <c r="V481" s="292"/>
      <c r="W481" s="292"/>
      <c r="X481" s="280"/>
      <c r="Y481" s="298"/>
    </row>
    <row r="482" spans="1:25" ht="17.25" customHeight="1">
      <c r="A482" s="261"/>
      <c r="B482" s="1226"/>
      <c r="C482" s="1227"/>
      <c r="D482" s="575"/>
      <c r="E482" s="570"/>
      <c r="F482" s="263"/>
      <c r="G482" s="263"/>
      <c r="H482" s="264"/>
      <c r="I482" s="277"/>
      <c r="J482" s="278"/>
      <c r="K482" s="279"/>
      <c r="L482" s="264"/>
      <c r="M482" s="280"/>
      <c r="N482" s="264"/>
      <c r="O482" s="263"/>
      <c r="P482" s="280"/>
      <c r="Q482" s="263"/>
      <c r="R482" s="290"/>
      <c r="S482" s="262"/>
      <c r="T482" s="291"/>
      <c r="U482" s="264"/>
      <c r="V482" s="292"/>
      <c r="W482" s="292"/>
      <c r="X482" s="280"/>
      <c r="Y482" s="298"/>
    </row>
    <row r="483" spans="1:25" ht="17.25" customHeight="1">
      <c r="A483" s="261"/>
      <c r="B483" s="1226"/>
      <c r="C483" s="1227"/>
      <c r="D483" s="575"/>
      <c r="E483" s="570"/>
      <c r="F483" s="263"/>
      <c r="G483" s="263"/>
      <c r="H483" s="264"/>
      <c r="I483" s="277"/>
      <c r="J483" s="278"/>
      <c r="K483" s="279"/>
      <c r="L483" s="264"/>
      <c r="M483" s="280"/>
      <c r="N483" s="264"/>
      <c r="O483" s="263"/>
      <c r="P483" s="280"/>
      <c r="Q483" s="263"/>
      <c r="R483" s="290"/>
      <c r="S483" s="262"/>
      <c r="T483" s="291"/>
      <c r="U483" s="264"/>
      <c r="V483" s="292"/>
      <c r="W483" s="292"/>
      <c r="X483" s="280"/>
      <c r="Y483" s="298"/>
    </row>
    <row r="484" spans="1:25" ht="17.25" customHeight="1">
      <c r="A484" s="261"/>
      <c r="B484" s="1226"/>
      <c r="C484" s="1227"/>
      <c r="D484" s="575"/>
      <c r="E484" s="570"/>
      <c r="F484" s="263"/>
      <c r="G484" s="263"/>
      <c r="H484" s="264"/>
      <c r="I484" s="277"/>
      <c r="J484" s="278"/>
      <c r="K484" s="279"/>
      <c r="L484" s="264"/>
      <c r="M484" s="280"/>
      <c r="N484" s="264"/>
      <c r="O484" s="263"/>
      <c r="P484" s="280"/>
      <c r="Q484" s="263"/>
      <c r="R484" s="290"/>
      <c r="S484" s="262"/>
      <c r="T484" s="291"/>
      <c r="U484" s="264"/>
      <c r="V484" s="292"/>
      <c r="W484" s="292"/>
      <c r="X484" s="280"/>
      <c r="Y484" s="298"/>
    </row>
    <row r="485" spans="1:25" ht="17.25" customHeight="1">
      <c r="A485" s="261"/>
      <c r="B485" s="1226"/>
      <c r="C485" s="1227"/>
      <c r="D485" s="575"/>
      <c r="E485" s="570"/>
      <c r="F485" s="263"/>
      <c r="G485" s="263"/>
      <c r="H485" s="264"/>
      <c r="I485" s="277"/>
      <c r="J485" s="278"/>
      <c r="K485" s="279"/>
      <c r="L485" s="264"/>
      <c r="M485" s="280"/>
      <c r="N485" s="264"/>
      <c r="O485" s="263"/>
      <c r="P485" s="280"/>
      <c r="Q485" s="263"/>
      <c r="R485" s="290"/>
      <c r="S485" s="262"/>
      <c r="T485" s="291"/>
      <c r="U485" s="264"/>
      <c r="V485" s="292"/>
      <c r="W485" s="292"/>
      <c r="X485" s="280"/>
      <c r="Y485" s="298"/>
    </row>
    <row r="486" spans="1:25" ht="17.25" customHeight="1">
      <c r="A486" s="261"/>
      <c r="B486" s="1226"/>
      <c r="C486" s="1227"/>
      <c r="D486" s="575"/>
      <c r="E486" s="570"/>
      <c r="F486" s="263"/>
      <c r="G486" s="263"/>
      <c r="H486" s="264"/>
      <c r="I486" s="277"/>
      <c r="J486" s="278"/>
      <c r="K486" s="279"/>
      <c r="L486" s="264"/>
      <c r="M486" s="280"/>
      <c r="N486" s="264"/>
      <c r="O486" s="263"/>
      <c r="P486" s="280"/>
      <c r="Q486" s="263"/>
      <c r="R486" s="290"/>
      <c r="S486" s="262"/>
      <c r="T486" s="291"/>
      <c r="U486" s="264"/>
      <c r="V486" s="292"/>
      <c r="W486" s="292"/>
      <c r="X486" s="280"/>
      <c r="Y486" s="298"/>
    </row>
    <row r="487" spans="1:25" ht="17.25" customHeight="1">
      <c r="A487" s="261"/>
      <c r="B487" s="1226"/>
      <c r="C487" s="1227"/>
      <c r="D487" s="575"/>
      <c r="E487" s="570"/>
      <c r="F487" s="263"/>
      <c r="G487" s="263"/>
      <c r="H487" s="264"/>
      <c r="I487" s="277"/>
      <c r="J487" s="278"/>
      <c r="K487" s="279"/>
      <c r="L487" s="264"/>
      <c r="M487" s="280"/>
      <c r="N487" s="264"/>
      <c r="O487" s="263"/>
      <c r="P487" s="280"/>
      <c r="Q487" s="263"/>
      <c r="R487" s="290"/>
      <c r="S487" s="262"/>
      <c r="T487" s="291"/>
      <c r="U487" s="264"/>
      <c r="V487" s="292"/>
      <c r="W487" s="292"/>
      <c r="X487" s="280"/>
      <c r="Y487" s="298"/>
    </row>
    <row r="488" spans="1:25" ht="17.25" customHeight="1">
      <c r="A488" s="261"/>
      <c r="B488" s="1226"/>
      <c r="C488" s="1227"/>
      <c r="D488" s="575"/>
      <c r="E488" s="570"/>
      <c r="F488" s="263"/>
      <c r="G488" s="263"/>
      <c r="H488" s="264"/>
      <c r="I488" s="277"/>
      <c r="J488" s="278"/>
      <c r="K488" s="279"/>
      <c r="L488" s="264"/>
      <c r="M488" s="280"/>
      <c r="N488" s="264"/>
      <c r="O488" s="263"/>
      <c r="P488" s="280"/>
      <c r="Q488" s="263"/>
      <c r="R488" s="290"/>
      <c r="S488" s="262"/>
      <c r="T488" s="291"/>
      <c r="U488" s="264"/>
      <c r="V488" s="292"/>
      <c r="W488" s="292"/>
      <c r="X488" s="280"/>
      <c r="Y488" s="298"/>
    </row>
    <row r="489" spans="1:25" ht="17.25" customHeight="1">
      <c r="A489" s="261"/>
      <c r="B489" s="1226"/>
      <c r="C489" s="1227"/>
      <c r="D489" s="575"/>
      <c r="E489" s="570"/>
      <c r="F489" s="263"/>
      <c r="G489" s="263"/>
      <c r="H489" s="264"/>
      <c r="I489" s="277"/>
      <c r="J489" s="278"/>
      <c r="K489" s="279"/>
      <c r="L489" s="264"/>
      <c r="M489" s="280"/>
      <c r="N489" s="264"/>
      <c r="O489" s="263"/>
      <c r="P489" s="280"/>
      <c r="Q489" s="263"/>
      <c r="R489" s="290"/>
      <c r="S489" s="262"/>
      <c r="T489" s="291"/>
      <c r="U489" s="264"/>
      <c r="V489" s="292"/>
      <c r="W489" s="292"/>
      <c r="X489" s="280"/>
      <c r="Y489" s="298"/>
    </row>
    <row r="490" spans="1:25" ht="17.25" customHeight="1">
      <c r="A490" s="261"/>
      <c r="B490" s="1226"/>
      <c r="C490" s="1227"/>
      <c r="D490" s="575"/>
      <c r="E490" s="570"/>
      <c r="F490" s="263"/>
      <c r="G490" s="263"/>
      <c r="H490" s="264"/>
      <c r="I490" s="277"/>
      <c r="J490" s="278"/>
      <c r="K490" s="279"/>
      <c r="L490" s="264"/>
      <c r="M490" s="280"/>
      <c r="N490" s="264"/>
      <c r="O490" s="263"/>
      <c r="P490" s="280"/>
      <c r="Q490" s="263"/>
      <c r="R490" s="290"/>
      <c r="S490" s="262"/>
      <c r="T490" s="291"/>
      <c r="U490" s="264"/>
      <c r="V490" s="292"/>
      <c r="W490" s="292"/>
      <c r="X490" s="280"/>
      <c r="Y490" s="298"/>
    </row>
    <row r="491" spans="1:25" ht="17.25" customHeight="1">
      <c r="A491" s="261"/>
      <c r="B491" s="1226"/>
      <c r="C491" s="1227"/>
      <c r="D491" s="575"/>
      <c r="E491" s="570"/>
      <c r="F491" s="263"/>
      <c r="G491" s="263"/>
      <c r="H491" s="264"/>
      <c r="I491" s="277"/>
      <c r="J491" s="278"/>
      <c r="K491" s="279"/>
      <c r="L491" s="264"/>
      <c r="M491" s="280"/>
      <c r="N491" s="264"/>
      <c r="O491" s="263"/>
      <c r="P491" s="280"/>
      <c r="Q491" s="263"/>
      <c r="R491" s="290"/>
      <c r="S491" s="262"/>
      <c r="T491" s="291"/>
      <c r="U491" s="264"/>
      <c r="V491" s="292"/>
      <c r="W491" s="292"/>
      <c r="X491" s="280"/>
      <c r="Y491" s="298"/>
    </row>
    <row r="492" spans="1:25" ht="17.25" customHeight="1">
      <c r="A492" s="261"/>
      <c r="B492" s="1226"/>
      <c r="C492" s="1227"/>
      <c r="D492" s="575"/>
      <c r="E492" s="570"/>
      <c r="F492" s="263"/>
      <c r="G492" s="263"/>
      <c r="H492" s="264"/>
      <c r="I492" s="277"/>
      <c r="J492" s="278"/>
      <c r="K492" s="279"/>
      <c r="L492" s="264"/>
      <c r="M492" s="280"/>
      <c r="N492" s="264"/>
      <c r="O492" s="263"/>
      <c r="P492" s="280"/>
      <c r="Q492" s="263"/>
      <c r="R492" s="290"/>
      <c r="S492" s="262"/>
      <c r="T492" s="291"/>
      <c r="U492" s="264"/>
      <c r="V492" s="292"/>
      <c r="W492" s="292"/>
      <c r="X492" s="280"/>
      <c r="Y492" s="298"/>
    </row>
    <row r="493" spans="1:25" ht="17.25" customHeight="1">
      <c r="A493" s="261"/>
      <c r="B493" s="1226"/>
      <c r="C493" s="1227"/>
      <c r="D493" s="575"/>
      <c r="E493" s="570"/>
      <c r="F493" s="263"/>
      <c r="G493" s="263"/>
      <c r="H493" s="264"/>
      <c r="I493" s="277"/>
      <c r="J493" s="278"/>
      <c r="K493" s="279"/>
      <c r="L493" s="264"/>
      <c r="M493" s="280"/>
      <c r="N493" s="264"/>
      <c r="O493" s="263"/>
      <c r="P493" s="280"/>
      <c r="Q493" s="263"/>
      <c r="R493" s="290"/>
      <c r="S493" s="262"/>
      <c r="T493" s="291"/>
      <c r="U493" s="264"/>
      <c r="V493" s="292"/>
      <c r="W493" s="292"/>
      <c r="X493" s="280"/>
      <c r="Y493" s="298"/>
    </row>
    <row r="494" spans="1:25" ht="17.25" customHeight="1">
      <c r="A494" s="261"/>
      <c r="B494" s="1226"/>
      <c r="C494" s="1227"/>
      <c r="D494" s="575"/>
      <c r="E494" s="570"/>
      <c r="F494" s="263"/>
      <c r="G494" s="263"/>
      <c r="H494" s="264"/>
      <c r="I494" s="277"/>
      <c r="J494" s="278"/>
      <c r="K494" s="279"/>
      <c r="L494" s="264"/>
      <c r="M494" s="280"/>
      <c r="N494" s="264"/>
      <c r="O494" s="263"/>
      <c r="P494" s="280"/>
      <c r="Q494" s="263"/>
      <c r="R494" s="290"/>
      <c r="S494" s="262"/>
      <c r="T494" s="291"/>
      <c r="U494" s="264"/>
      <c r="V494" s="292"/>
      <c r="W494" s="292"/>
      <c r="X494" s="280"/>
      <c r="Y494" s="298"/>
    </row>
    <row r="495" spans="1:25" ht="17.25" customHeight="1">
      <c r="A495" s="261"/>
      <c r="B495" s="1226"/>
      <c r="C495" s="1227"/>
      <c r="D495" s="575"/>
      <c r="E495" s="570"/>
      <c r="F495" s="263"/>
      <c r="G495" s="263"/>
      <c r="H495" s="264"/>
      <c r="I495" s="277"/>
      <c r="J495" s="278"/>
      <c r="K495" s="279"/>
      <c r="L495" s="264"/>
      <c r="M495" s="280"/>
      <c r="N495" s="264"/>
      <c r="O495" s="263"/>
      <c r="P495" s="280"/>
      <c r="Q495" s="263"/>
      <c r="R495" s="290"/>
      <c r="S495" s="262"/>
      <c r="T495" s="291"/>
      <c r="U495" s="264"/>
      <c r="V495" s="292"/>
      <c r="W495" s="292"/>
      <c r="X495" s="280"/>
      <c r="Y495" s="298"/>
    </row>
    <row r="496" spans="1:25" ht="17.25" customHeight="1">
      <c r="A496" s="1223"/>
      <c r="B496" s="1223"/>
      <c r="C496" s="1223"/>
      <c r="D496" s="1223"/>
      <c r="E496" s="1223"/>
      <c r="F496" s="1223"/>
      <c r="G496" s="1223"/>
      <c r="H496" s="1223"/>
      <c r="I496" s="1224"/>
      <c r="J496" s="1223"/>
      <c r="K496" s="1223"/>
      <c r="L496" s="1223"/>
      <c r="M496" s="1223"/>
      <c r="N496" s="1223"/>
      <c r="O496" s="1223"/>
      <c r="P496" s="1223"/>
      <c r="Q496" s="1223"/>
      <c r="R496" s="1223"/>
      <c r="S496" s="1223"/>
      <c r="T496" s="1224"/>
      <c r="U496" s="1223"/>
      <c r="V496" s="1223"/>
      <c r="W496" s="1223"/>
      <c r="X496" s="1223"/>
      <c r="Y496" s="1225"/>
    </row>
    <row r="497" spans="1:25" ht="17.25" customHeight="1">
      <c r="A497" s="261"/>
      <c r="B497" s="1226"/>
      <c r="C497" s="1227"/>
      <c r="D497" s="575"/>
      <c r="E497" s="570"/>
      <c r="F497" s="263"/>
      <c r="G497" s="263"/>
      <c r="H497" s="264"/>
      <c r="I497" s="277"/>
      <c r="J497" s="278"/>
      <c r="K497" s="279"/>
      <c r="L497" s="264"/>
      <c r="M497" s="280"/>
      <c r="N497" s="264"/>
      <c r="O497" s="263"/>
      <c r="P497" s="280"/>
      <c r="Q497" s="263"/>
      <c r="R497" s="290"/>
      <c r="S497" s="262"/>
      <c r="T497" s="291"/>
      <c r="U497" s="264"/>
      <c r="V497" s="292"/>
      <c r="W497" s="292"/>
      <c r="X497" s="280"/>
      <c r="Y497" s="298"/>
    </row>
    <row r="498" spans="1:25" ht="17.25" customHeight="1">
      <c r="A498" s="261"/>
      <c r="B498" s="1226"/>
      <c r="C498" s="1227"/>
      <c r="D498" s="575"/>
      <c r="E498" s="570"/>
      <c r="F498" s="263"/>
      <c r="G498" s="263"/>
      <c r="H498" s="264"/>
      <c r="I498" s="277"/>
      <c r="J498" s="278"/>
      <c r="K498" s="279"/>
      <c r="L498" s="264"/>
      <c r="M498" s="280"/>
      <c r="N498" s="264"/>
      <c r="O498" s="263"/>
      <c r="P498" s="280"/>
      <c r="Q498" s="263"/>
      <c r="R498" s="290"/>
      <c r="S498" s="262"/>
      <c r="T498" s="291"/>
      <c r="U498" s="264"/>
      <c r="V498" s="292"/>
      <c r="W498" s="292"/>
      <c r="X498" s="280"/>
      <c r="Y498" s="298"/>
    </row>
    <row r="499" spans="1:25" ht="17.25" customHeight="1">
      <c r="A499" s="261"/>
      <c r="B499" s="1226"/>
      <c r="C499" s="1227"/>
      <c r="D499" s="575"/>
      <c r="E499" s="570"/>
      <c r="F499" s="263"/>
      <c r="G499" s="263"/>
      <c r="H499" s="264"/>
      <c r="I499" s="277"/>
      <c r="J499" s="278"/>
      <c r="K499" s="279"/>
      <c r="L499" s="264"/>
      <c r="M499" s="280"/>
      <c r="N499" s="264"/>
      <c r="O499" s="263"/>
      <c r="P499" s="280"/>
      <c r="Q499" s="263"/>
      <c r="R499" s="290"/>
      <c r="S499" s="262"/>
      <c r="T499" s="291"/>
      <c r="U499" s="264"/>
      <c r="V499" s="292"/>
      <c r="W499" s="292"/>
      <c r="X499" s="280"/>
      <c r="Y499" s="298"/>
    </row>
    <row r="500" spans="1:25" ht="17.25" customHeight="1">
      <c r="A500" s="261"/>
      <c r="B500" s="1226"/>
      <c r="C500" s="1227"/>
      <c r="D500" s="575"/>
      <c r="E500" s="570"/>
      <c r="F500" s="263"/>
      <c r="G500" s="263"/>
      <c r="H500" s="264"/>
      <c r="I500" s="277"/>
      <c r="J500" s="278"/>
      <c r="K500" s="279"/>
      <c r="L500" s="279"/>
      <c r="M500" s="280"/>
      <c r="N500" s="279"/>
      <c r="O500" s="279"/>
      <c r="P500" s="279"/>
      <c r="Q500" s="279"/>
      <c r="R500" s="279"/>
      <c r="S500" s="262"/>
      <c r="T500" s="291"/>
      <c r="U500" s="264"/>
      <c r="V500" s="292"/>
      <c r="W500" s="292"/>
      <c r="X500" s="279"/>
      <c r="Y500" s="298"/>
    </row>
    <row r="501" spans="1:25" ht="17.25" customHeight="1">
      <c r="A501" s="261"/>
      <c r="B501" s="1226"/>
      <c r="C501" s="1227"/>
      <c r="D501" s="575"/>
      <c r="E501" s="570"/>
      <c r="F501" s="263"/>
      <c r="G501" s="263"/>
      <c r="H501" s="264"/>
      <c r="I501" s="277"/>
      <c r="J501" s="278"/>
      <c r="K501" s="279"/>
      <c r="L501" s="264"/>
      <c r="M501" s="280"/>
      <c r="N501" s="264"/>
      <c r="O501" s="263"/>
      <c r="P501" s="280"/>
      <c r="Q501" s="263"/>
      <c r="R501" s="290"/>
      <c r="S501" s="262"/>
      <c r="T501" s="291"/>
      <c r="U501" s="264"/>
      <c r="V501" s="292"/>
      <c r="W501" s="292"/>
      <c r="X501" s="280"/>
      <c r="Y501" s="298"/>
    </row>
    <row r="502" spans="1:25" ht="17.25" customHeight="1">
      <c r="A502" s="261"/>
      <c r="B502" s="1226"/>
      <c r="C502" s="1227"/>
      <c r="D502" s="575"/>
      <c r="E502" s="570"/>
      <c r="F502" s="263"/>
      <c r="G502" s="263"/>
      <c r="H502" s="264"/>
      <c r="I502" s="277"/>
      <c r="J502" s="278"/>
      <c r="K502" s="279"/>
      <c r="L502" s="264"/>
      <c r="M502" s="280"/>
      <c r="N502" s="264"/>
      <c r="O502" s="263"/>
      <c r="P502" s="280"/>
      <c r="Q502" s="263"/>
      <c r="R502" s="290"/>
      <c r="S502" s="262"/>
      <c r="T502" s="291"/>
      <c r="U502" s="264"/>
      <c r="V502" s="292"/>
      <c r="W502" s="292"/>
      <c r="X502" s="1226"/>
      <c r="Y502" s="1227"/>
    </row>
    <row r="503" spans="1:25" ht="17.25" customHeight="1">
      <c r="A503" s="261"/>
      <c r="B503" s="1226"/>
      <c r="C503" s="1227"/>
      <c r="D503" s="575"/>
      <c r="E503" s="570"/>
      <c r="F503" s="263"/>
      <c r="G503" s="263"/>
      <c r="H503" s="264"/>
      <c r="I503" s="277"/>
      <c r="J503" s="278"/>
      <c r="K503" s="279"/>
      <c r="L503" s="264"/>
      <c r="M503" s="280"/>
      <c r="N503" s="264"/>
      <c r="O503" s="263"/>
      <c r="P503" s="280"/>
      <c r="Q503" s="263"/>
      <c r="R503" s="290"/>
      <c r="S503" s="262"/>
      <c r="T503" s="291"/>
      <c r="U503" s="264"/>
      <c r="V503" s="292"/>
      <c r="W503" s="292"/>
      <c r="X503" s="280"/>
      <c r="Y503" s="298"/>
    </row>
    <row r="504" spans="1:25" ht="17.25" customHeight="1">
      <c r="A504" s="261"/>
      <c r="B504" s="1226"/>
      <c r="C504" s="1227"/>
      <c r="D504" s="575"/>
      <c r="E504" s="570"/>
      <c r="F504" s="263"/>
      <c r="G504" s="263"/>
      <c r="H504" s="264"/>
      <c r="I504" s="277"/>
      <c r="J504" s="278"/>
      <c r="K504" s="279"/>
      <c r="L504" s="264"/>
      <c r="M504" s="280"/>
      <c r="N504" s="264"/>
      <c r="O504" s="263"/>
      <c r="P504" s="280"/>
      <c r="Q504" s="263"/>
      <c r="R504" s="290"/>
      <c r="S504" s="262"/>
      <c r="T504" s="291"/>
      <c r="U504" s="264"/>
      <c r="V504" s="292"/>
      <c r="W504" s="292"/>
      <c r="X504" s="280"/>
      <c r="Y504" s="298"/>
    </row>
    <row r="505" spans="1:25" ht="17.25" customHeight="1">
      <c r="A505" s="261"/>
      <c r="B505" s="1226"/>
      <c r="C505" s="1227"/>
      <c r="D505" s="575"/>
      <c r="E505" s="570"/>
      <c r="F505" s="263"/>
      <c r="G505" s="263"/>
      <c r="H505" s="264"/>
      <c r="I505" s="277"/>
      <c r="J505" s="278"/>
      <c r="K505" s="279"/>
      <c r="L505" s="264"/>
      <c r="M505" s="280"/>
      <c r="N505" s="264"/>
      <c r="O505" s="263"/>
      <c r="P505" s="280"/>
      <c r="Q505" s="263"/>
      <c r="R505" s="290"/>
      <c r="S505" s="262"/>
      <c r="T505" s="291"/>
      <c r="U505" s="264"/>
      <c r="V505" s="292"/>
      <c r="W505" s="292"/>
      <c r="X505" s="280"/>
      <c r="Y505" s="298"/>
    </row>
    <row r="506" spans="1:25" ht="17.25" customHeight="1">
      <c r="A506" s="261"/>
      <c r="B506" s="1226"/>
      <c r="C506" s="1227"/>
      <c r="D506" s="575"/>
      <c r="E506" s="570"/>
      <c r="F506" s="263"/>
      <c r="G506" s="263"/>
      <c r="H506" s="264"/>
      <c r="I506" s="277"/>
      <c r="J506" s="278"/>
      <c r="K506" s="279"/>
      <c r="L506" s="264"/>
      <c r="M506" s="280"/>
      <c r="N506" s="264"/>
      <c r="O506" s="263"/>
      <c r="P506" s="280"/>
      <c r="Q506" s="263"/>
      <c r="R506" s="290"/>
      <c r="S506" s="262"/>
      <c r="T506" s="291"/>
      <c r="U506" s="264"/>
      <c r="V506" s="292"/>
      <c r="W506" s="292"/>
      <c r="X506" s="280"/>
      <c r="Y506" s="298"/>
    </row>
    <row r="507" spans="1:25" ht="17.25" customHeight="1">
      <c r="A507" s="261"/>
      <c r="B507" s="1226"/>
      <c r="C507" s="1227"/>
      <c r="D507" s="575"/>
      <c r="E507" s="570"/>
      <c r="F507" s="263"/>
      <c r="G507" s="263"/>
      <c r="H507" s="264"/>
      <c r="I507" s="277"/>
      <c r="J507" s="278"/>
      <c r="K507" s="279"/>
      <c r="L507" s="264"/>
      <c r="M507" s="280"/>
      <c r="N507" s="264"/>
      <c r="O507" s="263"/>
      <c r="P507" s="280"/>
      <c r="Q507" s="263"/>
      <c r="R507" s="290"/>
      <c r="S507" s="262"/>
      <c r="T507" s="291"/>
      <c r="U507" s="264"/>
      <c r="V507" s="292"/>
      <c r="W507" s="292"/>
      <c r="X507" s="280"/>
      <c r="Y507" s="298"/>
    </row>
    <row r="508" spans="1:25" ht="17.25" customHeight="1">
      <c r="A508" s="261"/>
      <c r="B508" s="1226"/>
      <c r="C508" s="1227"/>
      <c r="D508" s="575"/>
      <c r="E508" s="570"/>
      <c r="F508" s="263"/>
      <c r="G508" s="263"/>
      <c r="H508" s="264"/>
      <c r="I508" s="277"/>
      <c r="J508" s="278"/>
      <c r="K508" s="279"/>
      <c r="L508" s="264"/>
      <c r="M508" s="280"/>
      <c r="N508" s="264"/>
      <c r="O508" s="263"/>
      <c r="P508" s="280"/>
      <c r="Q508" s="263"/>
      <c r="R508" s="290"/>
      <c r="S508" s="262"/>
      <c r="T508" s="291"/>
      <c r="U508" s="264"/>
      <c r="V508" s="292"/>
      <c r="W508" s="292"/>
      <c r="X508" s="280"/>
      <c r="Y508" s="298"/>
    </row>
    <row r="509" spans="1:25" ht="17.25" customHeight="1">
      <c r="A509" s="261"/>
      <c r="B509" s="1226"/>
      <c r="C509" s="1227"/>
      <c r="D509" s="575"/>
      <c r="E509" s="570"/>
      <c r="F509" s="263"/>
      <c r="G509" s="263"/>
      <c r="H509" s="264"/>
      <c r="I509" s="277"/>
      <c r="J509" s="278"/>
      <c r="K509" s="279"/>
      <c r="L509" s="264"/>
      <c r="M509" s="280"/>
      <c r="N509" s="264"/>
      <c r="O509" s="263"/>
      <c r="P509" s="280"/>
      <c r="Q509" s="263"/>
      <c r="R509" s="290"/>
      <c r="S509" s="262"/>
      <c r="T509" s="291"/>
      <c r="U509" s="264"/>
      <c r="V509" s="292"/>
      <c r="W509" s="292"/>
      <c r="X509" s="280"/>
      <c r="Y509" s="298"/>
    </row>
    <row r="510" spans="1:25" ht="17.25" customHeight="1">
      <c r="A510" s="261"/>
      <c r="B510" s="1226"/>
      <c r="C510" s="1227"/>
      <c r="D510" s="575"/>
      <c r="E510" s="570"/>
      <c r="F510" s="263"/>
      <c r="G510" s="263"/>
      <c r="H510" s="264"/>
      <c r="I510" s="277"/>
      <c r="J510" s="278"/>
      <c r="K510" s="279"/>
      <c r="L510" s="264"/>
      <c r="M510" s="280"/>
      <c r="N510" s="264"/>
      <c r="O510" s="263"/>
      <c r="P510" s="280"/>
      <c r="Q510" s="263"/>
      <c r="R510" s="290"/>
      <c r="S510" s="262"/>
      <c r="T510" s="291"/>
      <c r="U510" s="264"/>
      <c r="V510" s="292"/>
      <c r="W510" s="292"/>
      <c r="X510" s="280"/>
      <c r="Y510" s="298"/>
    </row>
    <row r="511" spans="1:25" ht="17.25" customHeight="1">
      <c r="A511" s="261"/>
      <c r="B511" s="1226"/>
      <c r="C511" s="1227"/>
      <c r="D511" s="575"/>
      <c r="E511" s="570"/>
      <c r="F511" s="263"/>
      <c r="G511" s="263"/>
      <c r="H511" s="264"/>
      <c r="I511" s="277"/>
      <c r="J511" s="278"/>
      <c r="K511" s="279"/>
      <c r="L511" s="264"/>
      <c r="M511" s="280"/>
      <c r="N511" s="264"/>
      <c r="O511" s="263"/>
      <c r="P511" s="280"/>
      <c r="Q511" s="263"/>
      <c r="R511" s="290"/>
      <c r="S511" s="262"/>
      <c r="T511" s="291"/>
      <c r="U511" s="264"/>
      <c r="V511" s="292"/>
      <c r="W511" s="292"/>
      <c r="X511" s="280"/>
      <c r="Y511" s="298"/>
    </row>
    <row r="512" spans="1:25" ht="17.25" customHeight="1">
      <c r="A512" s="261"/>
      <c r="B512" s="1226"/>
      <c r="C512" s="1227"/>
      <c r="D512" s="575"/>
      <c r="E512" s="570"/>
      <c r="F512" s="263"/>
      <c r="G512" s="263"/>
      <c r="H512" s="264"/>
      <c r="I512" s="277"/>
      <c r="J512" s="278"/>
      <c r="K512" s="279"/>
      <c r="L512" s="264"/>
      <c r="M512" s="280"/>
      <c r="N512" s="264"/>
      <c r="O512" s="263"/>
      <c r="P512" s="280"/>
      <c r="Q512" s="263"/>
      <c r="R512" s="290"/>
      <c r="S512" s="262"/>
      <c r="T512" s="291"/>
      <c r="U512" s="264"/>
      <c r="V512" s="292"/>
      <c r="W512" s="292"/>
      <c r="X512" s="280"/>
      <c r="Y512" s="298"/>
    </row>
    <row r="513" spans="1:25" ht="17.25" customHeight="1">
      <c r="A513" s="261"/>
      <c r="B513" s="1226"/>
      <c r="C513" s="1227"/>
      <c r="D513" s="575"/>
      <c r="E513" s="570"/>
      <c r="F513" s="263"/>
      <c r="G513" s="263"/>
      <c r="H513" s="264"/>
      <c r="I513" s="277"/>
      <c r="J513" s="278"/>
      <c r="K513" s="279"/>
      <c r="L513" s="264"/>
      <c r="M513" s="280"/>
      <c r="N513" s="264"/>
      <c r="O513" s="263"/>
      <c r="P513" s="280"/>
      <c r="Q513" s="263"/>
      <c r="R513" s="290"/>
      <c r="S513" s="262"/>
      <c r="T513" s="291"/>
      <c r="U513" s="264"/>
      <c r="V513" s="292"/>
      <c r="W513" s="292"/>
      <c r="X513" s="280"/>
      <c r="Y513" s="298"/>
    </row>
    <row r="514" spans="1:25" ht="17.25" customHeight="1">
      <c r="A514" s="261"/>
      <c r="B514" s="1226"/>
      <c r="C514" s="1227"/>
      <c r="D514" s="575"/>
      <c r="E514" s="570"/>
      <c r="F514" s="263"/>
      <c r="G514" s="263"/>
      <c r="H514" s="264"/>
      <c r="I514" s="277"/>
      <c r="J514" s="278"/>
      <c r="K514" s="279"/>
      <c r="L514" s="264"/>
      <c r="M514" s="280"/>
      <c r="N514" s="264"/>
      <c r="O514" s="263"/>
      <c r="P514" s="280"/>
      <c r="Q514" s="263"/>
      <c r="R514" s="290"/>
      <c r="S514" s="262"/>
      <c r="T514" s="291"/>
      <c r="U514" s="264"/>
      <c r="V514" s="292"/>
      <c r="W514" s="292"/>
      <c r="X514" s="280"/>
      <c r="Y514" s="298"/>
    </row>
    <row r="515" spans="1:25" ht="17.25" customHeight="1">
      <c r="A515" s="261"/>
      <c r="B515" s="1226"/>
      <c r="C515" s="1227"/>
      <c r="D515" s="575"/>
      <c r="E515" s="570"/>
      <c r="F515" s="263"/>
      <c r="G515" s="263"/>
      <c r="H515" s="264"/>
      <c r="I515" s="277"/>
      <c r="J515" s="278"/>
      <c r="K515" s="279"/>
      <c r="L515" s="264"/>
      <c r="M515" s="280"/>
      <c r="N515" s="264"/>
      <c r="O515" s="263"/>
      <c r="P515" s="280"/>
      <c r="Q515" s="263"/>
      <c r="R515" s="290"/>
      <c r="S515" s="262"/>
      <c r="T515" s="291"/>
      <c r="U515" s="264"/>
      <c r="V515" s="292"/>
      <c r="W515" s="292"/>
      <c r="X515" s="280"/>
      <c r="Y515" s="298"/>
    </row>
    <row r="516" spans="1:25" ht="17.25" customHeight="1">
      <c r="A516" s="261"/>
      <c r="B516" s="1226"/>
      <c r="C516" s="1227"/>
      <c r="D516" s="575"/>
      <c r="E516" s="570"/>
      <c r="F516" s="263"/>
      <c r="G516" s="263"/>
      <c r="H516" s="264"/>
      <c r="I516" s="277"/>
      <c r="J516" s="278"/>
      <c r="K516" s="279"/>
      <c r="L516" s="264"/>
      <c r="M516" s="280"/>
      <c r="N516" s="264"/>
      <c r="O516" s="263"/>
      <c r="P516" s="280"/>
      <c r="Q516" s="263"/>
      <c r="R516" s="290"/>
      <c r="S516" s="262"/>
      <c r="T516" s="291"/>
      <c r="U516" s="264"/>
      <c r="V516" s="292"/>
      <c r="W516" s="292"/>
      <c r="X516" s="280"/>
      <c r="Y516" s="298"/>
    </row>
    <row r="517" spans="1:25" ht="17.25" customHeight="1">
      <c r="A517" s="261"/>
      <c r="B517" s="1226"/>
      <c r="C517" s="1227"/>
      <c r="D517" s="575"/>
      <c r="E517" s="570"/>
      <c r="F517" s="263"/>
      <c r="G517" s="263"/>
      <c r="H517" s="264"/>
      <c r="I517" s="277"/>
      <c r="J517" s="278"/>
      <c r="K517" s="279"/>
      <c r="L517" s="264"/>
      <c r="M517" s="280"/>
      <c r="N517" s="264"/>
      <c r="O517" s="263"/>
      <c r="P517" s="280"/>
      <c r="Q517" s="263"/>
      <c r="R517" s="290"/>
      <c r="S517" s="262"/>
      <c r="T517" s="291"/>
      <c r="U517" s="264"/>
      <c r="V517" s="292"/>
      <c r="W517" s="292"/>
      <c r="X517" s="280"/>
      <c r="Y517" s="298"/>
    </row>
    <row r="518" spans="1:25" ht="17.25" customHeight="1">
      <c r="A518" s="261"/>
      <c r="B518" s="1226"/>
      <c r="C518" s="1227"/>
      <c r="D518" s="575"/>
      <c r="E518" s="570"/>
      <c r="F518" s="263"/>
      <c r="G518" s="263"/>
      <c r="H518" s="264"/>
      <c r="I518" s="277"/>
      <c r="J518" s="278"/>
      <c r="K518" s="279"/>
      <c r="L518" s="264"/>
      <c r="M518" s="280"/>
      <c r="N518" s="264"/>
      <c r="O518" s="263"/>
      <c r="P518" s="280"/>
      <c r="Q518" s="263"/>
      <c r="R518" s="290"/>
      <c r="S518" s="262"/>
      <c r="T518" s="291"/>
      <c r="U518" s="264"/>
      <c r="V518" s="292"/>
      <c r="W518" s="292"/>
      <c r="X518" s="280"/>
      <c r="Y518" s="298"/>
    </row>
    <row r="519" spans="1:25" ht="17.25" customHeight="1">
      <c r="A519" s="261"/>
      <c r="B519" s="1226"/>
      <c r="C519" s="1227"/>
      <c r="D519" s="575"/>
      <c r="E519" s="570"/>
      <c r="F519" s="263"/>
      <c r="G519" s="263"/>
      <c r="H519" s="264"/>
      <c r="I519" s="277"/>
      <c r="J519" s="278"/>
      <c r="K519" s="279"/>
      <c r="L519" s="264"/>
      <c r="M519" s="280"/>
      <c r="N519" s="264"/>
      <c r="O519" s="263"/>
      <c r="P519" s="280"/>
      <c r="Q519" s="263"/>
      <c r="R519" s="290"/>
      <c r="S519" s="262"/>
      <c r="T519" s="291"/>
      <c r="U519" s="264"/>
      <c r="V519" s="292"/>
      <c r="W519" s="292"/>
      <c r="X519" s="280"/>
      <c r="Y519" s="298"/>
    </row>
    <row r="520" spans="1:25" ht="17.25" customHeight="1">
      <c r="A520" s="261"/>
      <c r="B520" s="1226"/>
      <c r="C520" s="1227"/>
      <c r="D520" s="575"/>
      <c r="E520" s="570"/>
      <c r="F520" s="263"/>
      <c r="G520" s="263"/>
      <c r="H520" s="264"/>
      <c r="I520" s="277"/>
      <c r="J520" s="278"/>
      <c r="K520" s="279"/>
      <c r="L520" s="264"/>
      <c r="M520" s="280"/>
      <c r="N520" s="264"/>
      <c r="O520" s="263"/>
      <c r="P520" s="280"/>
      <c r="Q520" s="263"/>
      <c r="R520" s="290"/>
      <c r="S520" s="262"/>
      <c r="T520" s="291"/>
      <c r="U520" s="264"/>
      <c r="V520" s="292"/>
      <c r="W520" s="292"/>
      <c r="X520" s="280"/>
      <c r="Y520" s="298"/>
    </row>
    <row r="521" spans="1:25" ht="17.25" customHeight="1">
      <c r="A521" s="261"/>
      <c r="B521" s="1226"/>
      <c r="C521" s="1227"/>
      <c r="D521" s="575"/>
      <c r="E521" s="570"/>
      <c r="F521" s="263"/>
      <c r="G521" s="263"/>
      <c r="H521" s="264"/>
      <c r="I521" s="277"/>
      <c r="J521" s="278"/>
      <c r="K521" s="279"/>
      <c r="L521" s="264"/>
      <c r="M521" s="280"/>
      <c r="N521" s="264"/>
      <c r="O521" s="263"/>
      <c r="P521" s="280"/>
      <c r="Q521" s="263"/>
      <c r="R521" s="290"/>
      <c r="S521" s="262"/>
      <c r="T521" s="291"/>
      <c r="U521" s="264"/>
      <c r="V521" s="292"/>
      <c r="W521" s="292"/>
      <c r="X521" s="280"/>
      <c r="Y521" s="298"/>
    </row>
    <row r="522" spans="1:25" ht="17.25" customHeight="1">
      <c r="A522" s="261"/>
      <c r="B522" s="1226"/>
      <c r="C522" s="1227"/>
      <c r="D522" s="575"/>
      <c r="E522" s="570"/>
      <c r="F522" s="263"/>
      <c r="G522" s="263"/>
      <c r="H522" s="264"/>
      <c r="I522" s="277"/>
      <c r="J522" s="278"/>
      <c r="K522" s="279"/>
      <c r="L522" s="264"/>
      <c r="M522" s="280"/>
      <c r="N522" s="264"/>
      <c r="O522" s="263"/>
      <c r="P522" s="280"/>
      <c r="Q522" s="263"/>
      <c r="R522" s="290"/>
      <c r="S522" s="262"/>
      <c r="T522" s="291"/>
      <c r="U522" s="264"/>
      <c r="V522" s="292"/>
      <c r="W522" s="292"/>
      <c r="X522" s="280"/>
      <c r="Y522" s="298"/>
    </row>
    <row r="523" spans="1:25" ht="17.25" customHeight="1">
      <c r="A523" s="261"/>
      <c r="B523" s="1226"/>
      <c r="C523" s="1227"/>
      <c r="D523" s="575"/>
      <c r="E523" s="570"/>
      <c r="F523" s="263"/>
      <c r="G523" s="263"/>
      <c r="H523" s="264"/>
      <c r="I523" s="277"/>
      <c r="J523" s="278"/>
      <c r="K523" s="279"/>
      <c r="L523" s="264"/>
      <c r="M523" s="280"/>
      <c r="N523" s="264"/>
      <c r="O523" s="263"/>
      <c r="P523" s="280"/>
      <c r="Q523" s="263"/>
      <c r="R523" s="290"/>
      <c r="S523" s="262"/>
      <c r="T523" s="291"/>
      <c r="U523" s="264"/>
      <c r="V523" s="292"/>
      <c r="W523" s="292"/>
      <c r="X523" s="280"/>
      <c r="Y523" s="298"/>
    </row>
    <row r="524" spans="1:25" ht="17.25" customHeight="1">
      <c r="A524" s="261"/>
      <c r="B524" s="1226"/>
      <c r="C524" s="1227"/>
      <c r="D524" s="575"/>
      <c r="E524" s="570"/>
      <c r="F524" s="263"/>
      <c r="G524" s="263"/>
      <c r="H524" s="264"/>
      <c r="I524" s="277"/>
      <c r="J524" s="278"/>
      <c r="K524" s="279"/>
      <c r="L524" s="264"/>
      <c r="M524" s="280"/>
      <c r="N524" s="264"/>
      <c r="O524" s="263"/>
      <c r="P524" s="280"/>
      <c r="Q524" s="263"/>
      <c r="R524" s="290"/>
      <c r="S524" s="262"/>
      <c r="T524" s="291"/>
      <c r="U524" s="264"/>
      <c r="V524" s="292"/>
      <c r="W524" s="292"/>
      <c r="X524" s="280"/>
      <c r="Y524" s="298"/>
    </row>
    <row r="525" spans="1:25" ht="17.25" customHeight="1">
      <c r="A525" s="261"/>
      <c r="B525" s="1226"/>
      <c r="C525" s="1227"/>
      <c r="D525" s="575"/>
      <c r="E525" s="570"/>
      <c r="F525" s="263"/>
      <c r="G525" s="263"/>
      <c r="H525" s="264"/>
      <c r="I525" s="277"/>
      <c r="J525" s="278"/>
      <c r="K525" s="279"/>
      <c r="L525" s="264"/>
      <c r="M525" s="280"/>
      <c r="N525" s="264"/>
      <c r="O525" s="263"/>
      <c r="P525" s="280"/>
      <c r="Q525" s="263"/>
      <c r="R525" s="290"/>
      <c r="S525" s="262"/>
      <c r="T525" s="291"/>
      <c r="U525" s="264"/>
      <c r="V525" s="292"/>
      <c r="W525" s="292"/>
      <c r="X525" s="280"/>
      <c r="Y525" s="298"/>
    </row>
    <row r="526" spans="1:25" ht="17.25" customHeight="1">
      <c r="A526" s="261"/>
      <c r="B526" s="1226"/>
      <c r="C526" s="1227"/>
      <c r="D526" s="575"/>
      <c r="E526" s="570"/>
      <c r="F526" s="263"/>
      <c r="G526" s="263"/>
      <c r="H526" s="264"/>
      <c r="I526" s="277"/>
      <c r="J526" s="278"/>
      <c r="K526" s="279"/>
      <c r="L526" s="264"/>
      <c r="M526" s="280"/>
      <c r="N526" s="264"/>
      <c r="O526" s="263"/>
      <c r="P526" s="280"/>
      <c r="Q526" s="263"/>
      <c r="R526" s="290"/>
      <c r="S526" s="262"/>
      <c r="T526" s="291"/>
      <c r="U526" s="264"/>
      <c r="V526" s="292"/>
      <c r="W526" s="292"/>
      <c r="X526" s="280"/>
      <c r="Y526" s="298"/>
    </row>
    <row r="527" spans="1:25" ht="17.25" customHeight="1">
      <c r="A527" s="261"/>
      <c r="B527" s="1226"/>
      <c r="C527" s="1227"/>
      <c r="D527" s="575"/>
      <c r="E527" s="570"/>
      <c r="F527" s="263"/>
      <c r="G527" s="263"/>
      <c r="H527" s="264"/>
      <c r="I527" s="277"/>
      <c r="J527" s="278"/>
      <c r="K527" s="279"/>
      <c r="L527" s="264"/>
      <c r="M527" s="280"/>
      <c r="N527" s="264"/>
      <c r="O527" s="263"/>
      <c r="P527" s="280"/>
      <c r="Q527" s="263"/>
      <c r="R527" s="290"/>
      <c r="S527" s="262"/>
      <c r="T527" s="291"/>
      <c r="U527" s="264"/>
      <c r="V527" s="292"/>
      <c r="W527" s="292"/>
      <c r="X527" s="280"/>
      <c r="Y527" s="298"/>
    </row>
    <row r="528" spans="1:25" ht="17.25" customHeight="1">
      <c r="A528" s="261"/>
      <c r="B528" s="1226"/>
      <c r="C528" s="1227"/>
      <c r="D528" s="575"/>
      <c r="E528" s="570"/>
      <c r="F528" s="263"/>
      <c r="G528" s="263"/>
      <c r="H528" s="264"/>
      <c r="I528" s="277"/>
      <c r="J528" s="278"/>
      <c r="K528" s="279"/>
      <c r="L528" s="264"/>
      <c r="M528" s="280"/>
      <c r="N528" s="264"/>
      <c r="O528" s="263"/>
      <c r="P528" s="280"/>
      <c r="Q528" s="263"/>
      <c r="R528" s="290"/>
      <c r="S528" s="262"/>
      <c r="T528" s="291"/>
      <c r="U528" s="264"/>
      <c r="V528" s="292"/>
      <c r="W528" s="292"/>
      <c r="X528" s="280"/>
      <c r="Y528" s="298"/>
    </row>
    <row r="529" spans="1:25" ht="17.25" customHeight="1">
      <c r="A529" s="261"/>
      <c r="B529" s="1226"/>
      <c r="C529" s="1227"/>
      <c r="D529" s="575"/>
      <c r="E529" s="570"/>
      <c r="F529" s="263"/>
      <c r="G529" s="263"/>
      <c r="H529" s="264"/>
      <c r="I529" s="277"/>
      <c r="J529" s="278"/>
      <c r="K529" s="279"/>
      <c r="L529" s="264"/>
      <c r="M529" s="280"/>
      <c r="N529" s="264"/>
      <c r="O529" s="263"/>
      <c r="P529" s="280"/>
      <c r="Q529" s="263"/>
      <c r="R529" s="290"/>
      <c r="S529" s="262"/>
      <c r="T529" s="291"/>
      <c r="U529" s="264"/>
      <c r="V529" s="292"/>
      <c r="W529" s="292"/>
      <c r="X529" s="280"/>
      <c r="Y529" s="298"/>
    </row>
    <row r="530" spans="1:25" ht="17.25" customHeight="1">
      <c r="A530" s="261"/>
      <c r="B530" s="1226"/>
      <c r="C530" s="1227"/>
      <c r="D530" s="575"/>
      <c r="E530" s="570"/>
      <c r="F530" s="263"/>
      <c r="G530" s="263"/>
      <c r="H530" s="264"/>
      <c r="I530" s="277"/>
      <c r="J530" s="278"/>
      <c r="K530" s="279"/>
      <c r="L530" s="264"/>
      <c r="M530" s="280"/>
      <c r="N530" s="264"/>
      <c r="O530" s="263"/>
      <c r="P530" s="280"/>
      <c r="Q530" s="263"/>
      <c r="R530" s="290"/>
      <c r="S530" s="262"/>
      <c r="T530" s="291"/>
      <c r="U530" s="264"/>
      <c r="V530" s="292"/>
      <c r="W530" s="292"/>
      <c r="X530" s="280"/>
      <c r="Y530" s="298"/>
    </row>
    <row r="531" spans="1:25" ht="17.25" customHeight="1">
      <c r="A531" s="261"/>
      <c r="B531" s="1226"/>
      <c r="C531" s="1227"/>
      <c r="D531" s="575"/>
      <c r="E531" s="570"/>
      <c r="F531" s="263"/>
      <c r="G531" s="263"/>
      <c r="H531" s="264"/>
      <c r="I531" s="277"/>
      <c r="J531" s="278"/>
      <c r="K531" s="279"/>
      <c r="L531" s="264"/>
      <c r="M531" s="280"/>
      <c r="N531" s="264"/>
      <c r="O531" s="263"/>
      <c r="P531" s="280"/>
      <c r="Q531" s="263"/>
      <c r="R531" s="290"/>
      <c r="S531" s="262"/>
      <c r="T531" s="291"/>
      <c r="U531" s="264"/>
      <c r="V531" s="292"/>
      <c r="W531" s="292"/>
      <c r="X531" s="280"/>
      <c r="Y531" s="298"/>
    </row>
    <row r="532" spans="1:25" ht="17.25" customHeight="1">
      <c r="A532" s="261"/>
      <c r="B532" s="1226"/>
      <c r="C532" s="1227"/>
      <c r="D532" s="575"/>
      <c r="E532" s="570"/>
      <c r="F532" s="263"/>
      <c r="G532" s="263"/>
      <c r="H532" s="264"/>
      <c r="I532" s="277"/>
      <c r="J532" s="278"/>
      <c r="K532" s="279"/>
      <c r="L532" s="264"/>
      <c r="M532" s="280"/>
      <c r="N532" s="264"/>
      <c r="O532" s="263"/>
      <c r="P532" s="280"/>
      <c r="Q532" s="263"/>
      <c r="R532" s="290"/>
      <c r="S532" s="262"/>
      <c r="T532" s="291"/>
      <c r="U532" s="264"/>
      <c r="V532" s="292"/>
      <c r="W532" s="292"/>
      <c r="X532" s="280"/>
      <c r="Y532" s="298"/>
    </row>
    <row r="533" spans="1:25" ht="17.25" customHeight="1">
      <c r="A533" s="261"/>
      <c r="B533" s="1226"/>
      <c r="C533" s="1227"/>
      <c r="D533" s="575"/>
      <c r="E533" s="570"/>
      <c r="F533" s="263"/>
      <c r="G533" s="263"/>
      <c r="H533" s="264"/>
      <c r="I533" s="277"/>
      <c r="J533" s="278"/>
      <c r="K533" s="279"/>
      <c r="L533" s="264"/>
      <c r="M533" s="280"/>
      <c r="N533" s="264"/>
      <c r="O533" s="263"/>
      <c r="P533" s="280"/>
      <c r="Q533" s="263"/>
      <c r="R533" s="290"/>
      <c r="S533" s="262"/>
      <c r="T533" s="291"/>
      <c r="U533" s="264"/>
      <c r="V533" s="292"/>
      <c r="W533" s="292"/>
      <c r="X533" s="280"/>
      <c r="Y533" s="298"/>
    </row>
    <row r="534" spans="1:25" ht="17.25" customHeight="1">
      <c r="A534" s="261"/>
      <c r="B534" s="1226"/>
      <c r="C534" s="1227"/>
      <c r="D534" s="575"/>
      <c r="E534" s="570"/>
      <c r="F534" s="263"/>
      <c r="G534" s="263"/>
      <c r="H534" s="264"/>
      <c r="I534" s="277"/>
      <c r="J534" s="278"/>
      <c r="K534" s="279"/>
      <c r="L534" s="264"/>
      <c r="M534" s="280"/>
      <c r="N534" s="264"/>
      <c r="O534" s="263"/>
      <c r="P534" s="280"/>
      <c r="Q534" s="263"/>
      <c r="R534" s="290"/>
      <c r="S534" s="262"/>
      <c r="T534" s="291"/>
      <c r="U534" s="264"/>
      <c r="V534" s="292"/>
      <c r="W534" s="292"/>
      <c r="X534" s="280"/>
      <c r="Y534" s="298"/>
    </row>
    <row r="535" spans="1:25" ht="17.25" customHeight="1">
      <c r="A535" s="261"/>
      <c r="B535" s="1226"/>
      <c r="C535" s="1227"/>
      <c r="D535" s="575"/>
      <c r="E535" s="570"/>
      <c r="F535" s="263"/>
      <c r="G535" s="263"/>
      <c r="H535" s="264"/>
      <c r="I535" s="277"/>
      <c r="J535" s="278"/>
      <c r="K535" s="279"/>
      <c r="L535" s="264"/>
      <c r="M535" s="280"/>
      <c r="N535" s="264"/>
      <c r="O535" s="263"/>
      <c r="P535" s="280"/>
      <c r="Q535" s="263"/>
      <c r="R535" s="290"/>
      <c r="S535" s="262"/>
      <c r="T535" s="291"/>
      <c r="U535" s="264"/>
      <c r="V535" s="292"/>
      <c r="W535" s="292"/>
      <c r="X535" s="280"/>
      <c r="Y535" s="298"/>
    </row>
    <row r="536" spans="1:25" ht="17.25" customHeight="1">
      <c r="A536" s="261"/>
      <c r="B536" s="1226"/>
      <c r="C536" s="1227"/>
      <c r="D536" s="575"/>
      <c r="E536" s="570"/>
      <c r="F536" s="263"/>
      <c r="G536" s="263"/>
      <c r="H536" s="264"/>
      <c r="I536" s="277"/>
      <c r="J536" s="278"/>
      <c r="K536" s="279"/>
      <c r="L536" s="264"/>
      <c r="M536" s="280"/>
      <c r="N536" s="264"/>
      <c r="O536" s="263"/>
      <c r="P536" s="280"/>
      <c r="Q536" s="263"/>
      <c r="R536" s="290"/>
      <c r="S536" s="262"/>
      <c r="T536" s="291"/>
      <c r="U536" s="264"/>
      <c r="V536" s="292"/>
      <c r="W536" s="292"/>
      <c r="X536" s="280"/>
      <c r="Y536" s="298"/>
    </row>
    <row r="537" spans="1:25" ht="17.25" customHeight="1">
      <c r="A537" s="261"/>
      <c r="B537" s="1226"/>
      <c r="C537" s="1227"/>
      <c r="D537" s="575"/>
      <c r="E537" s="570"/>
      <c r="F537" s="263"/>
      <c r="G537" s="263"/>
      <c r="H537" s="264"/>
      <c r="I537" s="277"/>
      <c r="J537" s="278"/>
      <c r="K537" s="279"/>
      <c r="L537" s="264"/>
      <c r="M537" s="280"/>
      <c r="N537" s="264"/>
      <c r="O537" s="263"/>
      <c r="P537" s="280"/>
      <c r="Q537" s="263"/>
      <c r="R537" s="290"/>
      <c r="S537" s="262"/>
      <c r="T537" s="291"/>
      <c r="U537" s="264"/>
      <c r="V537" s="292"/>
      <c r="W537" s="292"/>
      <c r="X537" s="280"/>
      <c r="Y537" s="298"/>
    </row>
    <row r="538" spans="1:25" ht="17.25" customHeight="1">
      <c r="A538" s="261"/>
      <c r="B538" s="1226"/>
      <c r="C538" s="1227"/>
      <c r="D538" s="575"/>
      <c r="E538" s="570"/>
      <c r="F538" s="263"/>
      <c r="G538" s="263"/>
      <c r="H538" s="264"/>
      <c r="I538" s="277"/>
      <c r="J538" s="278"/>
      <c r="K538" s="279"/>
      <c r="L538" s="264"/>
      <c r="M538" s="280"/>
      <c r="N538" s="264"/>
      <c r="O538" s="263"/>
      <c r="P538" s="280"/>
      <c r="Q538" s="263"/>
      <c r="R538" s="290"/>
      <c r="S538" s="262"/>
      <c r="T538" s="291"/>
      <c r="U538" s="264"/>
      <c r="V538" s="292"/>
      <c r="W538" s="292"/>
      <c r="X538" s="280"/>
      <c r="Y538" s="298"/>
    </row>
    <row r="539" spans="1:25" ht="17.25" customHeight="1">
      <c r="A539" s="261"/>
      <c r="B539" s="1226"/>
      <c r="C539" s="1227"/>
      <c r="D539" s="575"/>
      <c r="E539" s="570"/>
      <c r="F539" s="263"/>
      <c r="G539" s="263"/>
      <c r="H539" s="264"/>
      <c r="I539" s="277"/>
      <c r="J539" s="278"/>
      <c r="K539" s="279"/>
      <c r="L539" s="264"/>
      <c r="M539" s="280"/>
      <c r="N539" s="264"/>
      <c r="O539" s="263"/>
      <c r="P539" s="280"/>
      <c r="Q539" s="263"/>
      <c r="R539" s="290"/>
      <c r="S539" s="262"/>
      <c r="T539" s="291"/>
      <c r="U539" s="264"/>
      <c r="V539" s="292"/>
      <c r="W539" s="292"/>
      <c r="X539" s="280"/>
      <c r="Y539" s="298"/>
    </row>
    <row r="540" spans="1:25" ht="17.25" customHeight="1">
      <c r="A540" s="261"/>
      <c r="B540" s="1226"/>
      <c r="C540" s="1227"/>
      <c r="D540" s="575"/>
      <c r="E540" s="570"/>
      <c r="F540" s="263"/>
      <c r="G540" s="263"/>
      <c r="H540" s="264"/>
      <c r="I540" s="277"/>
      <c r="J540" s="278"/>
      <c r="K540" s="279"/>
      <c r="L540" s="264"/>
      <c r="M540" s="280"/>
      <c r="N540" s="264"/>
      <c r="O540" s="263"/>
      <c r="P540" s="280"/>
      <c r="Q540" s="263"/>
      <c r="R540" s="290"/>
      <c r="S540" s="262"/>
      <c r="T540" s="291"/>
      <c r="U540" s="264"/>
      <c r="V540" s="292"/>
      <c r="W540" s="292"/>
      <c r="X540" s="280"/>
      <c r="Y540" s="298"/>
    </row>
    <row r="541" spans="1:25" ht="17.25" customHeight="1">
      <c r="A541" s="261"/>
      <c r="B541" s="1226"/>
      <c r="C541" s="1227"/>
      <c r="D541" s="575"/>
      <c r="E541" s="570"/>
      <c r="F541" s="263"/>
      <c r="G541" s="263"/>
      <c r="H541" s="264"/>
      <c r="I541" s="277"/>
      <c r="J541" s="278"/>
      <c r="K541" s="279"/>
      <c r="L541" s="264"/>
      <c r="M541" s="280"/>
      <c r="N541" s="264"/>
      <c r="O541" s="263"/>
      <c r="P541" s="280"/>
      <c r="Q541" s="263"/>
      <c r="R541" s="290"/>
      <c r="S541" s="262"/>
      <c r="T541" s="291"/>
      <c r="U541" s="264"/>
      <c r="V541" s="292"/>
      <c r="W541" s="292"/>
      <c r="X541" s="280"/>
      <c r="Y541" s="298"/>
    </row>
    <row r="542" spans="1:25" ht="17.25" customHeight="1">
      <c r="A542" s="261"/>
      <c r="B542" s="1226"/>
      <c r="C542" s="1227"/>
      <c r="D542" s="575"/>
      <c r="E542" s="570"/>
      <c r="F542" s="263"/>
      <c r="G542" s="263"/>
      <c r="H542" s="264"/>
      <c r="I542" s="277"/>
      <c r="J542" s="278"/>
      <c r="K542" s="279"/>
      <c r="L542" s="264"/>
      <c r="M542" s="280"/>
      <c r="N542" s="264"/>
      <c r="O542" s="263"/>
      <c r="P542" s="280"/>
      <c r="Q542" s="263"/>
      <c r="R542" s="290"/>
      <c r="S542" s="262"/>
      <c r="T542" s="291"/>
      <c r="U542" s="264"/>
      <c r="V542" s="292"/>
      <c r="W542" s="292"/>
      <c r="X542" s="280"/>
      <c r="Y542" s="298"/>
    </row>
    <row r="543" spans="1:25" ht="17.25" customHeight="1">
      <c r="A543" s="261"/>
      <c r="B543" s="1226"/>
      <c r="C543" s="1227"/>
      <c r="D543" s="575"/>
      <c r="E543" s="570"/>
      <c r="F543" s="263"/>
      <c r="G543" s="263"/>
      <c r="H543" s="264"/>
      <c r="I543" s="277"/>
      <c r="J543" s="278"/>
      <c r="K543" s="279"/>
      <c r="L543" s="264"/>
      <c r="M543" s="280"/>
      <c r="N543" s="264"/>
      <c r="O543" s="263"/>
      <c r="P543" s="280"/>
      <c r="Q543" s="263"/>
      <c r="R543" s="290"/>
      <c r="S543" s="262"/>
      <c r="T543" s="291"/>
      <c r="U543" s="264"/>
      <c r="V543" s="292"/>
      <c r="W543" s="292"/>
      <c r="X543" s="280"/>
      <c r="Y543" s="298"/>
    </row>
    <row r="544" spans="1:25" ht="17.25" customHeight="1">
      <c r="A544" s="261"/>
      <c r="B544" s="1226"/>
      <c r="C544" s="1227"/>
      <c r="D544" s="575"/>
      <c r="E544" s="570"/>
      <c r="F544" s="263"/>
      <c r="G544" s="263"/>
      <c r="H544" s="264"/>
      <c r="I544" s="277"/>
      <c r="J544" s="278"/>
      <c r="K544" s="279"/>
      <c r="L544" s="264"/>
      <c r="M544" s="280"/>
      <c r="N544" s="264"/>
      <c r="O544" s="263"/>
      <c r="P544" s="280"/>
      <c r="Q544" s="263"/>
      <c r="R544" s="290"/>
      <c r="S544" s="262"/>
      <c r="T544" s="291"/>
      <c r="U544" s="264"/>
      <c r="V544" s="292"/>
      <c r="W544" s="292"/>
      <c r="X544" s="280"/>
      <c r="Y544" s="298"/>
    </row>
    <row r="545" spans="1:25" ht="17.25" customHeight="1">
      <c r="A545" s="261"/>
      <c r="B545" s="1226"/>
      <c r="C545" s="1227"/>
      <c r="D545" s="575"/>
      <c r="E545" s="570"/>
      <c r="F545" s="263"/>
      <c r="G545" s="263"/>
      <c r="H545" s="264"/>
      <c r="I545" s="277"/>
      <c r="J545" s="278"/>
      <c r="K545" s="279"/>
      <c r="L545" s="264"/>
      <c r="M545" s="280"/>
      <c r="N545" s="264"/>
      <c r="O545" s="263"/>
      <c r="P545" s="280"/>
      <c r="Q545" s="263"/>
      <c r="R545" s="290"/>
      <c r="S545" s="262"/>
      <c r="T545" s="291"/>
      <c r="U545" s="264"/>
      <c r="V545" s="292"/>
      <c r="W545" s="292"/>
      <c r="X545" s="280"/>
      <c r="Y545" s="298"/>
    </row>
    <row r="546" spans="1:25" ht="17.25" customHeight="1">
      <c r="A546" s="261"/>
      <c r="B546" s="1226"/>
      <c r="C546" s="1227"/>
      <c r="D546" s="575"/>
      <c r="E546" s="570"/>
      <c r="F546" s="263"/>
      <c r="G546" s="263"/>
      <c r="H546" s="264"/>
      <c r="I546" s="277"/>
      <c r="J546" s="278"/>
      <c r="K546" s="279"/>
      <c r="L546" s="264"/>
      <c r="M546" s="280"/>
      <c r="N546" s="264"/>
      <c r="O546" s="263"/>
      <c r="P546" s="280"/>
      <c r="Q546" s="263"/>
      <c r="R546" s="290"/>
      <c r="S546" s="262"/>
      <c r="T546" s="291"/>
      <c r="U546" s="264"/>
      <c r="V546" s="292"/>
      <c r="W546" s="292"/>
      <c r="X546" s="280"/>
      <c r="Y546" s="298"/>
    </row>
    <row r="547" spans="1:25" ht="17.25" customHeight="1">
      <c r="A547" s="261"/>
      <c r="B547" s="1226"/>
      <c r="C547" s="1227"/>
      <c r="D547" s="575"/>
      <c r="E547" s="570"/>
      <c r="F547" s="263"/>
      <c r="G547" s="263"/>
      <c r="H547" s="264"/>
      <c r="I547" s="277"/>
      <c r="J547" s="278"/>
      <c r="K547" s="279"/>
      <c r="L547" s="264"/>
      <c r="M547" s="280"/>
      <c r="N547" s="264"/>
      <c r="O547" s="263"/>
      <c r="P547" s="280"/>
      <c r="Q547" s="263"/>
      <c r="R547" s="290"/>
      <c r="S547" s="262"/>
      <c r="T547" s="291"/>
      <c r="U547" s="264"/>
      <c r="V547" s="292"/>
      <c r="W547" s="292"/>
      <c r="X547" s="280"/>
      <c r="Y547" s="298"/>
    </row>
    <row r="548" spans="1:25" ht="17.25" customHeight="1">
      <c r="A548" s="261"/>
      <c r="B548" s="1226"/>
      <c r="C548" s="1227"/>
      <c r="D548" s="575"/>
      <c r="E548" s="570"/>
      <c r="F548" s="263"/>
      <c r="G548" s="263"/>
      <c r="H548" s="264"/>
      <c r="I548" s="277"/>
      <c r="J548" s="278"/>
      <c r="K548" s="279"/>
      <c r="L548" s="264"/>
      <c r="M548" s="280"/>
      <c r="N548" s="264"/>
      <c r="O548" s="263"/>
      <c r="P548" s="280"/>
      <c r="Q548" s="263"/>
      <c r="R548" s="290"/>
      <c r="S548" s="262"/>
      <c r="T548" s="291"/>
      <c r="U548" s="264"/>
      <c r="V548" s="292"/>
      <c r="W548" s="292"/>
      <c r="X548" s="280"/>
      <c r="Y548" s="298"/>
    </row>
    <row r="549" spans="1:25" ht="17.25" customHeight="1">
      <c r="A549" s="261"/>
      <c r="B549" s="1226"/>
      <c r="C549" s="1227"/>
      <c r="D549" s="575"/>
      <c r="E549" s="570"/>
      <c r="F549" s="263"/>
      <c r="G549" s="263"/>
      <c r="H549" s="264"/>
      <c r="I549" s="277"/>
      <c r="J549" s="278"/>
      <c r="K549" s="279"/>
      <c r="L549" s="264"/>
      <c r="M549" s="280"/>
      <c r="N549" s="264"/>
      <c r="O549" s="263"/>
      <c r="P549" s="280"/>
      <c r="Q549" s="263"/>
      <c r="R549" s="290"/>
      <c r="S549" s="262"/>
      <c r="T549" s="291"/>
      <c r="U549" s="264"/>
      <c r="V549" s="292"/>
      <c r="W549" s="292"/>
      <c r="X549" s="280"/>
      <c r="Y549" s="298"/>
    </row>
    <row r="550" spans="1:25" ht="17.25" customHeight="1">
      <c r="A550" s="261"/>
      <c r="B550" s="1226"/>
      <c r="C550" s="1227"/>
      <c r="D550" s="575"/>
      <c r="E550" s="570"/>
      <c r="F550" s="263"/>
      <c r="G550" s="263"/>
      <c r="H550" s="264"/>
      <c r="I550" s="277"/>
      <c r="J550" s="278"/>
      <c r="K550" s="279"/>
      <c r="L550" s="264"/>
      <c r="M550" s="280"/>
      <c r="N550" s="264"/>
      <c r="O550" s="263"/>
      <c r="P550" s="280"/>
      <c r="Q550" s="263"/>
      <c r="R550" s="290"/>
      <c r="S550" s="262"/>
      <c r="T550" s="291"/>
      <c r="U550" s="264"/>
      <c r="V550" s="292"/>
      <c r="W550" s="292"/>
      <c r="X550" s="280"/>
      <c r="Y550" s="298"/>
    </row>
    <row r="551" spans="1:25" ht="17.25" customHeight="1">
      <c r="A551" s="261"/>
      <c r="B551" s="1226"/>
      <c r="C551" s="1227"/>
      <c r="D551" s="575"/>
      <c r="E551" s="570"/>
      <c r="F551" s="263"/>
      <c r="G551" s="263"/>
      <c r="H551" s="264"/>
      <c r="I551" s="277"/>
      <c r="J551" s="278"/>
      <c r="K551" s="279"/>
      <c r="L551" s="264"/>
      <c r="M551" s="280"/>
      <c r="N551" s="264"/>
      <c r="O551" s="263"/>
      <c r="P551" s="280"/>
      <c r="Q551" s="263"/>
      <c r="R551" s="290"/>
      <c r="S551" s="262"/>
      <c r="T551" s="291"/>
      <c r="U551" s="264"/>
      <c r="V551" s="292"/>
      <c r="W551" s="292"/>
      <c r="X551" s="280"/>
      <c r="Y551" s="298"/>
    </row>
    <row r="552" spans="1:25" ht="17.25" customHeight="1">
      <c r="A552" s="261"/>
      <c r="B552" s="1226"/>
      <c r="C552" s="1227"/>
      <c r="D552" s="575"/>
      <c r="E552" s="570"/>
      <c r="F552" s="263"/>
      <c r="G552" s="263"/>
      <c r="H552" s="264"/>
      <c r="I552" s="277"/>
      <c r="J552" s="278"/>
      <c r="K552" s="279"/>
      <c r="L552" s="264"/>
      <c r="M552" s="280"/>
      <c r="N552" s="264"/>
      <c r="O552" s="263"/>
      <c r="P552" s="280"/>
      <c r="Q552" s="263"/>
      <c r="R552" s="290"/>
      <c r="S552" s="262"/>
      <c r="T552" s="291"/>
      <c r="U552" s="264"/>
      <c r="V552" s="292"/>
      <c r="W552" s="292"/>
      <c r="X552" s="280"/>
      <c r="Y552" s="298"/>
    </row>
    <row r="553" spans="1:25" ht="17.25" customHeight="1">
      <c r="A553" s="261"/>
      <c r="B553" s="1226"/>
      <c r="C553" s="1227"/>
      <c r="D553" s="575"/>
      <c r="E553" s="570"/>
      <c r="F553" s="263"/>
      <c r="G553" s="263"/>
      <c r="H553" s="264"/>
      <c r="I553" s="277"/>
      <c r="J553" s="278"/>
      <c r="K553" s="279"/>
      <c r="L553" s="264"/>
      <c r="M553" s="280"/>
      <c r="N553" s="264"/>
      <c r="O553" s="263"/>
      <c r="P553" s="280"/>
      <c r="Q553" s="263"/>
      <c r="R553" s="290"/>
      <c r="S553" s="262"/>
      <c r="T553" s="291"/>
      <c r="U553" s="264"/>
      <c r="V553" s="292"/>
      <c r="W553" s="292"/>
      <c r="X553" s="280"/>
      <c r="Y553" s="298"/>
    </row>
    <row r="554" spans="1:25" ht="17.25" customHeight="1">
      <c r="A554" s="261"/>
      <c r="B554" s="1226"/>
      <c r="C554" s="1227"/>
      <c r="D554" s="575"/>
      <c r="E554" s="570"/>
      <c r="F554" s="263"/>
      <c r="G554" s="263"/>
      <c r="H554" s="264"/>
      <c r="I554" s="277"/>
      <c r="J554" s="278"/>
      <c r="K554" s="279"/>
      <c r="L554" s="264"/>
      <c r="M554" s="280"/>
      <c r="N554" s="264"/>
      <c r="O554" s="263"/>
      <c r="P554" s="280"/>
      <c r="Q554" s="263"/>
      <c r="R554" s="290"/>
      <c r="S554" s="262"/>
      <c r="T554" s="291"/>
      <c r="U554" s="264"/>
      <c r="V554" s="292"/>
      <c r="W554" s="292"/>
      <c r="X554" s="280"/>
      <c r="Y554" s="298"/>
    </row>
    <row r="555" spans="1:25" ht="17.25" customHeight="1">
      <c r="A555" s="261"/>
      <c r="B555" s="1226"/>
      <c r="C555" s="1227"/>
      <c r="D555" s="575"/>
      <c r="E555" s="570"/>
      <c r="F555" s="263"/>
      <c r="G555" s="263"/>
      <c r="H555" s="264"/>
      <c r="I555" s="277"/>
      <c r="J555" s="278"/>
      <c r="K555" s="279"/>
      <c r="L555" s="264"/>
      <c r="M555" s="280"/>
      <c r="N555" s="264"/>
      <c r="O555" s="263"/>
      <c r="P555" s="280"/>
      <c r="Q555" s="263"/>
      <c r="R555" s="290"/>
      <c r="S555" s="262"/>
      <c r="T555" s="291"/>
      <c r="U555" s="264"/>
      <c r="V555" s="292"/>
      <c r="W555" s="292"/>
      <c r="X555" s="280"/>
      <c r="Y555" s="298"/>
    </row>
    <row r="556" spans="1:25" ht="17.25" customHeight="1">
      <c r="A556" s="261"/>
      <c r="B556" s="1226"/>
      <c r="C556" s="1227"/>
      <c r="D556" s="575"/>
      <c r="E556" s="570"/>
      <c r="F556" s="263"/>
      <c r="G556" s="263"/>
      <c r="H556" s="264"/>
      <c r="I556" s="277"/>
      <c r="J556" s="278"/>
      <c r="K556" s="279"/>
      <c r="L556" s="264"/>
      <c r="M556" s="280"/>
      <c r="N556" s="264"/>
      <c r="O556" s="263"/>
      <c r="P556" s="280"/>
      <c r="Q556" s="263"/>
      <c r="R556" s="290"/>
      <c r="S556" s="262"/>
      <c r="T556" s="291"/>
      <c r="U556" s="264"/>
      <c r="V556" s="292"/>
      <c r="W556" s="292"/>
      <c r="X556" s="280"/>
      <c r="Y556" s="298"/>
    </row>
    <row r="557" spans="1:25" ht="17.25" customHeight="1">
      <c r="A557" s="261"/>
      <c r="B557" s="1226"/>
      <c r="C557" s="1227"/>
      <c r="D557" s="575"/>
      <c r="E557" s="570"/>
      <c r="F557" s="263"/>
      <c r="G557" s="263"/>
      <c r="H557" s="264"/>
      <c r="I557" s="277"/>
      <c r="J557" s="278"/>
      <c r="K557" s="279"/>
      <c r="L557" s="264"/>
      <c r="M557" s="280"/>
      <c r="N557" s="264"/>
      <c r="O557" s="263"/>
      <c r="P557" s="280"/>
      <c r="Q557" s="263"/>
      <c r="R557" s="290"/>
      <c r="S557" s="262"/>
      <c r="T557" s="291"/>
      <c r="U557" s="264"/>
      <c r="V557" s="292"/>
      <c r="W557" s="292"/>
      <c r="X557" s="280"/>
      <c r="Y557" s="298"/>
    </row>
    <row r="558" spans="1:25" ht="17.25" customHeight="1">
      <c r="A558" s="261"/>
      <c r="B558" s="1226"/>
      <c r="C558" s="1227"/>
      <c r="D558" s="575"/>
      <c r="E558" s="570"/>
      <c r="F558" s="263"/>
      <c r="G558" s="263"/>
      <c r="H558" s="264"/>
      <c r="I558" s="277"/>
      <c r="J558" s="278"/>
      <c r="K558" s="279"/>
      <c r="L558" s="264"/>
      <c r="M558" s="280"/>
      <c r="N558" s="264"/>
      <c r="O558" s="263"/>
      <c r="P558" s="280"/>
      <c r="Q558" s="263"/>
      <c r="R558" s="290"/>
      <c r="S558" s="262"/>
      <c r="T558" s="291"/>
      <c r="U558" s="264"/>
      <c r="V558" s="292"/>
      <c r="W558" s="292"/>
      <c r="X558" s="280"/>
      <c r="Y558" s="298"/>
    </row>
    <row r="559" spans="1:25" ht="17.25" customHeight="1">
      <c r="A559" s="261"/>
      <c r="B559" s="1226"/>
      <c r="C559" s="1227"/>
      <c r="D559" s="575"/>
      <c r="E559" s="570"/>
      <c r="F559" s="263"/>
      <c r="G559" s="263"/>
      <c r="H559" s="264"/>
      <c r="I559" s="277"/>
      <c r="J559" s="278"/>
      <c r="K559" s="279"/>
      <c r="L559" s="264"/>
      <c r="M559" s="280"/>
      <c r="N559" s="264"/>
      <c r="O559" s="263"/>
      <c r="P559" s="280"/>
      <c r="Q559" s="263"/>
      <c r="R559" s="290"/>
      <c r="S559" s="262"/>
      <c r="T559" s="291"/>
      <c r="U559" s="264"/>
      <c r="V559" s="292"/>
      <c r="W559" s="292"/>
      <c r="X559" s="280"/>
      <c r="Y559" s="298"/>
    </row>
    <row r="560" spans="1:25" ht="17.25" customHeight="1">
      <c r="A560" s="261"/>
      <c r="B560" s="1226"/>
      <c r="C560" s="1227"/>
      <c r="D560" s="575"/>
      <c r="E560" s="570"/>
      <c r="F560" s="263"/>
      <c r="G560" s="263"/>
      <c r="H560" s="264"/>
      <c r="I560" s="277"/>
      <c r="J560" s="278"/>
      <c r="K560" s="279"/>
      <c r="L560" s="264"/>
      <c r="M560" s="280"/>
      <c r="N560" s="264"/>
      <c r="O560" s="263"/>
      <c r="P560" s="280"/>
      <c r="Q560" s="263"/>
      <c r="R560" s="290"/>
      <c r="S560" s="262"/>
      <c r="T560" s="291"/>
      <c r="U560" s="264"/>
      <c r="V560" s="292"/>
      <c r="W560" s="292"/>
      <c r="X560" s="280"/>
      <c r="Y560" s="298"/>
    </row>
    <row r="561" spans="1:25" ht="17.25" customHeight="1">
      <c r="A561" s="261"/>
      <c r="B561" s="1226"/>
      <c r="C561" s="1227"/>
      <c r="D561" s="575"/>
      <c r="E561" s="570"/>
      <c r="F561" s="263"/>
      <c r="G561" s="263"/>
      <c r="H561" s="264"/>
      <c r="I561" s="277"/>
      <c r="J561" s="278"/>
      <c r="K561" s="279"/>
      <c r="L561" s="264"/>
      <c r="M561" s="280"/>
      <c r="N561" s="264"/>
      <c r="O561" s="263"/>
      <c r="P561" s="280"/>
      <c r="Q561" s="263"/>
      <c r="R561" s="290"/>
      <c r="S561" s="262"/>
      <c r="T561" s="291"/>
      <c r="U561" s="264"/>
      <c r="V561" s="292"/>
      <c r="W561" s="292"/>
      <c r="X561" s="280"/>
      <c r="Y561" s="298"/>
    </row>
    <row r="562" spans="1:25" ht="17.25" customHeight="1">
      <c r="A562" s="261"/>
      <c r="B562" s="1226"/>
      <c r="C562" s="1227"/>
      <c r="D562" s="575"/>
      <c r="E562" s="570"/>
      <c r="F562" s="263"/>
      <c r="G562" s="263"/>
      <c r="H562" s="264"/>
      <c r="I562" s="277"/>
      <c r="J562" s="278"/>
      <c r="K562" s="279"/>
      <c r="L562" s="264"/>
      <c r="M562" s="280"/>
      <c r="N562" s="264"/>
      <c r="O562" s="263"/>
      <c r="P562" s="280"/>
      <c r="Q562" s="263"/>
      <c r="R562" s="290"/>
      <c r="S562" s="262"/>
      <c r="T562" s="291"/>
      <c r="U562" s="264"/>
      <c r="V562" s="292"/>
      <c r="W562" s="292"/>
      <c r="X562" s="280"/>
      <c r="Y562" s="298"/>
    </row>
    <row r="563" spans="1:25" ht="17.25" customHeight="1">
      <c r="A563" s="261"/>
      <c r="B563" s="1226"/>
      <c r="C563" s="1227"/>
      <c r="D563" s="575"/>
      <c r="E563" s="570"/>
      <c r="F563" s="263"/>
      <c r="G563" s="263"/>
      <c r="H563" s="264"/>
      <c r="I563" s="277"/>
      <c r="J563" s="278"/>
      <c r="K563" s="279"/>
      <c r="L563" s="264"/>
      <c r="M563" s="280"/>
      <c r="N563" s="264"/>
      <c r="O563" s="263"/>
      <c r="P563" s="280"/>
      <c r="Q563" s="263"/>
      <c r="R563" s="290"/>
      <c r="S563" s="262"/>
      <c r="T563" s="291"/>
      <c r="U563" s="264"/>
      <c r="V563" s="292"/>
      <c r="W563" s="292"/>
      <c r="X563" s="280"/>
      <c r="Y563" s="298"/>
    </row>
    <row r="564" spans="1:25" ht="17.25" customHeight="1">
      <c r="A564" s="261"/>
      <c r="B564" s="1226"/>
      <c r="C564" s="1227"/>
      <c r="D564" s="575"/>
      <c r="E564" s="570"/>
      <c r="F564" s="263"/>
      <c r="G564" s="263"/>
      <c r="H564" s="264"/>
      <c r="I564" s="277"/>
      <c r="J564" s="278"/>
      <c r="K564" s="279"/>
      <c r="L564" s="264"/>
      <c r="M564" s="280"/>
      <c r="N564" s="264"/>
      <c r="O564" s="263"/>
      <c r="P564" s="280"/>
      <c r="Q564" s="263"/>
      <c r="R564" s="290"/>
      <c r="S564" s="262"/>
      <c r="T564" s="291"/>
      <c r="U564" s="264"/>
      <c r="V564" s="292"/>
      <c r="W564" s="292"/>
      <c r="X564" s="280"/>
      <c r="Y564" s="298"/>
    </row>
    <row r="565" spans="1:25" ht="17.25" customHeight="1">
      <c r="A565" s="261"/>
      <c r="B565" s="1226"/>
      <c r="C565" s="1227"/>
      <c r="D565" s="575"/>
      <c r="E565" s="570"/>
      <c r="F565" s="263"/>
      <c r="G565" s="263"/>
      <c r="H565" s="264"/>
      <c r="I565" s="277"/>
      <c r="J565" s="278"/>
      <c r="K565" s="279"/>
      <c r="L565" s="264"/>
      <c r="M565" s="280"/>
      <c r="N565" s="264"/>
      <c r="O565" s="263"/>
      <c r="P565" s="280"/>
      <c r="Q565" s="263"/>
      <c r="R565" s="290"/>
      <c r="S565" s="262"/>
      <c r="T565" s="291"/>
      <c r="U565" s="264"/>
      <c r="V565" s="292"/>
      <c r="W565" s="292"/>
      <c r="X565" s="280"/>
      <c r="Y565" s="298"/>
    </row>
    <row r="566" spans="1:25" ht="17.25" customHeight="1">
      <c r="A566" s="261"/>
      <c r="B566" s="1226"/>
      <c r="C566" s="1227"/>
      <c r="D566" s="575"/>
      <c r="E566" s="570"/>
      <c r="F566" s="263"/>
      <c r="G566" s="263"/>
      <c r="H566" s="264"/>
      <c r="I566" s="277"/>
      <c r="J566" s="278"/>
      <c r="K566" s="279"/>
      <c r="L566" s="264"/>
      <c r="M566" s="280"/>
      <c r="N566" s="264"/>
      <c r="O566" s="263"/>
      <c r="P566" s="280"/>
      <c r="Q566" s="263"/>
      <c r="R566" s="290"/>
      <c r="S566" s="262"/>
      <c r="T566" s="291"/>
      <c r="U566" s="264"/>
      <c r="V566" s="292"/>
      <c r="W566" s="292"/>
      <c r="X566" s="280"/>
      <c r="Y566" s="298"/>
    </row>
    <row r="567" spans="1:25" ht="17.25" customHeight="1">
      <c r="A567" s="261"/>
      <c r="B567" s="1226"/>
      <c r="C567" s="1227"/>
      <c r="D567" s="575"/>
      <c r="E567" s="570"/>
      <c r="F567" s="263"/>
      <c r="G567" s="263"/>
      <c r="H567" s="264"/>
      <c r="I567" s="277"/>
      <c r="J567" s="278"/>
      <c r="K567" s="279"/>
      <c r="L567" s="264"/>
      <c r="M567" s="280"/>
      <c r="N567" s="264"/>
      <c r="O567" s="263"/>
      <c r="P567" s="280"/>
      <c r="Q567" s="263"/>
      <c r="R567" s="290"/>
      <c r="S567" s="262"/>
      <c r="T567" s="291"/>
      <c r="U567" s="264"/>
      <c r="V567" s="292"/>
      <c r="W567" s="292"/>
      <c r="X567" s="280"/>
      <c r="Y567" s="298"/>
    </row>
    <row r="568" spans="1:25" ht="17.25" customHeight="1">
      <c r="A568" s="261"/>
      <c r="B568" s="1226"/>
      <c r="C568" s="1227"/>
      <c r="D568" s="575"/>
      <c r="E568" s="570"/>
      <c r="F568" s="263"/>
      <c r="G568" s="263"/>
      <c r="H568" s="264"/>
      <c r="I568" s="277"/>
      <c r="J568" s="278"/>
      <c r="K568" s="279"/>
      <c r="L568" s="264"/>
      <c r="M568" s="280"/>
      <c r="N568" s="264"/>
      <c r="O568" s="263"/>
      <c r="P568" s="280"/>
      <c r="Q568" s="263"/>
      <c r="R568" s="290"/>
      <c r="S568" s="262"/>
      <c r="T568" s="291"/>
      <c r="U568" s="264"/>
      <c r="V568" s="292"/>
      <c r="W568" s="292"/>
      <c r="X568" s="280"/>
      <c r="Y568" s="298"/>
    </row>
    <row r="569" spans="1:25" ht="17.25" customHeight="1">
      <c r="A569" s="261"/>
      <c r="B569" s="1226"/>
      <c r="C569" s="1227"/>
      <c r="D569" s="575"/>
      <c r="E569" s="570"/>
      <c r="F569" s="263"/>
      <c r="G569" s="263"/>
      <c r="H569" s="264"/>
      <c r="I569" s="277"/>
      <c r="J569" s="278"/>
      <c r="K569" s="279"/>
      <c r="L569" s="264"/>
      <c r="M569" s="280"/>
      <c r="N569" s="264"/>
      <c r="O569" s="263"/>
      <c r="P569" s="280"/>
      <c r="Q569" s="263"/>
      <c r="R569" s="290"/>
      <c r="S569" s="262"/>
      <c r="T569" s="291"/>
      <c r="U569" s="264"/>
      <c r="V569" s="292"/>
      <c r="W569" s="292"/>
      <c r="X569" s="280"/>
      <c r="Y569" s="298"/>
    </row>
    <row r="570" spans="1:25" ht="17.25" customHeight="1">
      <c r="A570" s="261"/>
      <c r="B570" s="1226"/>
      <c r="C570" s="1227"/>
      <c r="D570" s="575"/>
      <c r="E570" s="570"/>
      <c r="F570" s="263"/>
      <c r="G570" s="263"/>
      <c r="H570" s="264"/>
      <c r="I570" s="277"/>
      <c r="J570" s="278"/>
      <c r="K570" s="279"/>
      <c r="L570" s="264"/>
      <c r="M570" s="280"/>
      <c r="N570" s="264"/>
      <c r="O570" s="263"/>
      <c r="P570" s="280"/>
      <c r="Q570" s="263"/>
      <c r="R570" s="290"/>
      <c r="S570" s="262"/>
      <c r="T570" s="291"/>
      <c r="U570" s="264"/>
      <c r="V570" s="292"/>
      <c r="W570" s="292"/>
      <c r="X570" s="280"/>
      <c r="Y570" s="298"/>
    </row>
    <row r="571" spans="1:25" ht="17.25" customHeight="1">
      <c r="A571" s="261"/>
      <c r="B571" s="1226"/>
      <c r="C571" s="1227"/>
      <c r="D571" s="575"/>
      <c r="E571" s="570"/>
      <c r="F571" s="263"/>
      <c r="G571" s="263"/>
      <c r="H571" s="264"/>
      <c r="I571" s="277"/>
      <c r="J571" s="278"/>
      <c r="K571" s="279"/>
      <c r="L571" s="264"/>
      <c r="M571" s="280"/>
      <c r="N571" s="264"/>
      <c r="O571" s="263"/>
      <c r="P571" s="280"/>
      <c r="Q571" s="263"/>
      <c r="R571" s="290"/>
      <c r="S571" s="262"/>
      <c r="T571" s="291"/>
      <c r="U571" s="264"/>
      <c r="V571" s="292"/>
      <c r="W571" s="292"/>
      <c r="X571" s="280"/>
      <c r="Y571" s="298"/>
    </row>
    <row r="572" spans="1:25" ht="17.25" customHeight="1">
      <c r="A572" s="261"/>
      <c r="B572" s="1226"/>
      <c r="C572" s="1227"/>
      <c r="D572" s="575"/>
      <c r="E572" s="570"/>
      <c r="F572" s="263"/>
      <c r="G572" s="263"/>
      <c r="H572" s="264"/>
      <c r="I572" s="277"/>
      <c r="J572" s="278"/>
      <c r="K572" s="279"/>
      <c r="L572" s="264"/>
      <c r="M572" s="280"/>
      <c r="N572" s="264"/>
      <c r="O572" s="263"/>
      <c r="P572" s="280"/>
      <c r="Q572" s="263"/>
      <c r="R572" s="290"/>
      <c r="S572" s="262"/>
      <c r="T572" s="291"/>
      <c r="U572" s="264"/>
      <c r="V572" s="292"/>
      <c r="W572" s="292"/>
      <c r="X572" s="280"/>
      <c r="Y572" s="298"/>
    </row>
    <row r="573" spans="1:25" ht="17.25" customHeight="1">
      <c r="A573" s="261"/>
      <c r="B573" s="1226"/>
      <c r="C573" s="1227"/>
      <c r="D573" s="575"/>
      <c r="E573" s="570"/>
      <c r="F573" s="263"/>
      <c r="G573" s="263"/>
      <c r="H573" s="264"/>
      <c r="I573" s="277"/>
      <c r="J573" s="278"/>
      <c r="K573" s="279"/>
      <c r="L573" s="264"/>
      <c r="M573" s="280"/>
      <c r="N573" s="264"/>
      <c r="O573" s="263"/>
      <c r="P573" s="280"/>
      <c r="Q573" s="263"/>
      <c r="R573" s="290"/>
      <c r="S573" s="262"/>
      <c r="T573" s="291"/>
      <c r="U573" s="264"/>
      <c r="V573" s="292"/>
      <c r="W573" s="292"/>
      <c r="X573" s="280"/>
      <c r="Y573" s="298"/>
    </row>
    <row r="574" spans="1:25" ht="17.25" customHeight="1">
      <c r="A574" s="261"/>
      <c r="B574" s="1226"/>
      <c r="C574" s="1227"/>
      <c r="D574" s="575"/>
      <c r="E574" s="570"/>
      <c r="F574" s="263"/>
      <c r="G574" s="263"/>
      <c r="H574" s="264"/>
      <c r="I574" s="277"/>
      <c r="J574" s="278"/>
      <c r="K574" s="279"/>
      <c r="L574" s="264"/>
      <c r="M574" s="280"/>
      <c r="N574" s="264"/>
      <c r="O574" s="263"/>
      <c r="P574" s="280"/>
      <c r="Q574" s="263"/>
      <c r="R574" s="290"/>
      <c r="S574" s="262"/>
      <c r="T574" s="291"/>
      <c r="U574" s="264"/>
      <c r="V574" s="292"/>
      <c r="W574" s="292"/>
      <c r="X574" s="280"/>
      <c r="Y574" s="298"/>
    </row>
    <row r="575" spans="1:25" ht="17.25" customHeight="1">
      <c r="A575" s="261"/>
      <c r="B575" s="1226"/>
      <c r="C575" s="1227"/>
      <c r="D575" s="575"/>
      <c r="E575" s="570"/>
      <c r="F575" s="263"/>
      <c r="G575" s="263"/>
      <c r="H575" s="264"/>
      <c r="I575" s="277"/>
      <c r="J575" s="278"/>
      <c r="K575" s="279"/>
      <c r="L575" s="264"/>
      <c r="M575" s="280"/>
      <c r="N575" s="264"/>
      <c r="O575" s="263"/>
      <c r="P575" s="280"/>
      <c r="Q575" s="263"/>
      <c r="R575" s="290"/>
      <c r="S575" s="262"/>
      <c r="T575" s="291"/>
      <c r="U575" s="264"/>
      <c r="V575" s="292"/>
      <c r="W575" s="292"/>
      <c r="X575" s="280"/>
      <c r="Y575" s="298"/>
    </row>
    <row r="576" spans="1:25" ht="17.25" customHeight="1">
      <c r="A576" s="261"/>
      <c r="B576" s="1226"/>
      <c r="C576" s="1227"/>
      <c r="D576" s="575"/>
      <c r="E576" s="570"/>
      <c r="F576" s="263"/>
      <c r="G576" s="263"/>
      <c r="H576" s="264"/>
      <c r="I576" s="277"/>
      <c r="J576" s="278"/>
      <c r="K576" s="279"/>
      <c r="L576" s="264"/>
      <c r="M576" s="280"/>
      <c r="N576" s="264"/>
      <c r="O576" s="263"/>
      <c r="P576" s="280"/>
      <c r="Q576" s="263"/>
      <c r="R576" s="290"/>
      <c r="S576" s="262"/>
      <c r="T576" s="291"/>
      <c r="U576" s="264"/>
      <c r="V576" s="292"/>
      <c r="W576" s="292"/>
      <c r="X576" s="280"/>
      <c r="Y576" s="298"/>
    </row>
    <row r="577" spans="1:25" ht="17.25" customHeight="1">
      <c r="A577" s="261"/>
      <c r="B577" s="1226"/>
      <c r="C577" s="1227"/>
      <c r="D577" s="575"/>
      <c r="E577" s="570"/>
      <c r="F577" s="263"/>
      <c r="G577" s="263"/>
      <c r="H577" s="264"/>
      <c r="I577" s="277"/>
      <c r="J577" s="278"/>
      <c r="K577" s="279"/>
      <c r="L577" s="264"/>
      <c r="M577" s="280"/>
      <c r="N577" s="264"/>
      <c r="O577" s="263"/>
      <c r="P577" s="280"/>
      <c r="Q577" s="263"/>
      <c r="R577" s="290"/>
      <c r="S577" s="262"/>
      <c r="T577" s="291"/>
      <c r="U577" s="264"/>
      <c r="V577" s="292"/>
      <c r="W577" s="292"/>
      <c r="X577" s="280"/>
      <c r="Y577" s="298"/>
    </row>
    <row r="578" spans="1:25" ht="17.25" customHeight="1">
      <c r="A578" s="261"/>
      <c r="B578" s="1226"/>
      <c r="C578" s="1227"/>
      <c r="D578" s="575"/>
      <c r="E578" s="570"/>
      <c r="F578" s="263"/>
      <c r="G578" s="263"/>
      <c r="H578" s="264"/>
      <c r="I578" s="277"/>
      <c r="J578" s="278"/>
      <c r="K578" s="279"/>
      <c r="L578" s="264"/>
      <c r="M578" s="280"/>
      <c r="N578" s="264"/>
      <c r="O578" s="263"/>
      <c r="P578" s="280"/>
      <c r="Q578" s="263"/>
      <c r="R578" s="290"/>
      <c r="S578" s="262"/>
      <c r="T578" s="291"/>
      <c r="U578" s="264"/>
      <c r="V578" s="292"/>
      <c r="W578" s="292"/>
      <c r="X578" s="280"/>
      <c r="Y578" s="298"/>
    </row>
    <row r="579" spans="1:25" ht="17.25" customHeight="1">
      <c r="A579" s="261"/>
      <c r="B579" s="1226"/>
      <c r="C579" s="1227"/>
      <c r="D579" s="575"/>
      <c r="E579" s="570"/>
      <c r="F579" s="263"/>
      <c r="G579" s="263"/>
      <c r="H579" s="264"/>
      <c r="I579" s="277"/>
      <c r="J579" s="278"/>
      <c r="K579" s="279"/>
      <c r="L579" s="264"/>
      <c r="M579" s="280"/>
      <c r="N579" s="264"/>
      <c r="O579" s="263"/>
      <c r="P579" s="280"/>
      <c r="Q579" s="263"/>
      <c r="R579" s="290"/>
      <c r="S579" s="262"/>
      <c r="T579" s="291"/>
      <c r="U579" s="264"/>
      <c r="V579" s="292"/>
      <c r="W579" s="292"/>
      <c r="X579" s="280"/>
      <c r="Y579" s="298"/>
    </row>
    <row r="580" spans="1:25" ht="17.25" customHeight="1">
      <c r="A580" s="261"/>
      <c r="B580" s="1226"/>
      <c r="C580" s="1227"/>
      <c r="D580" s="575"/>
      <c r="E580" s="570"/>
      <c r="F580" s="263"/>
      <c r="G580" s="263"/>
      <c r="H580" s="264"/>
      <c r="I580" s="277"/>
      <c r="J580" s="278"/>
      <c r="K580" s="279"/>
      <c r="L580" s="264"/>
      <c r="M580" s="280"/>
      <c r="N580" s="264"/>
      <c r="O580" s="263"/>
      <c r="P580" s="280"/>
      <c r="Q580" s="263"/>
      <c r="R580" s="290"/>
      <c r="S580" s="262"/>
      <c r="T580" s="291"/>
      <c r="U580" s="264"/>
      <c r="V580" s="292"/>
      <c r="W580" s="292"/>
      <c r="X580" s="280"/>
      <c r="Y580" s="298"/>
    </row>
    <row r="581" spans="1:25" ht="17.25" customHeight="1">
      <c r="A581" s="261"/>
      <c r="B581" s="1226"/>
      <c r="C581" s="1227"/>
      <c r="D581" s="575"/>
      <c r="E581" s="570"/>
      <c r="F581" s="263"/>
      <c r="G581" s="263"/>
      <c r="H581" s="264"/>
      <c r="I581" s="277"/>
      <c r="J581" s="278"/>
      <c r="K581" s="279"/>
      <c r="L581" s="264"/>
      <c r="M581" s="280"/>
      <c r="N581" s="264"/>
      <c r="O581" s="263"/>
      <c r="P581" s="280"/>
      <c r="Q581" s="263"/>
      <c r="R581" s="290"/>
      <c r="S581" s="262"/>
      <c r="T581" s="291"/>
      <c r="U581" s="264"/>
      <c r="V581" s="292"/>
      <c r="W581" s="292"/>
      <c r="X581" s="280"/>
      <c r="Y581" s="298"/>
    </row>
    <row r="582" spans="1:25" ht="17.25" customHeight="1">
      <c r="A582" s="261"/>
      <c r="B582" s="1226"/>
      <c r="C582" s="1227"/>
      <c r="D582" s="575"/>
      <c r="E582" s="570"/>
      <c r="F582" s="263"/>
      <c r="G582" s="263"/>
      <c r="H582" s="264"/>
      <c r="I582" s="277"/>
      <c r="J582" s="278"/>
      <c r="K582" s="279"/>
      <c r="L582" s="264"/>
      <c r="M582" s="280"/>
      <c r="N582" s="264"/>
      <c r="O582" s="263"/>
      <c r="P582" s="280"/>
      <c r="Q582" s="263"/>
      <c r="R582" s="290"/>
      <c r="S582" s="262"/>
      <c r="T582" s="291"/>
      <c r="U582" s="264"/>
      <c r="V582" s="292"/>
      <c r="W582" s="292"/>
      <c r="X582" s="280"/>
      <c r="Y582" s="298"/>
    </row>
    <row r="583" spans="1:25" ht="17.25" customHeight="1">
      <c r="A583" s="261"/>
      <c r="B583" s="1226"/>
      <c r="C583" s="1227"/>
      <c r="D583" s="575"/>
      <c r="E583" s="570"/>
      <c r="F583" s="263"/>
      <c r="G583" s="263"/>
      <c r="H583" s="264"/>
      <c r="I583" s="277"/>
      <c r="J583" s="278"/>
      <c r="K583" s="279"/>
      <c r="L583" s="264"/>
      <c r="M583" s="280"/>
      <c r="N583" s="264"/>
      <c r="O583" s="263"/>
      <c r="P583" s="280"/>
      <c r="Q583" s="263"/>
      <c r="R583" s="290"/>
      <c r="S583" s="262"/>
      <c r="T583" s="291"/>
      <c r="U583" s="264"/>
      <c r="V583" s="292"/>
      <c r="W583" s="292"/>
      <c r="X583" s="280"/>
      <c r="Y583" s="298"/>
    </row>
    <row r="584" spans="1:25" ht="17.25" customHeight="1">
      <c r="A584" s="261"/>
      <c r="B584" s="1226"/>
      <c r="C584" s="1227"/>
      <c r="D584" s="575"/>
      <c r="E584" s="570"/>
      <c r="F584" s="263"/>
      <c r="G584" s="263"/>
      <c r="H584" s="264"/>
      <c r="I584" s="277"/>
      <c r="J584" s="278"/>
      <c r="K584" s="279"/>
      <c r="L584" s="264"/>
      <c r="M584" s="280"/>
      <c r="N584" s="264"/>
      <c r="O584" s="263"/>
      <c r="P584" s="280"/>
      <c r="Q584" s="263"/>
      <c r="R584" s="290"/>
      <c r="S584" s="262"/>
      <c r="T584" s="291"/>
      <c r="U584" s="264"/>
      <c r="V584" s="292"/>
      <c r="W584" s="292"/>
      <c r="X584" s="280"/>
      <c r="Y584" s="298"/>
    </row>
    <row r="585" spans="1:25" ht="17.25" customHeight="1">
      <c r="A585" s="261"/>
      <c r="B585" s="1226"/>
      <c r="C585" s="1227"/>
      <c r="D585" s="575"/>
      <c r="E585" s="570"/>
      <c r="F585" s="263"/>
      <c r="G585" s="263"/>
      <c r="H585" s="264"/>
      <c r="I585" s="277"/>
      <c r="J585" s="278"/>
      <c r="K585" s="279"/>
      <c r="L585" s="264"/>
      <c r="M585" s="280"/>
      <c r="N585" s="264"/>
      <c r="O585" s="263"/>
      <c r="P585" s="280"/>
      <c r="Q585" s="263"/>
      <c r="R585" s="290"/>
      <c r="S585" s="262"/>
      <c r="T585" s="291"/>
      <c r="U585" s="264"/>
      <c r="V585" s="292"/>
      <c r="W585" s="292"/>
      <c r="X585" s="280"/>
      <c r="Y585" s="298"/>
    </row>
    <row r="586" spans="1:25" ht="17.25" customHeight="1">
      <c r="A586" s="261"/>
      <c r="B586" s="1226"/>
      <c r="C586" s="1227"/>
      <c r="D586" s="575"/>
      <c r="E586" s="570"/>
      <c r="F586" s="263"/>
      <c r="G586" s="263"/>
      <c r="H586" s="264"/>
      <c r="I586" s="277"/>
      <c r="J586" s="278"/>
      <c r="K586" s="279"/>
      <c r="L586" s="264"/>
      <c r="M586" s="280"/>
      <c r="N586" s="264"/>
      <c r="O586" s="263"/>
      <c r="P586" s="280"/>
      <c r="Q586" s="263"/>
      <c r="R586" s="290"/>
      <c r="S586" s="262"/>
      <c r="T586" s="291"/>
      <c r="U586" s="264"/>
      <c r="V586" s="292"/>
      <c r="W586" s="292"/>
      <c r="X586" s="280"/>
      <c r="Y586" s="298"/>
    </row>
    <row r="587" spans="1:25" ht="17.25" customHeight="1">
      <c r="A587" s="261"/>
      <c r="B587" s="1226"/>
      <c r="C587" s="1227"/>
      <c r="D587" s="575"/>
      <c r="E587" s="570"/>
      <c r="F587" s="263"/>
      <c r="G587" s="263"/>
      <c r="H587" s="264"/>
      <c r="I587" s="277"/>
      <c r="J587" s="278"/>
      <c r="K587" s="279"/>
      <c r="L587" s="264"/>
      <c r="M587" s="280"/>
      <c r="N587" s="264"/>
      <c r="O587" s="263"/>
      <c r="P587" s="280"/>
      <c r="Q587" s="263"/>
      <c r="R587" s="290"/>
      <c r="S587" s="262"/>
      <c r="T587" s="291"/>
      <c r="U587" s="264"/>
      <c r="V587" s="292"/>
      <c r="W587" s="292"/>
      <c r="X587" s="280"/>
      <c r="Y587" s="298"/>
    </row>
    <row r="588" spans="1:25" ht="17.25" customHeight="1">
      <c r="A588" s="261"/>
      <c r="B588" s="1226"/>
      <c r="C588" s="1227"/>
      <c r="D588" s="575"/>
      <c r="E588" s="570"/>
      <c r="F588" s="263"/>
      <c r="G588" s="263"/>
      <c r="H588" s="264"/>
      <c r="I588" s="277"/>
      <c r="J588" s="278"/>
      <c r="K588" s="279"/>
      <c r="L588" s="264"/>
      <c r="M588" s="280"/>
      <c r="N588" s="264"/>
      <c r="O588" s="263"/>
      <c r="P588" s="280"/>
      <c r="Q588" s="263"/>
      <c r="R588" s="290"/>
      <c r="S588" s="262"/>
      <c r="T588" s="291"/>
      <c r="U588" s="264"/>
      <c r="V588" s="292"/>
      <c r="W588" s="292"/>
      <c r="X588" s="280"/>
      <c r="Y588" s="298"/>
    </row>
    <row r="589" spans="1:25" ht="17.25" customHeight="1">
      <c r="A589" s="261"/>
      <c r="B589" s="1226"/>
      <c r="C589" s="1227"/>
      <c r="D589" s="575"/>
      <c r="E589" s="570"/>
      <c r="F589" s="263"/>
      <c r="G589" s="263"/>
      <c r="H589" s="264"/>
      <c r="I589" s="277"/>
      <c r="J589" s="278"/>
      <c r="K589" s="279"/>
      <c r="L589" s="264"/>
      <c r="M589" s="280"/>
      <c r="N589" s="264"/>
      <c r="O589" s="263"/>
      <c r="P589" s="280"/>
      <c r="Q589" s="263"/>
      <c r="R589" s="290"/>
      <c r="S589" s="262"/>
      <c r="T589" s="291"/>
      <c r="U589" s="264"/>
      <c r="V589" s="292"/>
      <c r="W589" s="292"/>
      <c r="X589" s="280"/>
      <c r="Y589" s="298"/>
    </row>
    <row r="590" spans="1:25" ht="17.25" customHeight="1">
      <c r="A590" s="261"/>
      <c r="B590" s="1226"/>
      <c r="C590" s="1227"/>
      <c r="D590" s="575"/>
      <c r="E590" s="570"/>
      <c r="F590" s="263"/>
      <c r="G590" s="263"/>
      <c r="H590" s="264"/>
      <c r="I590" s="277"/>
      <c r="J590" s="278"/>
      <c r="K590" s="279"/>
      <c r="L590" s="264"/>
      <c r="M590" s="280"/>
      <c r="N590" s="264"/>
      <c r="O590" s="263"/>
      <c r="P590" s="280"/>
      <c r="Q590" s="263"/>
      <c r="R590" s="290"/>
      <c r="S590" s="262"/>
      <c r="T590" s="291"/>
      <c r="U590" s="264"/>
      <c r="V590" s="292"/>
      <c r="W590" s="292"/>
      <c r="X590" s="280"/>
      <c r="Y590" s="298"/>
    </row>
    <row r="591" spans="1:25" ht="17.25" customHeight="1">
      <c r="A591" s="261"/>
      <c r="B591" s="1226"/>
      <c r="C591" s="1227"/>
      <c r="D591" s="575"/>
      <c r="E591" s="570"/>
      <c r="F591" s="263"/>
      <c r="G591" s="263"/>
      <c r="H591" s="264"/>
      <c r="I591" s="277"/>
      <c r="J591" s="278"/>
      <c r="K591" s="279"/>
      <c r="L591" s="264"/>
      <c r="M591" s="280"/>
      <c r="N591" s="264"/>
      <c r="O591" s="263"/>
      <c r="P591" s="280"/>
      <c r="Q591" s="263"/>
      <c r="R591" s="290"/>
      <c r="S591" s="262"/>
      <c r="T591" s="291"/>
      <c r="U591" s="264"/>
      <c r="V591" s="292"/>
      <c r="W591" s="292"/>
      <c r="X591" s="280"/>
      <c r="Y591" s="298"/>
    </row>
    <row r="592" spans="1:25" ht="17.25" customHeight="1">
      <c r="A592" s="261"/>
      <c r="B592" s="1226"/>
      <c r="C592" s="1227"/>
      <c r="D592" s="575"/>
      <c r="E592" s="570"/>
      <c r="F592" s="263"/>
      <c r="G592" s="263"/>
      <c r="H592" s="264"/>
      <c r="I592" s="277"/>
      <c r="J592" s="278"/>
      <c r="K592" s="279"/>
      <c r="L592" s="264"/>
      <c r="M592" s="280"/>
      <c r="N592" s="264"/>
      <c r="O592" s="263"/>
      <c r="P592" s="280"/>
      <c r="Q592" s="263"/>
      <c r="R592" s="290"/>
      <c r="S592" s="262"/>
      <c r="T592" s="291"/>
      <c r="U592" s="264"/>
      <c r="V592" s="292"/>
      <c r="W592" s="292"/>
      <c r="X592" s="280"/>
      <c r="Y592" s="298"/>
    </row>
    <row r="593" spans="1:25" ht="17.25" customHeight="1">
      <c r="A593" s="261"/>
      <c r="B593" s="1226"/>
      <c r="C593" s="1227"/>
      <c r="D593" s="575"/>
      <c r="E593" s="570"/>
      <c r="F593" s="263"/>
      <c r="G593" s="263"/>
      <c r="H593" s="264"/>
      <c r="I593" s="277"/>
      <c r="J593" s="278"/>
      <c r="K593" s="279"/>
      <c r="L593" s="264"/>
      <c r="M593" s="280"/>
      <c r="N593" s="264"/>
      <c r="O593" s="263"/>
      <c r="P593" s="280"/>
      <c r="Q593" s="263"/>
      <c r="R593" s="290"/>
      <c r="S593" s="262"/>
      <c r="T593" s="291"/>
      <c r="U593" s="264"/>
      <c r="V593" s="292"/>
      <c r="W593" s="292"/>
      <c r="X593" s="280"/>
      <c r="Y593" s="298"/>
    </row>
    <row r="594" spans="1:25" ht="17.25" customHeight="1">
      <c r="A594" s="261"/>
      <c r="B594" s="1226"/>
      <c r="C594" s="1227"/>
      <c r="D594" s="575"/>
      <c r="E594" s="570"/>
      <c r="F594" s="263"/>
      <c r="G594" s="263"/>
      <c r="H594" s="264"/>
      <c r="I594" s="277"/>
      <c r="J594" s="278"/>
      <c r="K594" s="279"/>
      <c r="L594" s="264"/>
      <c r="M594" s="280"/>
      <c r="N594" s="264"/>
      <c r="O594" s="263"/>
      <c r="P594" s="280"/>
      <c r="Q594" s="263"/>
      <c r="R594" s="290"/>
      <c r="S594" s="262"/>
      <c r="T594" s="291"/>
      <c r="U594" s="264"/>
      <c r="V594" s="292"/>
      <c r="W594" s="292"/>
      <c r="X594" s="280"/>
      <c r="Y594" s="298"/>
    </row>
    <row r="595" spans="1:25" ht="17.25" customHeight="1">
      <c r="A595" s="261"/>
      <c r="B595" s="1226"/>
      <c r="C595" s="1227"/>
      <c r="D595" s="575"/>
      <c r="E595" s="570"/>
      <c r="F595" s="263"/>
      <c r="G595" s="263"/>
      <c r="H595" s="264"/>
      <c r="I595" s="277"/>
      <c r="J595" s="278"/>
      <c r="K595" s="279"/>
      <c r="L595" s="264"/>
      <c r="M595" s="280"/>
      <c r="N595" s="264"/>
      <c r="O595" s="263"/>
      <c r="P595" s="280"/>
      <c r="Q595" s="263"/>
      <c r="R595" s="290"/>
      <c r="S595" s="262"/>
      <c r="T595" s="291"/>
      <c r="U595" s="264"/>
      <c r="V595" s="292"/>
      <c r="W595" s="292"/>
      <c r="X595" s="280"/>
      <c r="Y595" s="298"/>
    </row>
    <row r="596" spans="1:25" ht="17.25" customHeight="1">
      <c r="A596" s="261"/>
      <c r="B596" s="1226"/>
      <c r="C596" s="1227"/>
      <c r="D596" s="575"/>
      <c r="E596" s="570"/>
      <c r="F596" s="263"/>
      <c r="G596" s="263"/>
      <c r="H596" s="264"/>
      <c r="I596" s="277"/>
      <c r="J596" s="278"/>
      <c r="K596" s="279"/>
      <c r="L596" s="264"/>
      <c r="M596" s="280"/>
      <c r="N596" s="264"/>
      <c r="O596" s="263"/>
      <c r="P596" s="280"/>
      <c r="Q596" s="263"/>
      <c r="R596" s="290"/>
      <c r="S596" s="262"/>
      <c r="T596" s="291"/>
      <c r="U596" s="264"/>
      <c r="V596" s="292"/>
      <c r="W596" s="292"/>
      <c r="X596" s="280"/>
      <c r="Y596" s="298"/>
    </row>
    <row r="597" spans="1:25" ht="17.25" customHeight="1">
      <c r="A597" s="261"/>
      <c r="B597" s="1226"/>
      <c r="C597" s="1227"/>
      <c r="D597" s="575"/>
      <c r="E597" s="570"/>
      <c r="F597" s="263"/>
      <c r="G597" s="263"/>
      <c r="H597" s="264"/>
      <c r="I597" s="277"/>
      <c r="J597" s="278"/>
      <c r="K597" s="279"/>
      <c r="L597" s="264"/>
      <c r="M597" s="280"/>
      <c r="N597" s="264"/>
      <c r="O597" s="263"/>
      <c r="P597" s="280"/>
      <c r="Q597" s="263"/>
      <c r="R597" s="290"/>
      <c r="S597" s="262"/>
      <c r="T597" s="291"/>
      <c r="U597" s="264"/>
      <c r="V597" s="292"/>
      <c r="W597" s="292"/>
      <c r="X597" s="280"/>
      <c r="Y597" s="298"/>
    </row>
    <row r="598" spans="1:25" ht="17.25" customHeight="1">
      <c r="A598" s="261"/>
      <c r="B598" s="1226"/>
      <c r="C598" s="1227"/>
      <c r="D598" s="575"/>
      <c r="E598" s="570"/>
      <c r="F598" s="263"/>
      <c r="G598" s="263"/>
      <c r="H598" s="264"/>
      <c r="I598" s="277"/>
      <c r="J598" s="278"/>
      <c r="K598" s="279"/>
      <c r="L598" s="264"/>
      <c r="M598" s="280"/>
      <c r="N598" s="264"/>
      <c r="O598" s="263"/>
      <c r="P598" s="280"/>
      <c r="Q598" s="263"/>
      <c r="R598" s="290"/>
      <c r="S598" s="262"/>
      <c r="T598" s="291"/>
      <c r="U598" s="264"/>
      <c r="V598" s="292"/>
      <c r="W598" s="292"/>
      <c r="X598" s="280"/>
      <c r="Y598" s="298"/>
    </row>
    <row r="599" spans="1:25" ht="17.25" customHeight="1">
      <c r="A599" s="261"/>
      <c r="B599" s="1226"/>
      <c r="C599" s="1227"/>
      <c r="D599" s="575"/>
      <c r="E599" s="570"/>
      <c r="F599" s="263"/>
      <c r="G599" s="263"/>
      <c r="H599" s="264"/>
      <c r="I599" s="277"/>
      <c r="J599" s="278"/>
      <c r="K599" s="279"/>
      <c r="L599" s="264"/>
      <c r="M599" s="280"/>
      <c r="N599" s="264"/>
      <c r="O599" s="263"/>
      <c r="P599" s="280"/>
      <c r="Q599" s="263"/>
      <c r="R599" s="290"/>
      <c r="S599" s="262"/>
      <c r="T599" s="291"/>
      <c r="U599" s="264"/>
      <c r="V599" s="292"/>
      <c r="W599" s="292"/>
      <c r="X599" s="280"/>
      <c r="Y599" s="298"/>
    </row>
    <row r="600" spans="1:25" ht="17.25" customHeight="1">
      <c r="A600" s="261"/>
      <c r="B600" s="1226"/>
      <c r="C600" s="1227"/>
      <c r="D600" s="575"/>
      <c r="E600" s="570"/>
      <c r="F600" s="263"/>
      <c r="G600" s="263"/>
      <c r="H600" s="264"/>
      <c r="I600" s="277"/>
      <c r="J600" s="278"/>
      <c r="K600" s="279"/>
      <c r="L600" s="264"/>
      <c r="M600" s="280"/>
      <c r="N600" s="264"/>
      <c r="O600" s="263"/>
      <c r="P600" s="280"/>
      <c r="Q600" s="263"/>
      <c r="R600" s="290"/>
      <c r="S600" s="262"/>
      <c r="T600" s="291"/>
      <c r="U600" s="264"/>
      <c r="V600" s="292"/>
      <c r="W600" s="292"/>
      <c r="X600" s="280"/>
      <c r="Y600" s="298"/>
    </row>
    <row r="601" spans="1:25" ht="17.25" customHeight="1">
      <c r="A601" s="261"/>
      <c r="B601" s="1226"/>
      <c r="C601" s="1227"/>
      <c r="D601" s="575"/>
      <c r="E601" s="570"/>
      <c r="F601" s="263"/>
      <c r="G601" s="263"/>
      <c r="H601" s="264"/>
      <c r="I601" s="277"/>
      <c r="J601" s="278"/>
      <c r="K601" s="279"/>
      <c r="L601" s="264"/>
      <c r="M601" s="280"/>
      <c r="N601" s="264"/>
      <c r="O601" s="263"/>
      <c r="P601" s="280"/>
      <c r="Q601" s="263"/>
      <c r="R601" s="290"/>
      <c r="S601" s="262"/>
      <c r="T601" s="291"/>
      <c r="U601" s="264"/>
      <c r="V601" s="292"/>
      <c r="W601" s="292"/>
      <c r="X601" s="280"/>
      <c r="Y601" s="298"/>
    </row>
    <row r="602" spans="1:25" ht="17.25" customHeight="1">
      <c r="A602" s="261"/>
      <c r="B602" s="1226"/>
      <c r="C602" s="1227"/>
      <c r="D602" s="575"/>
      <c r="E602" s="570"/>
      <c r="F602" s="263"/>
      <c r="G602" s="263"/>
      <c r="H602" s="264"/>
      <c r="I602" s="277"/>
      <c r="J602" s="278"/>
      <c r="K602" s="279"/>
      <c r="L602" s="264"/>
      <c r="M602" s="280"/>
      <c r="N602" s="264"/>
      <c r="O602" s="263"/>
      <c r="P602" s="280"/>
      <c r="Q602" s="263"/>
      <c r="R602" s="290"/>
      <c r="S602" s="262"/>
      <c r="T602" s="291"/>
      <c r="U602" s="264"/>
      <c r="V602" s="292"/>
      <c r="W602" s="292"/>
      <c r="X602" s="280"/>
      <c r="Y602" s="298"/>
    </row>
    <row r="603" spans="1:25" ht="17.25" customHeight="1">
      <c r="A603" s="261"/>
      <c r="B603" s="1226"/>
      <c r="C603" s="1227"/>
      <c r="D603" s="575"/>
      <c r="E603" s="570"/>
      <c r="F603" s="263"/>
      <c r="G603" s="263"/>
      <c r="H603" s="264"/>
      <c r="I603" s="277"/>
      <c r="J603" s="278"/>
      <c r="K603" s="279"/>
      <c r="L603" s="264"/>
      <c r="M603" s="280"/>
      <c r="N603" s="264"/>
      <c r="O603" s="263"/>
      <c r="P603" s="280"/>
      <c r="Q603" s="263"/>
      <c r="R603" s="290"/>
      <c r="S603" s="262"/>
      <c r="T603" s="291"/>
      <c r="U603" s="264"/>
      <c r="V603" s="292"/>
      <c r="W603" s="292"/>
      <c r="X603" s="280"/>
      <c r="Y603" s="298"/>
    </row>
    <row r="604" spans="1:25" ht="17.25" customHeight="1">
      <c r="A604" s="261"/>
      <c r="B604" s="1226"/>
      <c r="C604" s="1227"/>
      <c r="D604" s="575"/>
      <c r="E604" s="570"/>
      <c r="F604" s="263"/>
      <c r="G604" s="263"/>
      <c r="H604" s="264"/>
      <c r="I604" s="277"/>
      <c r="J604" s="278"/>
      <c r="K604" s="279"/>
      <c r="L604" s="264"/>
      <c r="M604" s="280"/>
      <c r="N604" s="264"/>
      <c r="O604" s="263"/>
      <c r="P604" s="280"/>
      <c r="Q604" s="263"/>
      <c r="R604" s="290"/>
      <c r="S604" s="262"/>
      <c r="T604" s="291"/>
      <c r="U604" s="264"/>
      <c r="V604" s="292"/>
      <c r="W604" s="292"/>
      <c r="X604" s="280"/>
      <c r="Y604" s="298"/>
    </row>
    <row r="605" spans="1:25" ht="17.25" customHeight="1">
      <c r="A605" s="261"/>
      <c r="B605" s="1226"/>
      <c r="C605" s="1227"/>
      <c r="D605" s="575"/>
      <c r="E605" s="570"/>
      <c r="F605" s="263"/>
      <c r="G605" s="263"/>
      <c r="H605" s="264"/>
      <c r="I605" s="277"/>
      <c r="J605" s="278"/>
      <c r="K605" s="279"/>
      <c r="L605" s="264"/>
      <c r="M605" s="280"/>
      <c r="N605" s="264"/>
      <c r="O605" s="263"/>
      <c r="P605" s="280"/>
      <c r="Q605" s="263"/>
      <c r="R605" s="290"/>
      <c r="S605" s="262"/>
      <c r="T605" s="291"/>
      <c r="U605" s="264"/>
      <c r="V605" s="292"/>
      <c r="W605" s="292"/>
      <c r="X605" s="280"/>
      <c r="Y605" s="298"/>
    </row>
    <row r="606" spans="1:25" ht="17.25" customHeight="1">
      <c r="A606" s="261"/>
      <c r="B606" s="1226"/>
      <c r="C606" s="1227"/>
      <c r="D606" s="575"/>
      <c r="E606" s="570"/>
      <c r="F606" s="263"/>
      <c r="G606" s="263"/>
      <c r="H606" s="264"/>
      <c r="I606" s="277"/>
      <c r="J606" s="278"/>
      <c r="K606" s="279"/>
      <c r="L606" s="264"/>
      <c r="M606" s="280"/>
      <c r="N606" s="264"/>
      <c r="O606" s="263"/>
      <c r="P606" s="280"/>
      <c r="Q606" s="263"/>
      <c r="R606" s="290"/>
      <c r="S606" s="262"/>
      <c r="T606" s="291"/>
      <c r="U606" s="264"/>
      <c r="V606" s="292"/>
      <c r="W606" s="292"/>
      <c r="X606" s="280"/>
      <c r="Y606" s="298"/>
    </row>
    <row r="607" spans="1:25" ht="17.25" customHeight="1">
      <c r="A607" s="261"/>
      <c r="B607" s="1226"/>
      <c r="C607" s="1227"/>
      <c r="D607" s="575"/>
      <c r="E607" s="570"/>
      <c r="F607" s="263"/>
      <c r="G607" s="263"/>
      <c r="H607" s="264"/>
      <c r="I607" s="277"/>
      <c r="J607" s="278"/>
      <c r="K607" s="279"/>
      <c r="L607" s="264"/>
      <c r="M607" s="280"/>
      <c r="N607" s="264"/>
      <c r="O607" s="263"/>
      <c r="P607" s="280"/>
      <c r="Q607" s="263"/>
      <c r="R607" s="290"/>
      <c r="S607" s="262"/>
      <c r="T607" s="291"/>
      <c r="U607" s="264"/>
      <c r="V607" s="292"/>
      <c r="W607" s="292"/>
      <c r="X607" s="280"/>
      <c r="Y607" s="298"/>
    </row>
    <row r="608" spans="1:25" ht="17.25" customHeight="1">
      <c r="A608" s="261"/>
      <c r="B608" s="1226"/>
      <c r="C608" s="1227"/>
      <c r="D608" s="575"/>
      <c r="E608" s="570"/>
      <c r="F608" s="263"/>
      <c r="G608" s="263"/>
      <c r="H608" s="264"/>
      <c r="I608" s="277"/>
      <c r="J608" s="278"/>
      <c r="K608" s="279"/>
      <c r="L608" s="264"/>
      <c r="M608" s="280"/>
      <c r="N608" s="264"/>
      <c r="O608" s="263"/>
      <c r="P608" s="280"/>
      <c r="Q608" s="263"/>
      <c r="R608" s="290"/>
      <c r="S608" s="262"/>
      <c r="T608" s="291"/>
      <c r="U608" s="264"/>
      <c r="V608" s="292"/>
      <c r="W608" s="292"/>
      <c r="X608" s="280"/>
      <c r="Y608" s="298"/>
    </row>
    <row r="609" spans="1:25" ht="17.25" customHeight="1">
      <c r="A609" s="261"/>
      <c r="B609" s="1226"/>
      <c r="C609" s="1227"/>
      <c r="D609" s="575"/>
      <c r="E609" s="570"/>
      <c r="F609" s="263"/>
      <c r="G609" s="263"/>
      <c r="H609" s="264"/>
      <c r="I609" s="277"/>
      <c r="J609" s="278"/>
      <c r="K609" s="279"/>
      <c r="L609" s="264"/>
      <c r="M609" s="280"/>
      <c r="N609" s="264"/>
      <c r="O609" s="263"/>
      <c r="P609" s="280"/>
      <c r="Q609" s="263"/>
      <c r="R609" s="290"/>
      <c r="S609" s="262"/>
      <c r="T609" s="291"/>
      <c r="U609" s="264"/>
      <c r="V609" s="292"/>
      <c r="W609" s="292"/>
      <c r="X609" s="280"/>
      <c r="Y609" s="298"/>
    </row>
    <row r="610" spans="1:25" ht="17.25" customHeight="1">
      <c r="A610" s="261"/>
      <c r="B610" s="1226"/>
      <c r="C610" s="1227"/>
      <c r="D610" s="575"/>
      <c r="E610" s="570"/>
      <c r="F610" s="263"/>
      <c r="G610" s="263"/>
      <c r="H610" s="264"/>
      <c r="I610" s="277"/>
      <c r="J610" s="278"/>
      <c r="K610" s="279"/>
      <c r="L610" s="264"/>
      <c r="M610" s="280"/>
      <c r="N610" s="264"/>
      <c r="O610" s="263"/>
      <c r="P610" s="280"/>
      <c r="Q610" s="263"/>
      <c r="R610" s="290"/>
      <c r="S610" s="262"/>
      <c r="T610" s="291"/>
      <c r="U610" s="264"/>
      <c r="V610" s="292"/>
      <c r="W610" s="292"/>
      <c r="X610" s="280"/>
      <c r="Y610" s="298"/>
    </row>
    <row r="611" spans="1:25" ht="17.25" customHeight="1">
      <c r="A611" s="261"/>
      <c r="B611" s="1226"/>
      <c r="C611" s="1227"/>
      <c r="D611" s="575"/>
      <c r="E611" s="570"/>
      <c r="F611" s="263"/>
      <c r="G611" s="263"/>
      <c r="H611" s="264"/>
      <c r="I611" s="277"/>
      <c r="J611" s="278"/>
      <c r="K611" s="279"/>
      <c r="L611" s="264"/>
      <c r="M611" s="280"/>
      <c r="N611" s="264"/>
      <c r="O611" s="263"/>
      <c r="P611" s="280"/>
      <c r="Q611" s="263"/>
      <c r="R611" s="290"/>
      <c r="S611" s="262"/>
      <c r="T611" s="291"/>
      <c r="U611" s="264"/>
      <c r="V611" s="292"/>
      <c r="W611" s="292"/>
      <c r="X611" s="280"/>
      <c r="Y611" s="298"/>
    </row>
    <row r="612" spans="1:25" ht="17.25" customHeight="1">
      <c r="A612" s="261"/>
      <c r="B612" s="1226"/>
      <c r="C612" s="1227"/>
      <c r="D612" s="575"/>
      <c r="E612" s="570"/>
      <c r="F612" s="263"/>
      <c r="G612" s="263"/>
      <c r="H612" s="264"/>
      <c r="I612" s="277"/>
      <c r="J612" s="278"/>
      <c r="K612" s="279"/>
      <c r="L612" s="264"/>
      <c r="M612" s="280"/>
      <c r="N612" s="264"/>
      <c r="O612" s="263"/>
      <c r="P612" s="280"/>
      <c r="Q612" s="263"/>
      <c r="R612" s="290"/>
      <c r="S612" s="262"/>
      <c r="T612" s="291"/>
      <c r="U612" s="264"/>
      <c r="V612" s="292"/>
      <c r="W612" s="292"/>
      <c r="X612" s="280"/>
      <c r="Y612" s="298"/>
    </row>
    <row r="613" spans="1:25" ht="17.25" customHeight="1">
      <c r="A613" s="261"/>
      <c r="B613" s="1226"/>
      <c r="C613" s="1227"/>
      <c r="D613" s="575"/>
      <c r="E613" s="570"/>
      <c r="F613" s="263"/>
      <c r="G613" s="263"/>
      <c r="H613" s="264"/>
      <c r="I613" s="277"/>
      <c r="J613" s="278"/>
      <c r="K613" s="279"/>
      <c r="L613" s="264"/>
      <c r="M613" s="280"/>
      <c r="N613" s="264"/>
      <c r="O613" s="263"/>
      <c r="P613" s="280"/>
      <c r="Q613" s="263"/>
      <c r="R613" s="290"/>
      <c r="S613" s="262"/>
      <c r="T613" s="291"/>
      <c r="U613" s="264"/>
      <c r="V613" s="292"/>
      <c r="W613" s="292"/>
      <c r="X613" s="280"/>
      <c r="Y613" s="298"/>
    </row>
    <row r="614" spans="1:25" ht="17.25" customHeight="1">
      <c r="A614" s="261"/>
      <c r="B614" s="1226"/>
      <c r="C614" s="1227"/>
      <c r="D614" s="575"/>
      <c r="E614" s="570"/>
      <c r="F614" s="263"/>
      <c r="G614" s="263"/>
      <c r="H614" s="264"/>
      <c r="I614" s="277"/>
      <c r="J614" s="278"/>
      <c r="K614" s="279"/>
      <c r="L614" s="264"/>
      <c r="M614" s="280"/>
      <c r="N614" s="264"/>
      <c r="O614" s="263"/>
      <c r="P614" s="280"/>
      <c r="Q614" s="263"/>
      <c r="R614" s="290"/>
      <c r="S614" s="262"/>
      <c r="T614" s="291"/>
      <c r="U614" s="264"/>
      <c r="V614" s="292"/>
      <c r="W614" s="292"/>
      <c r="X614" s="280"/>
      <c r="Y614" s="298"/>
    </row>
    <row r="615" spans="1:25" ht="17.25" customHeight="1">
      <c r="A615" s="261"/>
      <c r="B615" s="1226"/>
      <c r="C615" s="1227"/>
      <c r="D615" s="575"/>
      <c r="E615" s="570"/>
      <c r="F615" s="263"/>
      <c r="G615" s="263"/>
      <c r="H615" s="264"/>
      <c r="I615" s="277"/>
      <c r="J615" s="278"/>
      <c r="K615" s="279"/>
      <c r="L615" s="264"/>
      <c r="M615" s="280"/>
      <c r="N615" s="264"/>
      <c r="O615" s="263"/>
      <c r="P615" s="280"/>
      <c r="Q615" s="263"/>
      <c r="R615" s="290"/>
      <c r="S615" s="262"/>
      <c r="T615" s="291"/>
      <c r="U615" s="264"/>
      <c r="V615" s="292"/>
      <c r="W615" s="292"/>
      <c r="X615" s="280"/>
      <c r="Y615" s="298"/>
    </row>
    <row r="616" spans="1:25" ht="17.25" customHeight="1">
      <c r="A616" s="1223"/>
      <c r="B616" s="1223"/>
      <c r="C616" s="1223"/>
      <c r="D616" s="1223"/>
      <c r="E616" s="1223"/>
      <c r="F616" s="1223"/>
      <c r="G616" s="1223"/>
      <c r="H616" s="1223"/>
      <c r="I616" s="1224"/>
      <c r="J616" s="1223"/>
      <c r="K616" s="1223"/>
      <c r="L616" s="1223"/>
      <c r="M616" s="1223"/>
      <c r="N616" s="1223"/>
      <c r="O616" s="1223"/>
      <c r="P616" s="1223"/>
      <c r="Q616" s="1223"/>
      <c r="R616" s="1223"/>
      <c r="S616" s="1223"/>
      <c r="T616" s="1224"/>
      <c r="U616" s="1223"/>
      <c r="V616" s="1223"/>
      <c r="W616" s="1223"/>
      <c r="X616" s="1223"/>
      <c r="Y616" s="1225"/>
    </row>
    <row r="617" spans="1:25" ht="17.25" customHeight="1">
      <c r="A617" s="261"/>
      <c r="B617" s="1226"/>
      <c r="C617" s="1227"/>
      <c r="D617" s="575"/>
      <c r="E617" s="570"/>
      <c r="F617" s="263"/>
      <c r="G617" s="263"/>
      <c r="H617" s="264"/>
      <c r="I617" s="277"/>
      <c r="J617" s="278"/>
      <c r="K617" s="279"/>
      <c r="L617" s="264"/>
      <c r="M617" s="280"/>
      <c r="N617" s="264"/>
      <c r="O617" s="263"/>
      <c r="P617" s="280"/>
      <c r="Q617" s="263"/>
      <c r="R617" s="290"/>
      <c r="S617" s="262"/>
      <c r="T617" s="291"/>
      <c r="U617" s="264"/>
      <c r="V617" s="292"/>
      <c r="W617" s="292"/>
      <c r="X617" s="280"/>
      <c r="Y617" s="298"/>
    </row>
    <row r="618" spans="1:25" ht="17.25" customHeight="1">
      <c r="A618" s="261"/>
      <c r="B618" s="1226"/>
      <c r="C618" s="1227"/>
      <c r="D618" s="575"/>
      <c r="E618" s="570"/>
      <c r="F618" s="263"/>
      <c r="G618" s="263"/>
      <c r="H618" s="264"/>
      <c r="I618" s="277"/>
      <c r="J618" s="278"/>
      <c r="K618" s="279"/>
      <c r="L618" s="264"/>
      <c r="M618" s="280"/>
      <c r="N618" s="264"/>
      <c r="O618" s="263"/>
      <c r="P618" s="280"/>
      <c r="Q618" s="263"/>
      <c r="R618" s="290"/>
      <c r="S618" s="262"/>
      <c r="T618" s="291"/>
      <c r="U618" s="264"/>
      <c r="V618" s="292"/>
      <c r="W618" s="292"/>
      <c r="X618" s="280"/>
      <c r="Y618" s="298"/>
    </row>
    <row r="619" spans="1:25" ht="17.25" customHeight="1">
      <c r="A619" s="261"/>
      <c r="B619" s="1226"/>
      <c r="C619" s="1227"/>
      <c r="D619" s="575"/>
      <c r="E619" s="570"/>
      <c r="F619" s="263"/>
      <c r="G619" s="263"/>
      <c r="H619" s="264"/>
      <c r="I619" s="277"/>
      <c r="J619" s="278"/>
      <c r="K619" s="279"/>
      <c r="L619" s="264"/>
      <c r="M619" s="280"/>
      <c r="N619" s="264"/>
      <c r="O619" s="263"/>
      <c r="P619" s="280"/>
      <c r="Q619" s="263"/>
      <c r="R619" s="290"/>
      <c r="S619" s="262"/>
      <c r="T619" s="291"/>
      <c r="U619" s="264"/>
      <c r="V619" s="292"/>
      <c r="W619" s="292"/>
      <c r="X619" s="280"/>
      <c r="Y619" s="298"/>
    </row>
    <row r="620" spans="1:25" ht="17.25" customHeight="1">
      <c r="A620" s="261"/>
      <c r="B620" s="1226"/>
      <c r="C620" s="1227"/>
      <c r="D620" s="575"/>
      <c r="E620" s="570"/>
      <c r="F620" s="263"/>
      <c r="G620" s="263"/>
      <c r="H620" s="264"/>
      <c r="I620" s="277"/>
      <c r="J620" s="278"/>
      <c r="K620" s="279"/>
      <c r="L620" s="264"/>
      <c r="M620" s="280"/>
      <c r="N620" s="264"/>
      <c r="O620" s="263"/>
      <c r="P620" s="280"/>
      <c r="Q620" s="263"/>
      <c r="R620" s="290"/>
      <c r="S620" s="262"/>
      <c r="T620" s="291"/>
      <c r="U620" s="264"/>
      <c r="V620" s="292"/>
      <c r="W620" s="292"/>
      <c r="X620" s="280"/>
      <c r="Y620" s="298"/>
    </row>
    <row r="621" spans="1:25" ht="17.25" customHeight="1">
      <c r="A621" s="261"/>
      <c r="B621" s="1226"/>
      <c r="C621" s="1227"/>
      <c r="D621" s="575"/>
      <c r="E621" s="570"/>
      <c r="F621" s="263"/>
      <c r="G621" s="263"/>
      <c r="H621" s="264"/>
      <c r="I621" s="277"/>
      <c r="J621" s="278"/>
      <c r="K621" s="279"/>
      <c r="L621" s="264"/>
      <c r="M621" s="280"/>
      <c r="N621" s="264"/>
      <c r="O621" s="263"/>
      <c r="P621" s="280"/>
      <c r="Q621" s="263"/>
      <c r="R621" s="290"/>
      <c r="S621" s="262"/>
      <c r="T621" s="291"/>
      <c r="U621" s="264"/>
      <c r="V621" s="292"/>
      <c r="W621" s="292"/>
      <c r="X621" s="280"/>
      <c r="Y621" s="298"/>
    </row>
    <row r="622" spans="1:25" ht="17.25" customHeight="1">
      <c r="A622" s="261"/>
      <c r="B622" s="1226"/>
      <c r="C622" s="1227"/>
      <c r="D622" s="575"/>
      <c r="E622" s="570"/>
      <c r="F622" s="263"/>
      <c r="G622" s="263"/>
      <c r="H622" s="264"/>
      <c r="I622" s="277"/>
      <c r="J622" s="278"/>
      <c r="K622" s="279"/>
      <c r="L622" s="264"/>
      <c r="M622" s="280"/>
      <c r="N622" s="264"/>
      <c r="O622" s="263"/>
      <c r="P622" s="280"/>
      <c r="Q622" s="263"/>
      <c r="R622" s="290"/>
      <c r="S622" s="262"/>
      <c r="T622" s="291"/>
      <c r="U622" s="264"/>
      <c r="V622" s="292"/>
      <c r="W622" s="292"/>
      <c r="X622" s="280"/>
      <c r="Y622" s="298"/>
    </row>
    <row r="623" spans="1:25" ht="17.25" customHeight="1">
      <c r="A623" s="261"/>
      <c r="B623" s="1226"/>
      <c r="C623" s="1227"/>
      <c r="D623" s="575"/>
      <c r="E623" s="570"/>
      <c r="F623" s="263"/>
      <c r="G623" s="263"/>
      <c r="H623" s="264"/>
      <c r="I623" s="277"/>
      <c r="J623" s="278"/>
      <c r="K623" s="279"/>
      <c r="L623" s="264"/>
      <c r="M623" s="280"/>
      <c r="N623" s="264"/>
      <c r="O623" s="263"/>
      <c r="P623" s="280"/>
      <c r="Q623" s="263"/>
      <c r="R623" s="290"/>
      <c r="S623" s="262"/>
      <c r="T623" s="291"/>
      <c r="U623" s="264"/>
      <c r="V623" s="292"/>
      <c r="W623" s="292"/>
      <c r="X623" s="280"/>
      <c r="Y623" s="298"/>
    </row>
    <row r="624" spans="1:25" ht="17.25" customHeight="1">
      <c r="A624" s="261"/>
      <c r="B624" s="1226"/>
      <c r="C624" s="1227"/>
      <c r="D624" s="575"/>
      <c r="E624" s="570"/>
      <c r="F624" s="263"/>
      <c r="G624" s="263"/>
      <c r="H624" s="264"/>
      <c r="I624" s="277"/>
      <c r="J624" s="278"/>
      <c r="K624" s="279"/>
      <c r="L624" s="264"/>
      <c r="M624" s="280"/>
      <c r="N624" s="264"/>
      <c r="O624" s="263"/>
      <c r="P624" s="280"/>
      <c r="Q624" s="263"/>
      <c r="R624" s="290"/>
      <c r="S624" s="262"/>
      <c r="T624" s="291"/>
      <c r="U624" s="264"/>
      <c r="V624" s="292"/>
      <c r="W624" s="292"/>
      <c r="X624" s="280"/>
      <c r="Y624" s="298"/>
    </row>
    <row r="625" spans="1:25" ht="17.25" customHeight="1">
      <c r="A625" s="261"/>
      <c r="B625" s="1226"/>
      <c r="C625" s="1227"/>
      <c r="D625" s="575"/>
      <c r="E625" s="570"/>
      <c r="F625" s="263"/>
      <c r="G625" s="263"/>
      <c r="H625" s="264"/>
      <c r="I625" s="277"/>
      <c r="J625" s="278"/>
      <c r="K625" s="279"/>
      <c r="L625" s="264"/>
      <c r="M625" s="280"/>
      <c r="N625" s="264"/>
      <c r="O625" s="263"/>
      <c r="P625" s="280"/>
      <c r="Q625" s="263"/>
      <c r="R625" s="290"/>
      <c r="S625" s="606"/>
      <c r="T625" s="291"/>
      <c r="U625" s="264"/>
      <c r="V625" s="292"/>
      <c r="W625" s="292"/>
      <c r="X625" s="280"/>
      <c r="Y625" s="298"/>
    </row>
    <row r="626" spans="1:25" ht="17.25" customHeight="1">
      <c r="A626" s="261"/>
      <c r="B626" s="1226"/>
      <c r="C626" s="1227"/>
      <c r="D626" s="575"/>
      <c r="E626" s="570"/>
      <c r="F626" s="263"/>
      <c r="G626" s="263"/>
      <c r="H626" s="264"/>
      <c r="I626" s="277"/>
      <c r="J626" s="278"/>
      <c r="K626" s="279"/>
      <c r="L626" s="264"/>
      <c r="M626" s="280"/>
      <c r="N626" s="264"/>
      <c r="O626" s="263"/>
      <c r="P626" s="280"/>
      <c r="Q626" s="263"/>
      <c r="R626" s="290"/>
      <c r="S626" s="606"/>
      <c r="T626" s="291"/>
      <c r="U626" s="264"/>
      <c r="V626" s="292"/>
      <c r="W626" s="292"/>
      <c r="X626" s="280"/>
      <c r="Y626" s="298"/>
    </row>
    <row r="627" spans="1:25" ht="17.25" customHeight="1">
      <c r="A627" s="261"/>
      <c r="B627" s="1226"/>
      <c r="C627" s="1227"/>
      <c r="D627" s="575"/>
      <c r="E627" s="570"/>
      <c r="F627" s="263"/>
      <c r="G627" s="263"/>
      <c r="H627" s="264"/>
      <c r="I627" s="277"/>
      <c r="J627" s="278"/>
      <c r="K627" s="279"/>
      <c r="L627" s="264"/>
      <c r="M627" s="280"/>
      <c r="N627" s="264"/>
      <c r="O627" s="263"/>
      <c r="P627" s="280"/>
      <c r="Q627" s="263"/>
      <c r="R627" s="290"/>
      <c r="S627" s="606"/>
      <c r="T627" s="291"/>
      <c r="U627" s="264"/>
      <c r="V627" s="292"/>
      <c r="W627" s="292"/>
      <c r="X627" s="280"/>
      <c r="Y627" s="298"/>
    </row>
    <row r="628" spans="1:25" ht="17.25" customHeight="1">
      <c r="A628" s="261"/>
      <c r="B628" s="1226"/>
      <c r="C628" s="1227"/>
      <c r="D628" s="575"/>
      <c r="E628" s="570"/>
      <c r="F628" s="263"/>
      <c r="G628" s="263"/>
      <c r="H628" s="264"/>
      <c r="I628" s="277"/>
      <c r="J628" s="278"/>
      <c r="K628" s="279"/>
      <c r="L628" s="264"/>
      <c r="M628" s="280"/>
      <c r="N628" s="264"/>
      <c r="O628" s="263"/>
      <c r="P628" s="280"/>
      <c r="Q628" s="263"/>
      <c r="R628" s="290"/>
      <c r="S628" s="606"/>
      <c r="T628" s="291"/>
      <c r="U628" s="264"/>
      <c r="V628" s="292"/>
      <c r="W628" s="292"/>
      <c r="X628" s="280"/>
      <c r="Y628" s="298"/>
    </row>
    <row r="629" spans="1:25" ht="17.25" customHeight="1">
      <c r="A629" s="261"/>
      <c r="B629" s="1226"/>
      <c r="C629" s="1227"/>
      <c r="D629" s="575"/>
      <c r="E629" s="570"/>
      <c r="F629" s="263"/>
      <c r="G629" s="263"/>
      <c r="H629" s="264"/>
      <c r="I629" s="277"/>
      <c r="J629" s="278"/>
      <c r="K629" s="279"/>
      <c r="L629" s="264"/>
      <c r="M629" s="280"/>
      <c r="N629" s="264"/>
      <c r="O629" s="263"/>
      <c r="P629" s="280"/>
      <c r="Q629" s="263"/>
      <c r="R629" s="290"/>
      <c r="S629" s="606"/>
      <c r="T629" s="291"/>
      <c r="U629" s="264"/>
      <c r="V629" s="292"/>
      <c r="W629" s="292"/>
      <c r="X629" s="280"/>
      <c r="Y629" s="298"/>
    </row>
    <row r="630" spans="1:25" ht="17.25" customHeight="1">
      <c r="A630" s="261"/>
      <c r="B630" s="1226"/>
      <c r="C630" s="1227"/>
      <c r="D630" s="575"/>
      <c r="E630" s="570"/>
      <c r="F630" s="263"/>
      <c r="G630" s="263"/>
      <c r="H630" s="264"/>
      <c r="I630" s="277"/>
      <c r="J630" s="278"/>
      <c r="K630" s="279"/>
      <c r="L630" s="264"/>
      <c r="M630" s="280"/>
      <c r="N630" s="264"/>
      <c r="O630" s="263"/>
      <c r="P630" s="280"/>
      <c r="Q630" s="263"/>
      <c r="R630" s="290"/>
      <c r="S630" s="606"/>
      <c r="T630" s="291"/>
      <c r="U630" s="264"/>
      <c r="V630" s="292"/>
      <c r="W630" s="292"/>
      <c r="X630" s="280"/>
      <c r="Y630" s="298"/>
    </row>
    <row r="631" spans="1:25" ht="17.25" customHeight="1">
      <c r="A631" s="261"/>
      <c r="B631" s="1226"/>
      <c r="C631" s="1227"/>
      <c r="D631" s="575"/>
      <c r="E631" s="570"/>
      <c r="F631" s="263"/>
      <c r="G631" s="263"/>
      <c r="H631" s="264"/>
      <c r="I631" s="277"/>
      <c r="J631" s="278"/>
      <c r="K631" s="279"/>
      <c r="L631" s="264"/>
      <c r="M631" s="280"/>
      <c r="N631" s="264"/>
      <c r="O631" s="263"/>
      <c r="P631" s="280"/>
      <c r="Q631" s="263"/>
      <c r="R631" s="290"/>
      <c r="S631" s="606"/>
      <c r="T631" s="291"/>
      <c r="U631" s="264"/>
      <c r="V631" s="292"/>
      <c r="W631" s="292"/>
      <c r="X631" s="280"/>
      <c r="Y631" s="298"/>
    </row>
    <row r="632" spans="1:25" ht="17.25" customHeight="1">
      <c r="A632" s="261"/>
      <c r="B632" s="1226"/>
      <c r="C632" s="1227"/>
      <c r="D632" s="575"/>
      <c r="E632" s="570"/>
      <c r="F632" s="263"/>
      <c r="G632" s="263"/>
      <c r="H632" s="264"/>
      <c r="I632" s="277"/>
      <c r="J632" s="278"/>
      <c r="K632" s="279"/>
      <c r="L632" s="264"/>
      <c r="M632" s="280"/>
      <c r="N632" s="264"/>
      <c r="O632" s="263"/>
      <c r="P632" s="280"/>
      <c r="Q632" s="263"/>
      <c r="R632" s="290"/>
      <c r="S632" s="606"/>
      <c r="T632" s="291"/>
      <c r="U632" s="264"/>
      <c r="V632" s="292"/>
      <c r="W632" s="292"/>
      <c r="X632" s="280"/>
      <c r="Y632" s="298"/>
    </row>
    <row r="633" spans="1:25" ht="17.25" customHeight="1">
      <c r="A633" s="261"/>
      <c r="B633" s="1226"/>
      <c r="C633" s="1227"/>
      <c r="D633" s="575"/>
      <c r="E633" s="570"/>
      <c r="F633" s="263"/>
      <c r="G633" s="263"/>
      <c r="H633" s="264"/>
      <c r="I633" s="277"/>
      <c r="J633" s="278"/>
      <c r="K633" s="279"/>
      <c r="L633" s="264"/>
      <c r="M633" s="280"/>
      <c r="N633" s="264"/>
      <c r="O633" s="263"/>
      <c r="P633" s="280"/>
      <c r="Q633" s="263"/>
      <c r="R633" s="290"/>
      <c r="S633" s="606"/>
      <c r="T633" s="291"/>
      <c r="U633" s="264"/>
      <c r="V633" s="292"/>
      <c r="W633" s="292"/>
      <c r="X633" s="280"/>
      <c r="Y633" s="298"/>
    </row>
    <row r="634" spans="1:25" ht="17.25" customHeight="1">
      <c r="A634" s="261"/>
      <c r="B634" s="1226"/>
      <c r="C634" s="1227"/>
      <c r="D634" s="575"/>
      <c r="E634" s="570"/>
      <c r="F634" s="263"/>
      <c r="G634" s="263"/>
      <c r="H634" s="264"/>
      <c r="I634" s="277"/>
      <c r="J634" s="278"/>
      <c r="K634" s="279"/>
      <c r="L634" s="264"/>
      <c r="M634" s="280"/>
      <c r="N634" s="264"/>
      <c r="O634" s="263"/>
      <c r="P634" s="280"/>
      <c r="Q634" s="263"/>
      <c r="R634" s="290"/>
      <c r="S634" s="606"/>
      <c r="T634" s="291"/>
      <c r="U634" s="264"/>
      <c r="V634" s="292"/>
      <c r="W634" s="292"/>
      <c r="X634" s="280"/>
      <c r="Y634" s="298"/>
    </row>
    <row r="635" spans="1:25" ht="17.25" customHeight="1">
      <c r="A635" s="261"/>
      <c r="B635" s="1226"/>
      <c r="C635" s="1227"/>
      <c r="D635" s="575"/>
      <c r="E635" s="570"/>
      <c r="F635" s="263"/>
      <c r="G635" s="263"/>
      <c r="H635" s="264"/>
      <c r="I635" s="277"/>
      <c r="J635" s="278"/>
      <c r="K635" s="279"/>
      <c r="L635" s="264"/>
      <c r="M635" s="280"/>
      <c r="N635" s="264"/>
      <c r="O635" s="263"/>
      <c r="P635" s="280"/>
      <c r="Q635" s="263"/>
      <c r="R635" s="290"/>
      <c r="S635" s="606"/>
      <c r="T635" s="291"/>
      <c r="U635" s="264"/>
      <c r="V635" s="292"/>
      <c r="W635" s="292"/>
      <c r="X635" s="280"/>
      <c r="Y635" s="298"/>
    </row>
    <row r="636" spans="1:25" ht="17.25" customHeight="1">
      <c r="A636" s="261"/>
      <c r="B636" s="1226"/>
      <c r="C636" s="1227"/>
      <c r="D636" s="575"/>
      <c r="E636" s="570"/>
      <c r="F636" s="263"/>
      <c r="G636" s="263"/>
      <c r="H636" s="264"/>
      <c r="I636" s="277"/>
      <c r="J636" s="278"/>
      <c r="K636" s="279"/>
      <c r="L636" s="264"/>
      <c r="M636" s="280"/>
      <c r="N636" s="264"/>
      <c r="O636" s="263"/>
      <c r="P636" s="280"/>
      <c r="Q636" s="263"/>
      <c r="R636" s="290"/>
      <c r="S636" s="606"/>
      <c r="T636" s="291"/>
      <c r="U636" s="264"/>
      <c r="V636" s="292"/>
      <c r="W636" s="292"/>
      <c r="X636" s="280"/>
      <c r="Y636" s="298"/>
    </row>
    <row r="637" spans="1:25" ht="17.25" customHeight="1">
      <c r="A637" s="261"/>
      <c r="B637" s="1226"/>
      <c r="C637" s="1227"/>
      <c r="D637" s="575"/>
      <c r="E637" s="570"/>
      <c r="F637" s="263"/>
      <c r="G637" s="263"/>
      <c r="H637" s="264"/>
      <c r="I637" s="277"/>
      <c r="J637" s="278"/>
      <c r="K637" s="279"/>
      <c r="L637" s="264"/>
      <c r="M637" s="280"/>
      <c r="N637" s="264"/>
      <c r="O637" s="263"/>
      <c r="P637" s="280"/>
      <c r="Q637" s="263"/>
      <c r="R637" s="290"/>
      <c r="S637" s="606"/>
      <c r="T637" s="291"/>
      <c r="U637" s="264"/>
      <c r="V637" s="292"/>
      <c r="W637" s="292"/>
      <c r="X637" s="280"/>
      <c r="Y637" s="298"/>
    </row>
    <row r="638" spans="1:25" ht="17.25" customHeight="1">
      <c r="A638" s="261"/>
      <c r="B638" s="1226"/>
      <c r="C638" s="1227"/>
      <c r="D638" s="575"/>
      <c r="E638" s="570"/>
      <c r="F638" s="263"/>
      <c r="G638" s="263"/>
      <c r="H638" s="264"/>
      <c r="I638" s="277"/>
      <c r="J638" s="278"/>
      <c r="K638" s="279"/>
      <c r="L638" s="264"/>
      <c r="M638" s="280"/>
      <c r="N638" s="264"/>
      <c r="O638" s="263"/>
      <c r="P638" s="280"/>
      <c r="Q638" s="263"/>
      <c r="R638" s="290"/>
      <c r="S638" s="606"/>
      <c r="T638" s="291"/>
      <c r="U638" s="264"/>
      <c r="V638" s="292"/>
      <c r="W638" s="292"/>
      <c r="X638" s="280"/>
      <c r="Y638" s="298"/>
    </row>
    <row r="639" spans="1:25" ht="17.25" customHeight="1">
      <c r="A639" s="261"/>
      <c r="B639" s="1226"/>
      <c r="C639" s="1227"/>
      <c r="D639" s="575"/>
      <c r="E639" s="570"/>
      <c r="F639" s="263"/>
      <c r="G639" s="263"/>
      <c r="H639" s="264"/>
      <c r="I639" s="277"/>
      <c r="J639" s="278"/>
      <c r="K639" s="279"/>
      <c r="L639" s="264"/>
      <c r="M639" s="280"/>
      <c r="N639" s="264"/>
      <c r="O639" s="263"/>
      <c r="P639" s="280"/>
      <c r="Q639" s="263"/>
      <c r="R639" s="290"/>
      <c r="S639" s="606"/>
      <c r="T639" s="291"/>
      <c r="U639" s="264"/>
      <c r="V639" s="292"/>
      <c r="W639" s="292"/>
      <c r="X639" s="280"/>
      <c r="Y639" s="298"/>
    </row>
    <row r="640" spans="1:25" ht="17.25" customHeight="1">
      <c r="A640" s="261"/>
      <c r="B640" s="1226"/>
      <c r="C640" s="1227"/>
      <c r="D640" s="575"/>
      <c r="E640" s="570"/>
      <c r="F640" s="263"/>
      <c r="G640" s="263"/>
      <c r="H640" s="264"/>
      <c r="I640" s="277"/>
      <c r="J640" s="278"/>
      <c r="K640" s="279"/>
      <c r="L640" s="264"/>
      <c r="M640" s="280"/>
      <c r="N640" s="264"/>
      <c r="O640" s="263"/>
      <c r="P640" s="280"/>
      <c r="Q640" s="263"/>
      <c r="R640" s="290"/>
      <c r="S640" s="606"/>
      <c r="T640" s="291"/>
      <c r="U640" s="264"/>
      <c r="V640" s="292"/>
      <c r="W640" s="292"/>
      <c r="X640" s="280"/>
      <c r="Y640" s="298"/>
    </row>
    <row r="641" spans="1:25" ht="17.25" customHeight="1">
      <c r="A641" s="261"/>
      <c r="B641" s="1226"/>
      <c r="C641" s="1227"/>
      <c r="D641" s="575"/>
      <c r="E641" s="570"/>
      <c r="F641" s="263"/>
      <c r="G641" s="263"/>
      <c r="H641" s="264"/>
      <c r="I641" s="277"/>
      <c r="J641" s="278"/>
      <c r="K641" s="279"/>
      <c r="L641" s="264"/>
      <c r="M641" s="280"/>
      <c r="N641" s="264"/>
      <c r="O641" s="263"/>
      <c r="P641" s="280"/>
      <c r="Q641" s="263"/>
      <c r="R641" s="290"/>
      <c r="S641" s="606"/>
      <c r="T641" s="291"/>
      <c r="U641" s="264"/>
      <c r="V641" s="292"/>
      <c r="W641" s="292"/>
      <c r="X641" s="280"/>
      <c r="Y641" s="298"/>
    </row>
    <row r="642" spans="1:25" ht="17.25" customHeight="1">
      <c r="A642" s="1223"/>
      <c r="B642" s="1223"/>
      <c r="C642" s="1223"/>
      <c r="D642" s="1223"/>
      <c r="E642" s="1223"/>
      <c r="F642" s="1223"/>
      <c r="G642" s="1223"/>
      <c r="H642" s="1223"/>
      <c r="I642" s="1224"/>
      <c r="J642" s="1223"/>
      <c r="K642" s="1223"/>
      <c r="L642" s="1223"/>
      <c r="M642" s="1223"/>
      <c r="N642" s="1223"/>
      <c r="O642" s="1223"/>
      <c r="P642" s="1223"/>
      <c r="Q642" s="1223"/>
      <c r="R642" s="1223"/>
      <c r="S642" s="1223"/>
      <c r="T642" s="1224"/>
      <c r="U642" s="1223"/>
      <c r="V642" s="1223"/>
      <c r="W642" s="1223"/>
      <c r="X642" s="1223"/>
      <c r="Y642" s="1225"/>
    </row>
    <row r="643" spans="1:25" ht="17.25" customHeight="1">
      <c r="A643" s="261"/>
      <c r="B643" s="1226"/>
      <c r="C643" s="1227"/>
      <c r="D643" s="575"/>
      <c r="E643" s="570"/>
      <c r="F643" s="263"/>
      <c r="G643" s="263"/>
      <c r="H643" s="264"/>
      <c r="I643" s="277"/>
      <c r="J643" s="278"/>
      <c r="K643" s="279"/>
      <c r="L643" s="264"/>
      <c r="M643" s="280"/>
      <c r="N643" s="264"/>
      <c r="O643" s="263"/>
      <c r="P643" s="280"/>
      <c r="Q643" s="263"/>
      <c r="R643" s="290"/>
      <c r="S643" s="606"/>
      <c r="T643" s="291"/>
      <c r="U643" s="264"/>
      <c r="V643" s="292"/>
      <c r="W643" s="292"/>
      <c r="X643" s="280"/>
      <c r="Y643" s="298"/>
    </row>
    <row r="644" spans="1:25" ht="17.25" customHeight="1">
      <c r="A644" s="261"/>
      <c r="B644" s="1226"/>
      <c r="C644" s="1227"/>
      <c r="D644" s="575"/>
      <c r="E644" s="570"/>
      <c r="F644" s="263"/>
      <c r="G644" s="263"/>
      <c r="H644" s="264"/>
      <c r="I644" s="277"/>
      <c r="J644" s="278"/>
      <c r="K644" s="279"/>
      <c r="L644" s="264"/>
      <c r="M644" s="280"/>
      <c r="N644" s="264"/>
      <c r="O644" s="263"/>
      <c r="P644" s="280"/>
      <c r="Q644" s="263"/>
      <c r="R644" s="290"/>
      <c r="S644" s="262"/>
      <c r="T644" s="291"/>
      <c r="U644" s="264"/>
      <c r="V644" s="292"/>
      <c r="W644" s="292"/>
      <c r="X644" s="280"/>
      <c r="Y644" s="298"/>
    </row>
    <row r="645" spans="1:25" ht="17.25" customHeight="1">
      <c r="A645" s="261"/>
      <c r="B645" s="1226"/>
      <c r="C645" s="1227"/>
      <c r="D645" s="575"/>
      <c r="E645" s="570"/>
      <c r="F645" s="263"/>
      <c r="G645" s="263"/>
      <c r="H645" s="264"/>
      <c r="I645" s="277"/>
      <c r="J645" s="278"/>
      <c r="K645" s="279"/>
      <c r="L645" s="264"/>
      <c r="M645" s="280"/>
      <c r="N645" s="264"/>
      <c r="O645" s="263"/>
      <c r="P645" s="280"/>
      <c r="Q645" s="263"/>
      <c r="R645" s="290"/>
      <c r="S645" s="262"/>
      <c r="T645" s="291"/>
      <c r="U645" s="264"/>
      <c r="V645" s="292"/>
      <c r="W645" s="292"/>
      <c r="X645" s="280"/>
      <c r="Y645" s="298"/>
    </row>
    <row r="646" spans="1:25" ht="17.25" customHeight="1">
      <c r="A646" s="261"/>
      <c r="B646" s="1226"/>
      <c r="C646" s="1227"/>
      <c r="D646" s="575"/>
      <c r="E646" s="570"/>
      <c r="F646" s="263"/>
      <c r="G646" s="263"/>
      <c r="H646" s="264"/>
      <c r="I646" s="277"/>
      <c r="J646" s="278"/>
      <c r="K646" s="279"/>
      <c r="L646" s="264"/>
      <c r="M646" s="280"/>
      <c r="N646" s="264"/>
      <c r="O646" s="263"/>
      <c r="P646" s="280"/>
      <c r="Q646" s="263"/>
      <c r="R646" s="290"/>
      <c r="S646" s="262"/>
      <c r="T646" s="291"/>
      <c r="U646" s="264"/>
      <c r="V646" s="292"/>
      <c r="W646" s="292"/>
      <c r="X646" s="280"/>
      <c r="Y646" s="298"/>
    </row>
    <row r="647" spans="1:25" ht="17.25" customHeight="1">
      <c r="A647" s="261"/>
      <c r="B647" s="1226"/>
      <c r="C647" s="1227"/>
      <c r="D647" s="575"/>
      <c r="E647" s="570"/>
      <c r="F647" s="263"/>
      <c r="G647" s="263"/>
      <c r="H647" s="264"/>
      <c r="I647" s="277"/>
      <c r="J647" s="278"/>
      <c r="K647" s="279"/>
      <c r="L647" s="264"/>
      <c r="M647" s="280"/>
      <c r="N647" s="264"/>
      <c r="O647" s="263"/>
      <c r="P647" s="280"/>
      <c r="Q647" s="263"/>
      <c r="R647" s="290"/>
      <c r="S647" s="262"/>
      <c r="T647" s="291"/>
      <c r="U647" s="264"/>
      <c r="V647" s="292"/>
      <c r="W647" s="292"/>
      <c r="X647" s="280"/>
      <c r="Y647" s="298"/>
    </row>
    <row r="648" spans="1:25" ht="17.25" customHeight="1">
      <c r="A648" s="261"/>
      <c r="B648" s="1226"/>
      <c r="C648" s="1227"/>
      <c r="D648" s="575"/>
      <c r="E648" s="570"/>
      <c r="F648" s="263"/>
      <c r="G648" s="263"/>
      <c r="H648" s="264"/>
      <c r="I648" s="277"/>
      <c r="J648" s="278"/>
      <c r="K648" s="279"/>
      <c r="L648" s="264"/>
      <c r="M648" s="280"/>
      <c r="N648" s="264"/>
      <c r="O648" s="263"/>
      <c r="P648" s="280"/>
      <c r="Q648" s="263"/>
      <c r="R648" s="290"/>
      <c r="S648" s="262"/>
      <c r="T648" s="291"/>
      <c r="U648" s="264"/>
      <c r="V648" s="292"/>
      <c r="W648" s="292"/>
      <c r="X648" s="280"/>
      <c r="Y648" s="298"/>
    </row>
    <row r="649" spans="1:25" ht="17.25" customHeight="1">
      <c r="A649" s="261"/>
      <c r="B649" s="1226"/>
      <c r="C649" s="1227"/>
      <c r="D649" s="575"/>
      <c r="E649" s="570"/>
      <c r="F649" s="263"/>
      <c r="G649" s="263"/>
      <c r="H649" s="264"/>
      <c r="I649" s="277"/>
      <c r="J649" s="278"/>
      <c r="K649" s="279"/>
      <c r="L649" s="264"/>
      <c r="M649" s="280"/>
      <c r="N649" s="264"/>
      <c r="O649" s="263"/>
      <c r="P649" s="280"/>
      <c r="Q649" s="263"/>
      <c r="R649" s="290"/>
      <c r="S649" s="262"/>
      <c r="T649" s="291"/>
      <c r="U649" s="264"/>
      <c r="V649" s="292"/>
      <c r="W649" s="292"/>
      <c r="X649" s="280"/>
      <c r="Y649" s="298"/>
    </row>
    <row r="650" spans="1:25" ht="17.25" customHeight="1">
      <c r="A650" s="261"/>
      <c r="B650" s="1226"/>
      <c r="C650" s="1227"/>
      <c r="D650" s="575"/>
      <c r="E650" s="570"/>
      <c r="F650" s="263"/>
      <c r="G650" s="263"/>
      <c r="H650" s="264"/>
      <c r="I650" s="277"/>
      <c r="J650" s="278"/>
      <c r="K650" s="279"/>
      <c r="L650" s="264"/>
      <c r="M650" s="280"/>
      <c r="N650" s="264"/>
      <c r="O650" s="263"/>
      <c r="P650" s="280"/>
      <c r="Q650" s="263"/>
      <c r="R650" s="290"/>
      <c r="S650" s="262"/>
      <c r="T650" s="291"/>
      <c r="U650" s="264"/>
      <c r="V650" s="292"/>
      <c r="W650" s="292"/>
      <c r="X650" s="280"/>
      <c r="Y650" s="298"/>
    </row>
    <row r="651" spans="1:25" ht="17.25" customHeight="1">
      <c r="A651" s="261"/>
      <c r="B651" s="1226"/>
      <c r="C651" s="1227"/>
      <c r="D651" s="575"/>
      <c r="E651" s="570"/>
      <c r="F651" s="263"/>
      <c r="G651" s="263"/>
      <c r="H651" s="264"/>
      <c r="I651" s="277"/>
      <c r="J651" s="278"/>
      <c r="K651" s="279"/>
      <c r="L651" s="264"/>
      <c r="M651" s="280"/>
      <c r="N651" s="264"/>
      <c r="O651" s="263"/>
      <c r="P651" s="280"/>
      <c r="Q651" s="263"/>
      <c r="R651" s="290"/>
      <c r="S651" s="262"/>
      <c r="T651" s="291"/>
      <c r="U651" s="264"/>
      <c r="V651" s="292"/>
      <c r="W651" s="292"/>
      <c r="X651" s="280"/>
      <c r="Y651" s="298"/>
    </row>
    <row r="652" spans="1:25" ht="17.25" customHeight="1">
      <c r="A652" s="261"/>
      <c r="B652" s="1226"/>
      <c r="C652" s="1227"/>
      <c r="D652" s="575"/>
      <c r="E652" s="570"/>
      <c r="F652" s="263"/>
      <c r="G652" s="263"/>
      <c r="H652" s="264"/>
      <c r="I652" s="277"/>
      <c r="J652" s="278"/>
      <c r="K652" s="279"/>
      <c r="L652" s="264"/>
      <c r="M652" s="280"/>
      <c r="N652" s="264"/>
      <c r="O652" s="263"/>
      <c r="P652" s="280"/>
      <c r="Q652" s="263"/>
      <c r="R652" s="290"/>
      <c r="S652" s="262"/>
      <c r="T652" s="291"/>
      <c r="U652" s="264"/>
      <c r="V652" s="292"/>
      <c r="W652" s="292"/>
      <c r="X652" s="280"/>
      <c r="Y652" s="298"/>
    </row>
    <row r="653" spans="1:25" ht="17.25" customHeight="1">
      <c r="A653" s="261"/>
      <c r="B653" s="1226"/>
      <c r="C653" s="1227"/>
      <c r="D653" s="575"/>
      <c r="E653" s="570"/>
      <c r="F653" s="263"/>
      <c r="G653" s="263"/>
      <c r="H653" s="264"/>
      <c r="I653" s="277"/>
      <c r="J653" s="278"/>
      <c r="K653" s="279"/>
      <c r="L653" s="264"/>
      <c r="M653" s="280"/>
      <c r="N653" s="264"/>
      <c r="O653" s="263"/>
      <c r="P653" s="280"/>
      <c r="Q653" s="263"/>
      <c r="R653" s="290"/>
      <c r="S653" s="262"/>
      <c r="T653" s="291"/>
      <c r="U653" s="264"/>
      <c r="V653" s="292"/>
      <c r="W653" s="292"/>
      <c r="X653" s="280"/>
      <c r="Y653" s="298"/>
    </row>
    <row r="654" spans="1:25" ht="17.25" customHeight="1">
      <c r="A654" s="261"/>
      <c r="B654" s="1226"/>
      <c r="C654" s="1227"/>
      <c r="D654" s="575"/>
      <c r="E654" s="570"/>
      <c r="F654" s="263"/>
      <c r="G654" s="263"/>
      <c r="H654" s="264"/>
      <c r="I654" s="277"/>
      <c r="J654" s="278"/>
      <c r="K654" s="279"/>
      <c r="L654" s="264"/>
      <c r="M654" s="280"/>
      <c r="N654" s="264"/>
      <c r="O654" s="263"/>
      <c r="P654" s="280"/>
      <c r="Q654" s="263"/>
      <c r="R654" s="290"/>
      <c r="S654" s="262"/>
      <c r="T654" s="291"/>
      <c r="U654" s="264"/>
      <c r="V654" s="292"/>
      <c r="W654" s="292"/>
      <c r="X654" s="280"/>
      <c r="Y654" s="298"/>
    </row>
    <row r="655" spans="1:25" ht="17.25" customHeight="1">
      <c r="A655" s="261"/>
      <c r="B655" s="1226"/>
      <c r="C655" s="1227"/>
      <c r="D655" s="575"/>
      <c r="E655" s="570"/>
      <c r="F655" s="263"/>
      <c r="G655" s="263"/>
      <c r="H655" s="264"/>
      <c r="I655" s="277"/>
      <c r="J655" s="278"/>
      <c r="K655" s="279"/>
      <c r="L655" s="264"/>
      <c r="M655" s="280"/>
      <c r="N655" s="264"/>
      <c r="O655" s="263"/>
      <c r="P655" s="280"/>
      <c r="Q655" s="263"/>
      <c r="R655" s="290"/>
      <c r="S655" s="262"/>
      <c r="T655" s="291"/>
      <c r="U655" s="264"/>
      <c r="V655" s="292"/>
      <c r="W655" s="292"/>
      <c r="X655" s="280"/>
      <c r="Y655" s="298"/>
    </row>
    <row r="656" spans="1:25" ht="17.25" customHeight="1">
      <c r="A656" s="261"/>
      <c r="B656" s="1226"/>
      <c r="C656" s="1227"/>
      <c r="D656" s="575"/>
      <c r="E656" s="570"/>
      <c r="F656" s="263"/>
      <c r="G656" s="263"/>
      <c r="H656" s="264"/>
      <c r="I656" s="277"/>
      <c r="J656" s="278"/>
      <c r="K656" s="279"/>
      <c r="L656" s="264"/>
      <c r="M656" s="280"/>
      <c r="N656" s="264"/>
      <c r="O656" s="263"/>
      <c r="P656" s="280"/>
      <c r="Q656" s="263"/>
      <c r="R656" s="290"/>
      <c r="S656" s="262"/>
      <c r="T656" s="291"/>
      <c r="U656" s="264"/>
      <c r="V656" s="292"/>
      <c r="W656" s="292"/>
      <c r="X656" s="280"/>
      <c r="Y656" s="298"/>
    </row>
    <row r="657" spans="1:25" ht="17.25" customHeight="1">
      <c r="A657" s="261"/>
      <c r="B657" s="1226"/>
      <c r="C657" s="1227"/>
      <c r="D657" s="575"/>
      <c r="E657" s="570"/>
      <c r="F657" s="263"/>
      <c r="G657" s="263"/>
      <c r="H657" s="264"/>
      <c r="I657" s="277"/>
      <c r="J657" s="278"/>
      <c r="K657" s="279"/>
      <c r="L657" s="264"/>
      <c r="M657" s="280"/>
      <c r="N657" s="264"/>
      <c r="O657" s="263"/>
      <c r="P657" s="280"/>
      <c r="Q657" s="263"/>
      <c r="R657" s="290"/>
      <c r="S657" s="262"/>
      <c r="T657" s="291"/>
      <c r="U657" s="264"/>
      <c r="V657" s="292"/>
      <c r="W657" s="292"/>
      <c r="X657" s="280"/>
      <c r="Y657" s="298"/>
    </row>
    <row r="658" spans="1:25" ht="17.25" customHeight="1">
      <c r="A658" s="261"/>
      <c r="B658" s="1226"/>
      <c r="C658" s="1227"/>
      <c r="D658" s="575"/>
      <c r="E658" s="570"/>
      <c r="F658" s="263"/>
      <c r="G658" s="263"/>
      <c r="H658" s="264"/>
      <c r="I658" s="277"/>
      <c r="J658" s="278"/>
      <c r="K658" s="279"/>
      <c r="L658" s="264"/>
      <c r="M658" s="280"/>
      <c r="N658" s="264"/>
      <c r="O658" s="263"/>
      <c r="P658" s="280"/>
      <c r="Q658" s="263"/>
      <c r="R658" s="290"/>
      <c r="S658" s="262"/>
      <c r="T658" s="291"/>
      <c r="U658" s="264"/>
      <c r="V658" s="292"/>
      <c r="W658" s="292"/>
      <c r="X658" s="280"/>
      <c r="Y658" s="298"/>
    </row>
    <row r="659" spans="1:25" ht="17.25" customHeight="1">
      <c r="A659" s="261"/>
      <c r="B659" s="1226"/>
      <c r="C659" s="1227"/>
      <c r="D659" s="575"/>
      <c r="E659" s="570"/>
      <c r="F659" s="263"/>
      <c r="G659" s="263"/>
      <c r="H659" s="264"/>
      <c r="I659" s="277"/>
      <c r="J659" s="278"/>
      <c r="K659" s="279"/>
      <c r="L659" s="264"/>
      <c r="M659" s="280"/>
      <c r="N659" s="264"/>
      <c r="O659" s="263"/>
      <c r="P659" s="280"/>
      <c r="Q659" s="263"/>
      <c r="R659" s="290"/>
      <c r="S659" s="262"/>
      <c r="T659" s="291"/>
      <c r="U659" s="264"/>
      <c r="V659" s="292"/>
      <c r="W659" s="292"/>
      <c r="X659" s="280"/>
      <c r="Y659" s="298"/>
    </row>
    <row r="660" spans="1:25" ht="17.25" customHeight="1">
      <c r="A660" s="261"/>
      <c r="B660" s="1226"/>
      <c r="C660" s="1227"/>
      <c r="D660" s="575"/>
      <c r="E660" s="570"/>
      <c r="F660" s="263"/>
      <c r="G660" s="263"/>
      <c r="H660" s="264"/>
      <c r="I660" s="277"/>
      <c r="J660" s="278"/>
      <c r="K660" s="279"/>
      <c r="L660" s="264"/>
      <c r="M660" s="280"/>
      <c r="N660" s="264"/>
      <c r="O660" s="263"/>
      <c r="P660" s="280"/>
      <c r="Q660" s="263"/>
      <c r="R660" s="290"/>
      <c r="S660" s="262"/>
      <c r="T660" s="291"/>
      <c r="U660" s="264"/>
      <c r="V660" s="292"/>
      <c r="W660" s="292"/>
      <c r="X660" s="280"/>
      <c r="Y660" s="298"/>
    </row>
    <row r="661" spans="1:25" ht="17.25" customHeight="1">
      <c r="A661" s="261"/>
      <c r="B661" s="1226"/>
      <c r="C661" s="1227"/>
      <c r="D661" s="575"/>
      <c r="E661" s="570"/>
      <c r="F661" s="263"/>
      <c r="G661" s="263"/>
      <c r="H661" s="264"/>
      <c r="I661" s="277"/>
      <c r="J661" s="278"/>
      <c r="K661" s="279"/>
      <c r="L661" s="264"/>
      <c r="M661" s="280"/>
      <c r="N661" s="264"/>
      <c r="O661" s="263"/>
      <c r="P661" s="280"/>
      <c r="Q661" s="263"/>
      <c r="R661" s="290"/>
      <c r="S661" s="262"/>
      <c r="T661" s="291"/>
      <c r="U661" s="264"/>
      <c r="V661" s="292"/>
      <c r="W661" s="292"/>
      <c r="X661" s="280"/>
      <c r="Y661" s="298"/>
    </row>
    <row r="662" spans="1:25" ht="17.25" customHeight="1">
      <c r="A662" s="261"/>
      <c r="B662" s="1226"/>
      <c r="C662" s="1227"/>
      <c r="D662" s="575"/>
      <c r="E662" s="570"/>
      <c r="F662" s="263"/>
      <c r="G662" s="263"/>
      <c r="H662" s="264"/>
      <c r="I662" s="277"/>
      <c r="J662" s="278"/>
      <c r="K662" s="279"/>
      <c r="L662" s="264"/>
      <c r="M662" s="280"/>
      <c r="N662" s="264"/>
      <c r="O662" s="263"/>
      <c r="P662" s="280"/>
      <c r="Q662" s="263"/>
      <c r="R662" s="290"/>
      <c r="S662" s="262"/>
      <c r="T662" s="291"/>
      <c r="U662" s="264"/>
      <c r="V662" s="292"/>
      <c r="W662" s="292"/>
      <c r="X662" s="280"/>
      <c r="Y662" s="298"/>
    </row>
    <row r="663" spans="1:25" ht="17.25" customHeight="1">
      <c r="A663" s="261"/>
      <c r="B663" s="1226"/>
      <c r="C663" s="1227"/>
      <c r="D663" s="575"/>
      <c r="E663" s="570"/>
      <c r="F663" s="263"/>
      <c r="G663" s="263"/>
      <c r="H663" s="264"/>
      <c r="I663" s="277"/>
      <c r="J663" s="278"/>
      <c r="K663" s="279"/>
      <c r="L663" s="264"/>
      <c r="M663" s="280"/>
      <c r="N663" s="264"/>
      <c r="O663" s="263"/>
      <c r="P663" s="280"/>
      <c r="Q663" s="263"/>
      <c r="R663" s="290"/>
      <c r="S663" s="262"/>
      <c r="T663" s="291"/>
      <c r="U663" s="264"/>
      <c r="V663" s="292"/>
      <c r="W663" s="292"/>
      <c r="X663" s="280"/>
      <c r="Y663" s="298"/>
    </row>
    <row r="664" spans="1:25" ht="17.25" customHeight="1">
      <c r="A664" s="261"/>
      <c r="B664" s="1226"/>
      <c r="C664" s="1227"/>
      <c r="D664" s="575"/>
      <c r="E664" s="570"/>
      <c r="F664" s="263"/>
      <c r="G664" s="263"/>
      <c r="H664" s="264"/>
      <c r="I664" s="277"/>
      <c r="J664" s="278"/>
      <c r="K664" s="279"/>
      <c r="L664" s="264"/>
      <c r="M664" s="280"/>
      <c r="N664" s="264"/>
      <c r="O664" s="263"/>
      <c r="P664" s="280"/>
      <c r="Q664" s="263"/>
      <c r="R664" s="290"/>
      <c r="S664" s="262"/>
      <c r="T664" s="291"/>
      <c r="U664" s="264"/>
      <c r="V664" s="292"/>
      <c r="W664" s="292"/>
      <c r="X664" s="280"/>
      <c r="Y664" s="298"/>
    </row>
    <row r="665" spans="1:25" ht="17.25" customHeight="1">
      <c r="A665" s="261"/>
      <c r="B665" s="1226"/>
      <c r="C665" s="1227"/>
      <c r="D665" s="575"/>
      <c r="E665" s="570"/>
      <c r="F665" s="263"/>
      <c r="G665" s="263"/>
      <c r="H665" s="264"/>
      <c r="I665" s="277"/>
      <c r="J665" s="278"/>
      <c r="K665" s="279"/>
      <c r="L665" s="264"/>
      <c r="M665" s="280"/>
      <c r="N665" s="264"/>
      <c r="O665" s="263"/>
      <c r="P665" s="280"/>
      <c r="Q665" s="263"/>
      <c r="R665" s="290"/>
      <c r="S665" s="262"/>
      <c r="T665" s="291"/>
      <c r="U665" s="264"/>
      <c r="V665" s="292"/>
      <c r="W665" s="292"/>
      <c r="X665" s="280"/>
      <c r="Y665" s="298"/>
    </row>
    <row r="666" spans="1:25" ht="17.25" customHeight="1">
      <c r="A666" s="261"/>
      <c r="B666" s="1226"/>
      <c r="C666" s="1227"/>
      <c r="D666" s="575"/>
      <c r="E666" s="570"/>
      <c r="F666" s="263"/>
      <c r="G666" s="263"/>
      <c r="H666" s="264"/>
      <c r="I666" s="277"/>
      <c r="J666" s="278"/>
      <c r="K666" s="279"/>
      <c r="L666" s="264"/>
      <c r="M666" s="280"/>
      <c r="N666" s="264"/>
      <c r="O666" s="263"/>
      <c r="P666" s="280"/>
      <c r="Q666" s="263"/>
      <c r="R666" s="290"/>
      <c r="S666" s="262"/>
      <c r="T666" s="291"/>
      <c r="U666" s="264"/>
      <c r="V666" s="292"/>
      <c r="W666" s="292"/>
      <c r="X666" s="280"/>
      <c r="Y666" s="298"/>
    </row>
    <row r="667" spans="1:25" ht="17.25" customHeight="1">
      <c r="A667" s="261"/>
      <c r="B667" s="1226"/>
      <c r="C667" s="1227"/>
      <c r="D667" s="575"/>
      <c r="E667" s="570"/>
      <c r="F667" s="263"/>
      <c r="G667" s="263"/>
      <c r="H667" s="264"/>
      <c r="I667" s="277"/>
      <c r="J667" s="278"/>
      <c r="K667" s="279"/>
      <c r="L667" s="264"/>
      <c r="M667" s="280"/>
      <c r="N667" s="264"/>
      <c r="O667" s="263"/>
      <c r="P667" s="280"/>
      <c r="Q667" s="263"/>
      <c r="R667" s="290"/>
      <c r="S667" s="262"/>
      <c r="T667" s="291"/>
      <c r="U667" s="264"/>
      <c r="V667" s="292"/>
      <c r="W667" s="292"/>
      <c r="X667" s="280"/>
      <c r="Y667" s="298"/>
    </row>
    <row r="668" spans="1:25" ht="17.25" customHeight="1">
      <c r="A668" s="261"/>
      <c r="B668" s="1226"/>
      <c r="C668" s="1227"/>
      <c r="D668" s="575"/>
      <c r="E668" s="570"/>
      <c r="F668" s="263"/>
      <c r="G668" s="263"/>
      <c r="H668" s="264"/>
      <c r="I668" s="277"/>
      <c r="J668" s="278"/>
      <c r="K668" s="279"/>
      <c r="L668" s="264"/>
      <c r="M668" s="280"/>
      <c r="N668" s="264"/>
      <c r="O668" s="263"/>
      <c r="P668" s="280"/>
      <c r="Q668" s="263"/>
      <c r="R668" s="290"/>
      <c r="S668" s="262"/>
      <c r="T668" s="291"/>
      <c r="U668" s="264"/>
      <c r="V668" s="292"/>
      <c r="W668" s="292"/>
      <c r="X668" s="280"/>
      <c r="Y668" s="298"/>
    </row>
    <row r="669" spans="1:25" ht="17.25" customHeight="1">
      <c r="A669" s="261"/>
      <c r="B669" s="1226"/>
      <c r="C669" s="1227"/>
      <c r="D669" s="575"/>
      <c r="E669" s="570"/>
      <c r="F669" s="263"/>
      <c r="G669" s="263"/>
      <c r="H669" s="264"/>
      <c r="I669" s="277"/>
      <c r="J669" s="278"/>
      <c r="K669" s="279"/>
      <c r="L669" s="264"/>
      <c r="M669" s="280"/>
      <c r="N669" s="264"/>
      <c r="O669" s="263"/>
      <c r="P669" s="280"/>
      <c r="Q669" s="263"/>
      <c r="R669" s="290"/>
      <c r="S669" s="262"/>
      <c r="T669" s="291"/>
      <c r="U669" s="264"/>
      <c r="V669" s="292"/>
      <c r="W669" s="292"/>
      <c r="X669" s="280"/>
      <c r="Y669" s="298"/>
    </row>
    <row r="670" spans="1:25" ht="17.25" customHeight="1">
      <c r="A670" s="261"/>
      <c r="B670" s="1226"/>
      <c r="C670" s="1227"/>
      <c r="D670" s="575"/>
      <c r="E670" s="570"/>
      <c r="F670" s="263"/>
      <c r="G670" s="263"/>
      <c r="H670" s="264"/>
      <c r="I670" s="277"/>
      <c r="J670" s="278"/>
      <c r="K670" s="279"/>
      <c r="L670" s="264"/>
      <c r="M670" s="280"/>
      <c r="N670" s="264"/>
      <c r="O670" s="263"/>
      <c r="P670" s="280"/>
      <c r="Q670" s="263"/>
      <c r="R670" s="290"/>
      <c r="S670" s="262"/>
      <c r="T670" s="291"/>
      <c r="U670" s="264"/>
      <c r="V670" s="292"/>
      <c r="W670" s="292"/>
      <c r="X670" s="280"/>
      <c r="Y670" s="298"/>
    </row>
    <row r="671" spans="1:25" ht="17.25" customHeight="1">
      <c r="A671" s="261"/>
      <c r="B671" s="1226"/>
      <c r="C671" s="1227"/>
      <c r="D671" s="575"/>
      <c r="E671" s="570"/>
      <c r="F671" s="263"/>
      <c r="G671" s="263"/>
      <c r="H671" s="264"/>
      <c r="I671" s="277"/>
      <c r="J671" s="278"/>
      <c r="K671" s="279"/>
      <c r="L671" s="264"/>
      <c r="M671" s="280"/>
      <c r="N671" s="264"/>
      <c r="O671" s="263"/>
      <c r="P671" s="280"/>
      <c r="Q671" s="263"/>
      <c r="R671" s="290"/>
      <c r="S671" s="262"/>
      <c r="T671" s="291"/>
      <c r="U671" s="264"/>
      <c r="V671" s="292"/>
      <c r="W671" s="292"/>
      <c r="X671" s="280"/>
      <c r="Y671" s="298"/>
    </row>
    <row r="672" spans="1:25" ht="17.25" customHeight="1">
      <c r="A672" s="261"/>
      <c r="B672" s="1226"/>
      <c r="C672" s="1227"/>
      <c r="D672" s="575"/>
      <c r="E672" s="570"/>
      <c r="F672" s="263"/>
      <c r="G672" s="263"/>
      <c r="H672" s="264"/>
      <c r="I672" s="277"/>
      <c r="J672" s="278"/>
      <c r="K672" s="279"/>
      <c r="L672" s="264"/>
      <c r="M672" s="280"/>
      <c r="N672" s="264"/>
      <c r="O672" s="263"/>
      <c r="P672" s="280"/>
      <c r="Q672" s="263"/>
      <c r="R672" s="290"/>
      <c r="S672" s="262"/>
      <c r="T672" s="291"/>
      <c r="U672" s="264"/>
      <c r="V672" s="292"/>
      <c r="W672" s="292"/>
      <c r="X672" s="280"/>
      <c r="Y672" s="298"/>
    </row>
    <row r="673" spans="1:25" ht="17.25" customHeight="1">
      <c r="A673" s="261"/>
      <c r="B673" s="1226"/>
      <c r="C673" s="1227"/>
      <c r="D673" s="575"/>
      <c r="E673" s="570"/>
      <c r="F673" s="263"/>
      <c r="G673" s="263"/>
      <c r="H673" s="264"/>
      <c r="I673" s="277"/>
      <c r="J673" s="278"/>
      <c r="K673" s="279"/>
      <c r="L673" s="264"/>
      <c r="M673" s="280"/>
      <c r="N673" s="264"/>
      <c r="O673" s="263"/>
      <c r="P673" s="280"/>
      <c r="Q673" s="263"/>
      <c r="R673" s="290"/>
      <c r="S673" s="262"/>
      <c r="T673" s="291"/>
      <c r="U673" s="264"/>
      <c r="V673" s="292"/>
      <c r="W673" s="292"/>
      <c r="X673" s="280"/>
      <c r="Y673" s="298"/>
    </row>
    <row r="674" spans="1:25" ht="17.25" customHeight="1">
      <c r="A674" s="261"/>
      <c r="B674" s="1226"/>
      <c r="C674" s="1227"/>
      <c r="D674" s="575"/>
      <c r="E674" s="570"/>
      <c r="F674" s="263"/>
      <c r="G674" s="263"/>
      <c r="H674" s="264"/>
      <c r="I674" s="277"/>
      <c r="J674" s="278"/>
      <c r="K674" s="279"/>
      <c r="L674" s="264"/>
      <c r="M674" s="280"/>
      <c r="N674" s="264"/>
      <c r="O674" s="263"/>
      <c r="P674" s="280"/>
      <c r="Q674" s="263"/>
      <c r="R674" s="290"/>
      <c r="S674" s="262"/>
      <c r="T674" s="291"/>
      <c r="U674" s="264"/>
      <c r="V674" s="292"/>
      <c r="W674" s="292"/>
      <c r="X674" s="280"/>
      <c r="Y674" s="298"/>
    </row>
    <row r="675" spans="1:25" ht="17.25" customHeight="1">
      <c r="A675" s="261"/>
      <c r="B675" s="1226"/>
      <c r="C675" s="1227"/>
      <c r="D675" s="575"/>
      <c r="E675" s="570"/>
      <c r="F675" s="263"/>
      <c r="G675" s="263"/>
      <c r="H675" s="264"/>
      <c r="I675" s="277"/>
      <c r="J675" s="278"/>
      <c r="K675" s="279"/>
      <c r="L675" s="264"/>
      <c r="M675" s="280"/>
      <c r="N675" s="264"/>
      <c r="O675" s="263"/>
      <c r="P675" s="280"/>
      <c r="Q675" s="263"/>
      <c r="R675" s="290"/>
      <c r="S675" s="262"/>
      <c r="T675" s="291"/>
      <c r="U675" s="264"/>
      <c r="V675" s="292"/>
      <c r="W675" s="292"/>
      <c r="X675" s="280"/>
      <c r="Y675" s="298"/>
    </row>
    <row r="676" spans="1:25" ht="17.25" customHeight="1">
      <c r="A676" s="261"/>
      <c r="B676" s="1226"/>
      <c r="C676" s="1227"/>
      <c r="D676" s="575"/>
      <c r="E676" s="570"/>
      <c r="F676" s="263"/>
      <c r="G676" s="263"/>
      <c r="H676" s="264"/>
      <c r="I676" s="277"/>
      <c r="J676" s="278"/>
      <c r="K676" s="279"/>
      <c r="L676" s="264"/>
      <c r="M676" s="280"/>
      <c r="N676" s="264"/>
      <c r="O676" s="263"/>
      <c r="P676" s="280"/>
      <c r="Q676" s="263"/>
      <c r="R676" s="290"/>
      <c r="S676" s="262"/>
      <c r="T676" s="291"/>
      <c r="U676" s="264"/>
      <c r="V676" s="292"/>
      <c r="W676" s="292"/>
      <c r="X676" s="280"/>
      <c r="Y676" s="298"/>
    </row>
    <row r="677" spans="1:25" ht="17.25" customHeight="1">
      <c r="A677" s="261"/>
      <c r="B677" s="1226"/>
      <c r="C677" s="1227"/>
      <c r="D677" s="575"/>
      <c r="E677" s="570"/>
      <c r="F677" s="263"/>
      <c r="G677" s="263"/>
      <c r="H677" s="264"/>
      <c r="I677" s="277"/>
      <c r="J677" s="278"/>
      <c r="K677" s="279"/>
      <c r="L677" s="264"/>
      <c r="M677" s="280"/>
      <c r="N677" s="264"/>
      <c r="O677" s="263"/>
      <c r="P677" s="280"/>
      <c r="Q677" s="263"/>
      <c r="R677" s="290"/>
      <c r="S677" s="262"/>
      <c r="T677" s="291"/>
      <c r="U677" s="264"/>
      <c r="V677" s="292"/>
      <c r="W677" s="292"/>
      <c r="X677" s="280"/>
      <c r="Y677" s="298"/>
    </row>
    <row r="678" spans="1:25" ht="17.25" customHeight="1">
      <c r="A678" s="261"/>
      <c r="B678" s="1226"/>
      <c r="C678" s="1227"/>
      <c r="D678" s="575"/>
      <c r="E678" s="570"/>
      <c r="F678" s="263"/>
      <c r="G678" s="263"/>
      <c r="H678" s="264"/>
      <c r="I678" s="277"/>
      <c r="J678" s="278"/>
      <c r="K678" s="279"/>
      <c r="L678" s="264"/>
      <c r="M678" s="280"/>
      <c r="N678" s="264"/>
      <c r="O678" s="263"/>
      <c r="P678" s="280"/>
      <c r="Q678" s="263"/>
      <c r="R678" s="290"/>
      <c r="S678" s="262"/>
      <c r="T678" s="291"/>
      <c r="U678" s="264"/>
      <c r="V678" s="292"/>
      <c r="W678" s="292"/>
      <c r="X678" s="280"/>
      <c r="Y678" s="298"/>
    </row>
    <row r="679" spans="1:25" ht="17.25" customHeight="1">
      <c r="A679" s="261"/>
      <c r="B679" s="1226"/>
      <c r="C679" s="1227"/>
      <c r="D679" s="575"/>
      <c r="E679" s="570"/>
      <c r="F679" s="263"/>
      <c r="G679" s="263"/>
      <c r="H679" s="264"/>
      <c r="I679" s="277"/>
      <c r="J679" s="278"/>
      <c r="K679" s="279"/>
      <c r="L679" s="264"/>
      <c r="M679" s="280"/>
      <c r="N679" s="264"/>
      <c r="O679" s="263"/>
      <c r="P679" s="280"/>
      <c r="Q679" s="263"/>
      <c r="R679" s="290"/>
      <c r="S679" s="262"/>
      <c r="T679" s="291"/>
      <c r="U679" s="264"/>
      <c r="V679" s="292"/>
      <c r="W679" s="292"/>
      <c r="X679" s="280"/>
      <c r="Y679" s="298"/>
    </row>
    <row r="680" spans="1:25" ht="17.25" customHeight="1">
      <c r="A680" s="261"/>
      <c r="B680" s="1226"/>
      <c r="C680" s="1227"/>
      <c r="D680" s="575"/>
      <c r="E680" s="570"/>
      <c r="F680" s="263"/>
      <c r="G680" s="263"/>
      <c r="H680" s="264"/>
      <c r="I680" s="277"/>
      <c r="J680" s="278"/>
      <c r="K680" s="279"/>
      <c r="L680" s="264"/>
      <c r="M680" s="280"/>
      <c r="N680" s="264"/>
      <c r="O680" s="263"/>
      <c r="P680" s="280"/>
      <c r="Q680" s="263"/>
      <c r="R680" s="290"/>
      <c r="S680" s="262"/>
      <c r="T680" s="291"/>
      <c r="U680" s="264"/>
      <c r="V680" s="292"/>
      <c r="W680" s="292"/>
      <c r="X680" s="280"/>
      <c r="Y680" s="298"/>
    </row>
    <row r="681" spans="1:25" ht="17.25" customHeight="1">
      <c r="A681" s="261"/>
      <c r="B681" s="1226"/>
      <c r="C681" s="1227"/>
      <c r="D681" s="575"/>
      <c r="E681" s="570"/>
      <c r="F681" s="263"/>
      <c r="G681" s="263"/>
      <c r="H681" s="264"/>
      <c r="I681" s="277"/>
      <c r="J681" s="278"/>
      <c r="K681" s="279"/>
      <c r="L681" s="264"/>
      <c r="M681" s="280"/>
      <c r="N681" s="264"/>
      <c r="O681" s="263"/>
      <c r="P681" s="280"/>
      <c r="Q681" s="263"/>
      <c r="R681" s="290"/>
      <c r="S681" s="262"/>
      <c r="T681" s="291"/>
      <c r="U681" s="264"/>
      <c r="V681" s="292"/>
      <c r="W681" s="292"/>
      <c r="X681" s="280"/>
      <c r="Y681" s="298"/>
    </row>
    <row r="682" spans="1:25" ht="17.25" customHeight="1">
      <c r="A682" s="261"/>
      <c r="B682" s="1226"/>
      <c r="C682" s="1227"/>
      <c r="D682" s="575"/>
      <c r="E682" s="570"/>
      <c r="F682" s="263"/>
      <c r="G682" s="263"/>
      <c r="H682" s="264"/>
      <c r="I682" s="277"/>
      <c r="J682" s="278"/>
      <c r="K682" s="279"/>
      <c r="L682" s="264"/>
      <c r="M682" s="280"/>
      <c r="N682" s="264"/>
      <c r="O682" s="263"/>
      <c r="P682" s="280"/>
      <c r="Q682" s="263"/>
      <c r="R682" s="290"/>
      <c r="S682" s="262"/>
      <c r="T682" s="291"/>
      <c r="U682" s="264"/>
      <c r="V682" s="292"/>
      <c r="W682" s="292"/>
      <c r="X682" s="280"/>
      <c r="Y682" s="298"/>
    </row>
    <row r="683" spans="1:25" ht="17.25" customHeight="1">
      <c r="A683" s="261"/>
      <c r="B683" s="1226"/>
      <c r="C683" s="1227"/>
      <c r="D683" s="575"/>
      <c r="E683" s="570"/>
      <c r="F683" s="263"/>
      <c r="G683" s="263"/>
      <c r="H683" s="264"/>
      <c r="I683" s="277"/>
      <c r="J683" s="278"/>
      <c r="K683" s="279"/>
      <c r="L683" s="264"/>
      <c r="M683" s="280"/>
      <c r="N683" s="264"/>
      <c r="O683" s="263"/>
      <c r="P683" s="280"/>
      <c r="Q683" s="263"/>
      <c r="R683" s="290"/>
      <c r="S683" s="262"/>
      <c r="T683" s="291"/>
      <c r="U683" s="264"/>
      <c r="V683" s="292"/>
      <c r="W683" s="292"/>
      <c r="X683" s="280"/>
      <c r="Y683" s="298"/>
    </row>
    <row r="684" spans="1:25" ht="17.25" customHeight="1">
      <c r="A684" s="261"/>
      <c r="B684" s="1226"/>
      <c r="C684" s="1227"/>
      <c r="D684" s="575"/>
      <c r="E684" s="570"/>
      <c r="F684" s="263"/>
      <c r="G684" s="263"/>
      <c r="H684" s="264"/>
      <c r="I684" s="277"/>
      <c r="J684" s="278"/>
      <c r="K684" s="279"/>
      <c r="L684" s="264"/>
      <c r="M684" s="280"/>
      <c r="N684" s="264"/>
      <c r="O684" s="263"/>
      <c r="P684" s="280"/>
      <c r="Q684" s="263"/>
      <c r="R684" s="290"/>
      <c r="S684" s="262"/>
      <c r="T684" s="291"/>
      <c r="U684" s="264"/>
      <c r="V684" s="292"/>
      <c r="W684" s="292"/>
      <c r="X684" s="280"/>
      <c r="Y684" s="298"/>
    </row>
    <row r="685" spans="1:25" ht="17.25" customHeight="1">
      <c r="A685" s="261"/>
      <c r="B685" s="1226"/>
      <c r="C685" s="1227"/>
      <c r="D685" s="575"/>
      <c r="E685" s="570"/>
      <c r="F685" s="263"/>
      <c r="G685" s="263"/>
      <c r="H685" s="264"/>
      <c r="I685" s="277"/>
      <c r="J685" s="278"/>
      <c r="K685" s="279"/>
      <c r="L685" s="264"/>
      <c r="M685" s="280"/>
      <c r="N685" s="264"/>
      <c r="O685" s="263"/>
      <c r="P685" s="280"/>
      <c r="Q685" s="263"/>
      <c r="R685" s="290"/>
      <c r="S685" s="262"/>
      <c r="T685" s="291"/>
      <c r="U685" s="264"/>
      <c r="V685" s="292"/>
      <c r="W685" s="292"/>
      <c r="X685" s="280"/>
      <c r="Y685" s="298"/>
    </row>
    <row r="686" spans="1:25" ht="17.25" customHeight="1">
      <c r="A686" s="261"/>
      <c r="B686" s="1226"/>
      <c r="C686" s="1227"/>
      <c r="D686" s="575"/>
      <c r="E686" s="570"/>
      <c r="F686" s="263"/>
      <c r="G686" s="263"/>
      <c r="H686" s="264"/>
      <c r="I686" s="277"/>
      <c r="J686" s="278"/>
      <c r="K686" s="279"/>
      <c r="L686" s="264"/>
      <c r="M686" s="280"/>
      <c r="N686" s="264"/>
      <c r="O686" s="263"/>
      <c r="P686" s="280"/>
      <c r="Q686" s="263"/>
      <c r="R686" s="290"/>
      <c r="S686" s="262"/>
      <c r="T686" s="291"/>
      <c r="U686" s="264"/>
      <c r="V686" s="292"/>
      <c r="W686" s="292"/>
      <c r="X686" s="280"/>
      <c r="Y686" s="298"/>
    </row>
    <row r="687" spans="1:25" ht="17.25" customHeight="1">
      <c r="A687" s="261"/>
      <c r="B687" s="1226"/>
      <c r="C687" s="1227"/>
      <c r="D687" s="575"/>
      <c r="E687" s="570"/>
      <c r="F687" s="263"/>
      <c r="G687" s="263"/>
      <c r="H687" s="264"/>
      <c r="I687" s="277"/>
      <c r="J687" s="278"/>
      <c r="K687" s="279"/>
      <c r="L687" s="264"/>
      <c r="M687" s="280"/>
      <c r="N687" s="264"/>
      <c r="O687" s="263"/>
      <c r="P687" s="280"/>
      <c r="Q687" s="263"/>
      <c r="R687" s="290"/>
      <c r="S687" s="262"/>
      <c r="T687" s="291"/>
      <c r="U687" s="264"/>
      <c r="V687" s="292"/>
      <c r="W687" s="292"/>
      <c r="X687" s="280"/>
      <c r="Y687" s="298"/>
    </row>
    <row r="688" spans="1:25" ht="17.25" customHeight="1">
      <c r="A688" s="261"/>
      <c r="B688" s="1226"/>
      <c r="C688" s="1227"/>
      <c r="D688" s="575"/>
      <c r="E688" s="570"/>
      <c r="F688" s="263"/>
      <c r="G688" s="263"/>
      <c r="H688" s="264"/>
      <c r="I688" s="277"/>
      <c r="J688" s="278"/>
      <c r="K688" s="279"/>
      <c r="L688" s="264"/>
      <c r="M688" s="280"/>
      <c r="N688" s="264"/>
      <c r="O688" s="263"/>
      <c r="P688" s="280"/>
      <c r="Q688" s="263"/>
      <c r="R688" s="290"/>
      <c r="S688" s="262"/>
      <c r="T688" s="291"/>
      <c r="U688" s="264"/>
      <c r="V688" s="292"/>
      <c r="W688" s="292"/>
      <c r="X688" s="280"/>
      <c r="Y688" s="298"/>
    </row>
    <row r="689" spans="1:25" ht="17.25" customHeight="1">
      <c r="A689" s="261"/>
      <c r="B689" s="1226"/>
      <c r="C689" s="1227"/>
      <c r="D689" s="575"/>
      <c r="E689" s="570"/>
      <c r="F689" s="263"/>
      <c r="G689" s="263"/>
      <c r="H689" s="264"/>
      <c r="I689" s="277"/>
      <c r="J689" s="278"/>
      <c r="K689" s="279"/>
      <c r="L689" s="264"/>
      <c r="M689" s="280"/>
      <c r="N689" s="264"/>
      <c r="O689" s="263"/>
      <c r="P689" s="280"/>
      <c r="Q689" s="263"/>
      <c r="R689" s="290"/>
      <c r="S689" s="262"/>
      <c r="T689" s="291"/>
      <c r="U689" s="264"/>
      <c r="V689" s="292"/>
      <c r="W689" s="292"/>
      <c r="X689" s="280"/>
      <c r="Y689" s="298"/>
    </row>
    <row r="690" spans="1:25" ht="17.25" customHeight="1">
      <c r="A690" s="261"/>
      <c r="B690" s="1226"/>
      <c r="C690" s="1227"/>
      <c r="D690" s="575"/>
      <c r="E690" s="570"/>
      <c r="F690" s="263"/>
      <c r="G690" s="263"/>
      <c r="H690" s="264"/>
      <c r="I690" s="277"/>
      <c r="J690" s="278"/>
      <c r="K690" s="279"/>
      <c r="L690" s="264"/>
      <c r="M690" s="280"/>
      <c r="N690" s="264"/>
      <c r="O690" s="263"/>
      <c r="P690" s="280"/>
      <c r="Q690" s="263"/>
      <c r="R690" s="290"/>
      <c r="S690" s="262"/>
      <c r="T690" s="291"/>
      <c r="U690" s="264"/>
      <c r="V690" s="292"/>
      <c r="W690" s="292"/>
      <c r="X690" s="280"/>
      <c r="Y690" s="298"/>
    </row>
    <row r="691" spans="1:25" ht="17.25" customHeight="1">
      <c r="A691" s="261"/>
      <c r="B691" s="1226"/>
      <c r="C691" s="1227"/>
      <c r="D691" s="575"/>
      <c r="E691" s="570"/>
      <c r="F691" s="263"/>
      <c r="G691" s="263"/>
      <c r="H691" s="264"/>
      <c r="I691" s="277"/>
      <c r="J691" s="278"/>
      <c r="K691" s="279"/>
      <c r="L691" s="264"/>
      <c r="M691" s="280"/>
      <c r="N691" s="264"/>
      <c r="O691" s="263"/>
      <c r="P691" s="280"/>
      <c r="Q691" s="263"/>
      <c r="R691" s="290"/>
      <c r="S691" s="262"/>
      <c r="T691" s="291"/>
      <c r="U691" s="264"/>
      <c r="V691" s="292"/>
      <c r="W691" s="292"/>
      <c r="X691" s="280"/>
      <c r="Y691" s="298"/>
    </row>
    <row r="692" spans="1:25" ht="17.25" customHeight="1">
      <c r="A692" s="261"/>
      <c r="B692" s="1226"/>
      <c r="C692" s="1227"/>
      <c r="D692" s="575"/>
      <c r="E692" s="570"/>
      <c r="F692" s="263"/>
      <c r="G692" s="263"/>
      <c r="H692" s="264"/>
      <c r="I692" s="277"/>
      <c r="J692" s="278"/>
      <c r="K692" s="279"/>
      <c r="L692" s="264"/>
      <c r="M692" s="280"/>
      <c r="N692" s="264"/>
      <c r="O692" s="263"/>
      <c r="P692" s="280"/>
      <c r="Q692" s="263"/>
      <c r="R692" s="290"/>
      <c r="S692" s="262"/>
      <c r="T692" s="291"/>
      <c r="U692" s="264"/>
      <c r="V692" s="292"/>
      <c r="W692" s="292"/>
      <c r="X692" s="280"/>
      <c r="Y692" s="298"/>
    </row>
    <row r="693" spans="1:25" ht="17.25" customHeight="1">
      <c r="A693" s="261"/>
      <c r="B693" s="1226"/>
      <c r="C693" s="1227"/>
      <c r="D693" s="575"/>
      <c r="E693" s="570"/>
      <c r="F693" s="263"/>
      <c r="G693" s="263"/>
      <c r="H693" s="264"/>
      <c r="I693" s="277"/>
      <c r="J693" s="278"/>
      <c r="K693" s="279"/>
      <c r="L693" s="264"/>
      <c r="M693" s="280"/>
      <c r="N693" s="264"/>
      <c r="O693" s="263"/>
      <c r="P693" s="280"/>
      <c r="Q693" s="263"/>
      <c r="R693" s="290"/>
      <c r="S693" s="262"/>
      <c r="T693" s="291"/>
      <c r="U693" s="264"/>
      <c r="V693" s="292"/>
      <c r="W693" s="292"/>
      <c r="X693" s="280"/>
      <c r="Y693" s="298"/>
    </row>
    <row r="694" spans="1:25" ht="17.25" customHeight="1">
      <c r="A694" s="261"/>
      <c r="B694" s="1226"/>
      <c r="C694" s="1227"/>
      <c r="D694" s="575"/>
      <c r="E694" s="570"/>
      <c r="F694" s="263"/>
      <c r="G694" s="263"/>
      <c r="H694" s="264"/>
      <c r="I694" s="277"/>
      <c r="J694" s="278"/>
      <c r="K694" s="279"/>
      <c r="L694" s="264"/>
      <c r="M694" s="280"/>
      <c r="N694" s="264"/>
      <c r="O694" s="263"/>
      <c r="P694" s="280"/>
      <c r="Q694" s="263"/>
      <c r="R694" s="290"/>
      <c r="S694" s="262"/>
      <c r="T694" s="291"/>
      <c r="U694" s="264"/>
      <c r="V694" s="292"/>
      <c r="W694" s="292"/>
      <c r="X694" s="280"/>
      <c r="Y694" s="298"/>
    </row>
    <row r="695" spans="1:25" ht="17.25" customHeight="1">
      <c r="A695" s="261"/>
      <c r="B695" s="1226"/>
      <c r="C695" s="1227"/>
      <c r="D695" s="575"/>
      <c r="E695" s="570"/>
      <c r="F695" s="263"/>
      <c r="G695" s="263"/>
      <c r="H695" s="264"/>
      <c r="I695" s="277"/>
      <c r="J695" s="278"/>
      <c r="K695" s="279"/>
      <c r="L695" s="264"/>
      <c r="M695" s="280"/>
      <c r="N695" s="264"/>
      <c r="O695" s="263"/>
      <c r="P695" s="280"/>
      <c r="Q695" s="263"/>
      <c r="R695" s="290"/>
      <c r="S695" s="262"/>
      <c r="T695" s="291"/>
      <c r="U695" s="264"/>
      <c r="V695" s="292"/>
      <c r="W695" s="292"/>
      <c r="X695" s="280"/>
      <c r="Y695" s="298"/>
    </row>
    <row r="696" spans="1:25" ht="17.25" customHeight="1">
      <c r="A696" s="261"/>
      <c r="B696" s="1226"/>
      <c r="C696" s="1227"/>
      <c r="D696" s="575"/>
      <c r="E696" s="570"/>
      <c r="F696" s="263"/>
      <c r="G696" s="263"/>
      <c r="H696" s="264"/>
      <c r="I696" s="277"/>
      <c r="J696" s="278"/>
      <c r="K696" s="279"/>
      <c r="L696" s="264"/>
      <c r="M696" s="280"/>
      <c r="N696" s="264"/>
      <c r="O696" s="263"/>
      <c r="P696" s="280"/>
      <c r="Q696" s="263"/>
      <c r="R696" s="290"/>
      <c r="S696" s="262"/>
      <c r="T696" s="291"/>
      <c r="U696" s="264"/>
      <c r="V696" s="292"/>
      <c r="W696" s="292"/>
      <c r="X696" s="280"/>
      <c r="Y696" s="298"/>
    </row>
    <row r="697" spans="1:25" ht="17.25" customHeight="1">
      <c r="A697" s="261"/>
      <c r="B697" s="1226"/>
      <c r="C697" s="1227"/>
      <c r="D697" s="575"/>
      <c r="E697" s="570"/>
      <c r="F697" s="263"/>
      <c r="G697" s="263"/>
      <c r="H697" s="264"/>
      <c r="I697" s="277"/>
      <c r="J697" s="278"/>
      <c r="K697" s="279"/>
      <c r="L697" s="264"/>
      <c r="M697" s="280"/>
      <c r="N697" s="264"/>
      <c r="O697" s="263"/>
      <c r="P697" s="280"/>
      <c r="Q697" s="263"/>
      <c r="R697" s="290"/>
      <c r="S697" s="262"/>
      <c r="T697" s="291"/>
      <c r="U697" s="264"/>
      <c r="V697" s="292"/>
      <c r="W697" s="292"/>
      <c r="X697" s="280"/>
      <c r="Y697" s="298"/>
    </row>
    <row r="698" spans="1:25" ht="17.25" customHeight="1">
      <c r="A698" s="261"/>
      <c r="B698" s="1226"/>
      <c r="C698" s="1227"/>
      <c r="D698" s="575"/>
      <c r="E698" s="570"/>
      <c r="F698" s="263"/>
      <c r="G698" s="263"/>
      <c r="H698" s="264"/>
      <c r="I698" s="277"/>
      <c r="J698" s="278"/>
      <c r="K698" s="279"/>
      <c r="L698" s="264"/>
      <c r="M698" s="280"/>
      <c r="N698" s="264"/>
      <c r="O698" s="263"/>
      <c r="P698" s="280"/>
      <c r="Q698" s="263"/>
      <c r="R698" s="290"/>
      <c r="S698" s="262"/>
      <c r="T698" s="291"/>
      <c r="U698" s="264"/>
      <c r="V698" s="292"/>
      <c r="W698" s="292"/>
      <c r="X698" s="280"/>
      <c r="Y698" s="298"/>
    </row>
    <row r="699" spans="1:25" ht="17.25" customHeight="1">
      <c r="A699" s="261"/>
      <c r="B699" s="1226"/>
      <c r="C699" s="1227"/>
      <c r="D699" s="575"/>
      <c r="E699" s="570"/>
      <c r="F699" s="263"/>
      <c r="G699" s="263"/>
      <c r="H699" s="264"/>
      <c r="I699" s="277"/>
      <c r="J699" s="278"/>
      <c r="K699" s="279"/>
      <c r="L699" s="264"/>
      <c r="M699" s="280"/>
      <c r="N699" s="264"/>
      <c r="O699" s="263"/>
      <c r="P699" s="280"/>
      <c r="Q699" s="263"/>
      <c r="R699" s="290"/>
      <c r="S699" s="262"/>
      <c r="T699" s="291"/>
      <c r="U699" s="264"/>
      <c r="V699" s="292"/>
      <c r="W699" s="292"/>
      <c r="X699" s="280"/>
      <c r="Y699" s="298"/>
    </row>
    <row r="700" spans="1:25" ht="17.25" customHeight="1">
      <c r="A700" s="261"/>
      <c r="B700" s="1226"/>
      <c r="C700" s="1227"/>
      <c r="D700" s="575"/>
      <c r="E700" s="570"/>
      <c r="F700" s="263"/>
      <c r="G700" s="263"/>
      <c r="H700" s="264"/>
      <c r="I700" s="277"/>
      <c r="J700" s="278"/>
      <c r="K700" s="279"/>
      <c r="L700" s="264"/>
      <c r="M700" s="280"/>
      <c r="N700" s="264"/>
      <c r="O700" s="263"/>
      <c r="P700" s="280"/>
      <c r="Q700" s="263"/>
      <c r="R700" s="290"/>
      <c r="S700" s="262"/>
      <c r="T700" s="291"/>
      <c r="U700" s="264"/>
      <c r="V700" s="292"/>
      <c r="W700" s="292"/>
      <c r="X700" s="280"/>
      <c r="Y700" s="298"/>
    </row>
    <row r="701" spans="1:25" ht="17.25" customHeight="1">
      <c r="A701" s="261"/>
      <c r="B701" s="1226"/>
      <c r="C701" s="1227"/>
      <c r="D701" s="575"/>
      <c r="E701" s="570"/>
      <c r="F701" s="263"/>
      <c r="G701" s="263"/>
      <c r="H701" s="264"/>
      <c r="I701" s="277"/>
      <c r="J701" s="278"/>
      <c r="K701" s="279"/>
      <c r="L701" s="264"/>
      <c r="M701" s="280"/>
      <c r="N701" s="264"/>
      <c r="O701" s="263"/>
      <c r="P701" s="280"/>
      <c r="Q701" s="263"/>
      <c r="R701" s="290"/>
      <c r="S701" s="262"/>
      <c r="T701" s="291"/>
      <c r="U701" s="264"/>
      <c r="V701" s="292"/>
      <c r="W701" s="292"/>
      <c r="X701" s="280"/>
      <c r="Y701" s="298"/>
    </row>
    <row r="702" spans="1:25" ht="17.25" customHeight="1">
      <c r="A702" s="261"/>
      <c r="B702" s="1226"/>
      <c r="C702" s="1227"/>
      <c r="D702" s="575"/>
      <c r="E702" s="570"/>
      <c r="F702" s="263"/>
      <c r="G702" s="263"/>
      <c r="H702" s="264"/>
      <c r="I702" s="277"/>
      <c r="J702" s="278"/>
      <c r="K702" s="279"/>
      <c r="L702" s="264"/>
      <c r="M702" s="280"/>
      <c r="N702" s="264"/>
      <c r="O702" s="263"/>
      <c r="P702" s="280"/>
      <c r="Q702" s="263"/>
      <c r="R702" s="290"/>
      <c r="S702" s="262"/>
      <c r="T702" s="291"/>
      <c r="U702" s="264"/>
      <c r="V702" s="292"/>
      <c r="W702" s="292"/>
      <c r="X702" s="280"/>
      <c r="Y702" s="298"/>
    </row>
    <row r="703" spans="1:25" ht="17.25" customHeight="1">
      <c r="A703" s="261"/>
      <c r="B703" s="1226"/>
      <c r="C703" s="1227"/>
      <c r="D703" s="575"/>
      <c r="E703" s="570"/>
      <c r="F703" s="263"/>
      <c r="G703" s="263"/>
      <c r="H703" s="264"/>
      <c r="I703" s="277"/>
      <c r="J703" s="278"/>
      <c r="K703" s="279"/>
      <c r="L703" s="264"/>
      <c r="M703" s="280"/>
      <c r="N703" s="264"/>
      <c r="O703" s="263"/>
      <c r="P703" s="280"/>
      <c r="Q703" s="263"/>
      <c r="R703" s="290"/>
      <c r="S703" s="262"/>
      <c r="T703" s="291"/>
      <c r="U703" s="264"/>
      <c r="V703" s="292"/>
      <c r="W703" s="292"/>
      <c r="X703" s="280"/>
      <c r="Y703" s="298"/>
    </row>
    <row r="704" spans="1:25" ht="17.25" customHeight="1">
      <c r="A704" s="261"/>
      <c r="B704" s="1226"/>
      <c r="C704" s="1227"/>
      <c r="D704" s="575"/>
      <c r="E704" s="570"/>
      <c r="F704" s="263"/>
      <c r="G704" s="263"/>
      <c r="H704" s="264"/>
      <c r="I704" s="277"/>
      <c r="J704" s="278"/>
      <c r="K704" s="279"/>
      <c r="L704" s="264"/>
      <c r="M704" s="280"/>
      <c r="N704" s="264"/>
      <c r="O704" s="263"/>
      <c r="P704" s="280"/>
      <c r="Q704" s="263"/>
      <c r="R704" s="290"/>
      <c r="S704" s="262"/>
      <c r="T704" s="291"/>
      <c r="U704" s="264"/>
      <c r="V704" s="292"/>
      <c r="W704" s="292"/>
      <c r="X704" s="280"/>
      <c r="Y704" s="298"/>
    </row>
    <row r="705" spans="1:26" ht="17.25" customHeight="1">
      <c r="A705" s="261"/>
      <c r="B705" s="1226"/>
      <c r="C705" s="1227"/>
      <c r="D705" s="575"/>
      <c r="E705" s="570"/>
      <c r="F705" s="263"/>
      <c r="G705" s="263"/>
      <c r="H705" s="264"/>
      <c r="I705" s="277"/>
      <c r="J705" s="278"/>
      <c r="K705" s="279"/>
      <c r="L705" s="264"/>
      <c r="M705" s="280"/>
      <c r="N705" s="264"/>
      <c r="O705" s="263"/>
      <c r="P705" s="280"/>
      <c r="Q705" s="263"/>
      <c r="R705" s="290"/>
      <c r="S705" s="262"/>
      <c r="T705" s="291"/>
      <c r="U705" s="264"/>
      <c r="V705" s="292"/>
      <c r="W705" s="292"/>
      <c r="X705" s="280"/>
      <c r="Y705" s="298"/>
    </row>
    <row r="706" spans="1:26" ht="17.25" customHeight="1">
      <c r="A706" s="261"/>
      <c r="B706" s="1226"/>
      <c r="C706" s="1227"/>
      <c r="D706" s="575"/>
      <c r="E706" s="570"/>
      <c r="F706" s="263"/>
      <c r="G706" s="263"/>
      <c r="H706" s="264"/>
      <c r="I706" s="277"/>
      <c r="J706" s="278"/>
      <c r="K706" s="279"/>
      <c r="L706" s="264"/>
      <c r="M706" s="280"/>
      <c r="N706" s="264"/>
      <c r="O706" s="263"/>
      <c r="P706" s="280"/>
      <c r="Q706" s="263"/>
      <c r="R706" s="290"/>
      <c r="S706" s="262"/>
      <c r="T706" s="291"/>
      <c r="U706" s="264"/>
      <c r="V706" s="292"/>
      <c r="W706" s="292"/>
      <c r="X706" s="280"/>
      <c r="Y706" s="298"/>
    </row>
    <row r="707" spans="1:26" ht="17.25" customHeight="1">
      <c r="A707" s="261"/>
      <c r="B707" s="1226"/>
      <c r="C707" s="1227"/>
      <c r="D707" s="575"/>
      <c r="E707" s="570"/>
      <c r="F707" s="263"/>
      <c r="G707" s="263"/>
      <c r="H707" s="264"/>
      <c r="I707" s="277"/>
      <c r="J707" s="278"/>
      <c r="K707" s="279"/>
      <c r="L707" s="264"/>
      <c r="M707" s="280"/>
      <c r="N707" s="264"/>
      <c r="O707" s="263"/>
      <c r="P707" s="280"/>
      <c r="Q707" s="263"/>
      <c r="R707" s="290"/>
      <c r="S707" s="262"/>
      <c r="T707" s="291"/>
      <c r="U707" s="264"/>
      <c r="V707" s="292"/>
      <c r="W707" s="292"/>
      <c r="X707" s="280"/>
      <c r="Y707" s="298"/>
    </row>
    <row r="708" spans="1:26" ht="17.25" customHeight="1">
      <c r="A708" s="261"/>
      <c r="B708" s="1226"/>
      <c r="C708" s="1227"/>
      <c r="D708" s="575"/>
      <c r="E708" s="570"/>
      <c r="F708" s="263"/>
      <c r="G708" s="263"/>
      <c r="H708" s="264"/>
      <c r="I708" s="277"/>
      <c r="J708" s="278"/>
      <c r="K708" s="279"/>
      <c r="L708" s="264"/>
      <c r="M708" s="280"/>
      <c r="N708" s="264"/>
      <c r="O708" s="263"/>
      <c r="P708" s="280"/>
      <c r="Q708" s="263"/>
      <c r="R708" s="290"/>
      <c r="S708" s="262"/>
      <c r="T708" s="291"/>
      <c r="U708" s="264"/>
      <c r="V708" s="292"/>
      <c r="W708" s="292"/>
      <c r="X708" s="280"/>
      <c r="Y708" s="298"/>
    </row>
    <row r="709" spans="1:26" ht="17.25" customHeight="1">
      <c r="A709" s="261"/>
      <c r="B709" s="1226"/>
      <c r="C709" s="1227"/>
      <c r="D709" s="575"/>
      <c r="E709" s="570"/>
      <c r="F709" s="263"/>
      <c r="G709" s="263"/>
      <c r="H709" s="264"/>
      <c r="I709" s="277"/>
      <c r="J709" s="278"/>
      <c r="K709" s="279"/>
      <c r="L709" s="264"/>
      <c r="M709" s="280"/>
      <c r="N709" s="264"/>
      <c r="O709" s="263"/>
      <c r="P709" s="280"/>
      <c r="Q709" s="263"/>
      <c r="R709" s="290"/>
      <c r="S709" s="262"/>
      <c r="T709" s="291"/>
      <c r="U709" s="264"/>
      <c r="V709" s="292"/>
      <c r="W709" s="292"/>
      <c r="X709" s="280"/>
      <c r="Y709" s="298"/>
    </row>
    <row r="710" spans="1:26" ht="17.25" customHeight="1">
      <c r="A710" s="261"/>
      <c r="B710" s="1226"/>
      <c r="C710" s="1227"/>
      <c r="D710" s="575"/>
      <c r="E710" s="570"/>
      <c r="F710" s="263"/>
      <c r="G710" s="263"/>
      <c r="H710" s="264"/>
      <c r="I710" s="277"/>
      <c r="J710" s="278"/>
      <c r="K710" s="279"/>
      <c r="L710" s="264"/>
      <c r="M710" s="280"/>
      <c r="N710" s="264"/>
      <c r="O710" s="263"/>
      <c r="P710" s="280"/>
      <c r="Q710" s="263"/>
      <c r="R710" s="290"/>
      <c r="S710" s="262"/>
      <c r="T710" s="291"/>
      <c r="U710" s="264"/>
      <c r="V710" s="292"/>
      <c r="W710" s="292"/>
      <c r="X710" s="280"/>
      <c r="Y710" s="298"/>
    </row>
    <row r="711" spans="1:26" ht="17.25" customHeight="1">
      <c r="A711" s="261"/>
      <c r="B711" s="1226"/>
      <c r="C711" s="1227"/>
      <c r="D711" s="575"/>
      <c r="E711" s="570"/>
      <c r="F711" s="263"/>
      <c r="G711" s="263"/>
      <c r="H711" s="264"/>
      <c r="I711" s="277"/>
      <c r="J711" s="278"/>
      <c r="K711" s="279"/>
      <c r="L711" s="264"/>
      <c r="M711" s="280"/>
      <c r="N711" s="264"/>
      <c r="O711" s="263"/>
      <c r="P711" s="280"/>
      <c r="Q711" s="263"/>
      <c r="R711" s="290"/>
      <c r="S711" s="262"/>
      <c r="T711" s="291"/>
      <c r="U711" s="264"/>
      <c r="V711" s="292"/>
      <c r="W711" s="292"/>
      <c r="X711" s="280"/>
      <c r="Y711" s="298"/>
    </row>
    <row r="712" spans="1:26" ht="17.25" customHeight="1">
      <c r="A712" s="261"/>
      <c r="B712" s="1226"/>
      <c r="C712" s="1227"/>
      <c r="D712" s="575"/>
      <c r="E712" s="570"/>
      <c r="F712" s="263"/>
      <c r="G712" s="263"/>
      <c r="H712" s="264"/>
      <c r="I712" s="277"/>
      <c r="J712" s="278"/>
      <c r="K712" s="279"/>
      <c r="L712" s="264"/>
      <c r="M712" s="280"/>
      <c r="N712" s="264"/>
      <c r="O712" s="263"/>
      <c r="P712" s="280"/>
      <c r="Q712" s="263"/>
      <c r="R712" s="290"/>
      <c r="S712" s="262"/>
      <c r="T712" s="291"/>
      <c r="U712" s="264"/>
      <c r="V712" s="292"/>
      <c r="W712" s="292"/>
      <c r="X712" s="280"/>
      <c r="Y712" s="298"/>
    </row>
    <row r="713" spans="1:26" ht="17.25" customHeight="1">
      <c r="A713" s="261"/>
      <c r="B713" s="1226"/>
      <c r="C713" s="1227"/>
      <c r="D713" s="575"/>
      <c r="E713" s="570"/>
      <c r="F713" s="263"/>
      <c r="G713" s="263"/>
      <c r="H713" s="264"/>
      <c r="I713" s="277"/>
      <c r="J713" s="278"/>
      <c r="K713" s="279"/>
      <c r="L713" s="264"/>
      <c r="M713" s="280"/>
      <c r="N713" s="264"/>
      <c r="O713" s="263"/>
      <c r="P713" s="280"/>
      <c r="Q713" s="263"/>
      <c r="R713" s="290"/>
      <c r="S713" s="262"/>
      <c r="T713" s="291"/>
      <c r="U713" s="264"/>
      <c r="V713" s="292"/>
      <c r="W713" s="292"/>
      <c r="X713" s="280"/>
      <c r="Y713" s="298"/>
    </row>
    <row r="714" spans="1:26" ht="17.25" customHeight="1">
      <c r="A714" s="261"/>
      <c r="B714" s="1226"/>
      <c r="C714" s="1227"/>
      <c r="D714" s="575"/>
      <c r="E714" s="570"/>
      <c r="F714" s="263"/>
      <c r="G714" s="263"/>
      <c r="H714" s="264"/>
      <c r="I714" s="277"/>
      <c r="J714" s="278"/>
      <c r="K714" s="279"/>
      <c r="L714" s="264"/>
      <c r="M714" s="280"/>
      <c r="N714" s="264"/>
      <c r="O714" s="263"/>
      <c r="P714" s="280"/>
      <c r="Q714" s="263"/>
      <c r="R714" s="290"/>
      <c r="S714" s="262"/>
      <c r="T714" s="291"/>
      <c r="U714" s="264"/>
      <c r="V714" s="292"/>
      <c r="W714" s="292"/>
      <c r="X714" s="280"/>
      <c r="Y714" s="298"/>
    </row>
    <row r="715" spans="1:26" ht="17.25" customHeight="1">
      <c r="A715" s="261"/>
      <c r="B715" s="1226"/>
      <c r="C715" s="1227"/>
      <c r="D715" s="575"/>
      <c r="E715" s="570"/>
      <c r="F715" s="263"/>
      <c r="G715" s="263"/>
      <c r="H715" s="264"/>
      <c r="I715" s="277"/>
      <c r="J715" s="278"/>
      <c r="K715" s="279"/>
      <c r="L715" s="264"/>
      <c r="M715" s="280"/>
      <c r="N715" s="264"/>
      <c r="O715" s="263"/>
      <c r="P715" s="280"/>
      <c r="Q715" s="263"/>
      <c r="R715" s="290"/>
      <c r="S715" s="262"/>
      <c r="T715" s="291"/>
      <c r="U715" s="264"/>
      <c r="V715" s="292"/>
      <c r="W715" s="292"/>
      <c r="X715" s="280"/>
      <c r="Y715" s="298"/>
    </row>
    <row r="716" spans="1:26" ht="17.25" customHeight="1">
      <c r="A716" s="261"/>
      <c r="B716" s="1226"/>
      <c r="C716" s="1227"/>
      <c r="D716" s="575"/>
      <c r="E716" s="570"/>
      <c r="F716" s="263"/>
      <c r="G716" s="263"/>
      <c r="H716" s="264"/>
      <c r="I716" s="277"/>
      <c r="J716" s="278"/>
      <c r="K716" s="279"/>
      <c r="L716" s="264"/>
      <c r="M716" s="280"/>
      <c r="N716" s="264"/>
      <c r="O716" s="263"/>
      <c r="P716" s="280"/>
      <c r="Q716" s="263"/>
      <c r="R716" s="290"/>
      <c r="S716" s="262"/>
      <c r="T716" s="291"/>
      <c r="U716" s="264"/>
      <c r="V716" s="292"/>
      <c r="W716" s="292"/>
      <c r="X716" s="280"/>
      <c r="Y716" s="298"/>
    </row>
    <row r="717" spans="1:26" ht="17.25" customHeight="1">
      <c r="A717" s="261"/>
      <c r="B717" s="1226"/>
      <c r="C717" s="1227"/>
      <c r="D717" s="575"/>
      <c r="E717" s="570"/>
      <c r="F717" s="263"/>
      <c r="G717" s="263"/>
      <c r="H717" s="264"/>
      <c r="I717" s="277"/>
      <c r="J717" s="278"/>
      <c r="K717" s="279"/>
      <c r="L717" s="264"/>
      <c r="M717" s="280"/>
      <c r="N717" s="264"/>
      <c r="O717" s="263"/>
      <c r="P717" s="280"/>
      <c r="Q717" s="263"/>
      <c r="R717" s="290"/>
      <c r="S717" s="262"/>
      <c r="T717" s="291"/>
      <c r="U717" s="264"/>
      <c r="V717" s="292"/>
      <c r="W717" s="292"/>
      <c r="X717" s="280"/>
      <c r="Y717" s="298"/>
      <c r="Z717" s="299"/>
    </row>
    <row r="718" spans="1:26" ht="17.25" customHeight="1">
      <c r="A718" s="261"/>
      <c r="B718" s="1226"/>
      <c r="C718" s="1227"/>
      <c r="D718" s="575"/>
      <c r="E718" s="570"/>
      <c r="F718" s="263"/>
      <c r="G718" s="263"/>
      <c r="H718" s="264"/>
      <c r="I718" s="277"/>
      <c r="J718" s="278"/>
      <c r="K718" s="279"/>
      <c r="L718" s="264"/>
      <c r="M718" s="280"/>
      <c r="N718" s="264"/>
      <c r="O718" s="263"/>
      <c r="P718" s="280"/>
      <c r="Q718" s="263"/>
      <c r="R718" s="290"/>
      <c r="S718" s="262"/>
      <c r="T718" s="291"/>
      <c r="U718" s="264"/>
      <c r="V718" s="292"/>
      <c r="W718" s="292"/>
      <c r="X718" s="280"/>
      <c r="Y718" s="298"/>
      <c r="Z718" s="300"/>
    </row>
    <row r="719" spans="1:26" ht="17.25" customHeight="1">
      <c r="A719" s="261"/>
      <c r="B719" s="1226"/>
      <c r="C719" s="1227"/>
      <c r="D719" s="575"/>
      <c r="E719" s="570"/>
      <c r="F719" s="263"/>
      <c r="G719" s="263"/>
      <c r="H719" s="264"/>
      <c r="I719" s="277"/>
      <c r="J719" s="278"/>
      <c r="K719" s="279"/>
      <c r="L719" s="264"/>
      <c r="M719" s="280"/>
      <c r="N719" s="264"/>
      <c r="O719" s="263"/>
      <c r="P719" s="280"/>
      <c r="Q719" s="263"/>
      <c r="R719" s="290"/>
      <c r="S719" s="262"/>
      <c r="T719" s="291"/>
      <c r="U719" s="264"/>
      <c r="V719" s="292"/>
      <c r="W719" s="292"/>
      <c r="X719" s="280"/>
      <c r="Y719" s="298"/>
    </row>
    <row r="720" spans="1:26" ht="17.25" customHeight="1">
      <c r="A720" s="1223"/>
      <c r="B720" s="1223"/>
      <c r="C720" s="1223"/>
      <c r="D720" s="1223"/>
      <c r="E720" s="1223"/>
      <c r="F720" s="1223"/>
      <c r="G720" s="1223"/>
      <c r="H720" s="1223"/>
      <c r="I720" s="1224"/>
      <c r="J720" s="1223"/>
      <c r="K720" s="1223"/>
      <c r="L720" s="1223"/>
      <c r="M720" s="1223"/>
      <c r="N720" s="1223"/>
      <c r="O720" s="1223"/>
      <c r="P720" s="1223"/>
      <c r="Q720" s="1223"/>
      <c r="R720" s="1223"/>
      <c r="S720" s="1223"/>
      <c r="T720" s="1224"/>
      <c r="U720" s="1223"/>
      <c r="V720" s="1223"/>
      <c r="W720" s="1223"/>
      <c r="X720" s="1223"/>
      <c r="Y720" s="1225"/>
    </row>
    <row r="721" spans="1:25" ht="17.25" customHeight="1">
      <c r="A721" s="261"/>
      <c r="B721" s="1226"/>
      <c r="C721" s="1227"/>
      <c r="D721" s="575"/>
      <c r="E721" s="570"/>
      <c r="F721" s="263"/>
      <c r="G721" s="263"/>
      <c r="H721" s="264"/>
      <c r="I721" s="277"/>
      <c r="J721" s="278"/>
      <c r="K721" s="279"/>
      <c r="L721" s="264"/>
      <c r="M721" s="280"/>
      <c r="N721" s="264"/>
      <c r="O721" s="263"/>
      <c r="P721" s="280"/>
      <c r="Q721" s="263"/>
      <c r="R721" s="290"/>
      <c r="S721" s="262"/>
      <c r="T721" s="291"/>
      <c r="U721" s="264"/>
      <c r="V721" s="292"/>
      <c r="W721" s="292"/>
      <c r="X721" s="280"/>
      <c r="Y721" s="298"/>
    </row>
    <row r="722" spans="1:25" ht="17.25" customHeight="1">
      <c r="A722" s="261"/>
      <c r="B722" s="1226"/>
      <c r="C722" s="1227"/>
      <c r="D722" s="575"/>
      <c r="E722" s="570"/>
      <c r="F722" s="263"/>
      <c r="G722" s="263"/>
      <c r="H722" s="264"/>
      <c r="I722" s="277"/>
      <c r="J722" s="278"/>
      <c r="K722" s="279"/>
      <c r="L722" s="264"/>
      <c r="M722" s="280"/>
      <c r="N722" s="264"/>
      <c r="O722" s="263"/>
      <c r="P722" s="280"/>
      <c r="Q722" s="263"/>
      <c r="R722" s="290"/>
      <c r="S722" s="262"/>
      <c r="T722" s="291"/>
      <c r="U722" s="264"/>
      <c r="V722" s="292"/>
      <c r="W722" s="292"/>
      <c r="X722" s="280"/>
      <c r="Y722" s="298"/>
    </row>
    <row r="723" spans="1:25" ht="17.25" customHeight="1">
      <c r="A723" s="261"/>
      <c r="B723" s="1226"/>
      <c r="C723" s="1227"/>
      <c r="D723" s="575"/>
      <c r="E723" s="570"/>
      <c r="F723" s="263"/>
      <c r="G723" s="263"/>
      <c r="H723" s="264"/>
      <c r="I723" s="277"/>
      <c r="J723" s="278"/>
      <c r="K723" s="279"/>
      <c r="L723" s="264"/>
      <c r="M723" s="280"/>
      <c r="N723" s="264"/>
      <c r="O723" s="263"/>
      <c r="P723" s="280"/>
      <c r="Q723" s="263"/>
      <c r="R723" s="290"/>
      <c r="S723" s="262"/>
      <c r="T723" s="291"/>
      <c r="U723" s="264"/>
      <c r="V723" s="292"/>
      <c r="W723" s="292"/>
      <c r="X723" s="280"/>
      <c r="Y723" s="298"/>
    </row>
    <row r="724" spans="1:25" ht="17.25" customHeight="1">
      <c r="A724" s="261"/>
      <c r="B724" s="1226"/>
      <c r="C724" s="1227"/>
      <c r="D724" s="575"/>
      <c r="E724" s="570"/>
      <c r="F724" s="263"/>
      <c r="G724" s="263"/>
      <c r="H724" s="264"/>
      <c r="I724" s="277"/>
      <c r="J724" s="278"/>
      <c r="K724" s="279"/>
      <c r="L724" s="264"/>
      <c r="M724" s="280"/>
      <c r="N724" s="264"/>
      <c r="O724" s="263"/>
      <c r="P724" s="280"/>
      <c r="Q724" s="263"/>
      <c r="R724" s="290"/>
      <c r="S724" s="262"/>
      <c r="T724" s="291"/>
      <c r="U724" s="264"/>
      <c r="V724" s="292"/>
      <c r="W724" s="292"/>
      <c r="X724" s="280"/>
      <c r="Y724" s="298"/>
    </row>
    <row r="725" spans="1:25" ht="17.25" customHeight="1">
      <c r="A725" s="261"/>
      <c r="B725" s="1226"/>
      <c r="C725" s="1227"/>
      <c r="D725" s="575"/>
      <c r="E725" s="570"/>
      <c r="F725" s="263"/>
      <c r="G725" s="263"/>
      <c r="H725" s="264"/>
      <c r="I725" s="277"/>
      <c r="J725" s="278"/>
      <c r="K725" s="279"/>
      <c r="L725" s="264"/>
      <c r="M725" s="280"/>
      <c r="N725" s="264"/>
      <c r="O725" s="263"/>
      <c r="P725" s="280"/>
      <c r="Q725" s="263"/>
      <c r="R725" s="290"/>
      <c r="S725" s="262"/>
      <c r="T725" s="291"/>
      <c r="U725" s="264"/>
      <c r="V725" s="292"/>
      <c r="W725" s="292"/>
      <c r="X725" s="280"/>
      <c r="Y725" s="298"/>
    </row>
    <row r="726" spans="1:25" ht="17.25" customHeight="1">
      <c r="A726" s="261"/>
      <c r="B726" s="1226"/>
      <c r="C726" s="1227"/>
      <c r="D726" s="575"/>
      <c r="E726" s="570"/>
      <c r="F726" s="263"/>
      <c r="G726" s="263"/>
      <c r="H726" s="264"/>
      <c r="I726" s="277"/>
      <c r="J726" s="278"/>
      <c r="K726" s="279"/>
      <c r="L726" s="264"/>
      <c r="M726" s="280"/>
      <c r="N726" s="264"/>
      <c r="O726" s="263"/>
      <c r="P726" s="280"/>
      <c r="Q726" s="263"/>
      <c r="R726" s="290"/>
      <c r="S726" s="262"/>
      <c r="T726" s="291"/>
      <c r="U726" s="264"/>
      <c r="V726" s="292"/>
      <c r="W726" s="292"/>
      <c r="X726" s="280"/>
      <c r="Y726" s="298"/>
    </row>
    <row r="727" spans="1:25" ht="17.25" customHeight="1">
      <c r="A727" s="261"/>
      <c r="B727" s="1226"/>
      <c r="C727" s="1227"/>
      <c r="D727" s="575"/>
      <c r="E727" s="570"/>
      <c r="F727" s="263"/>
      <c r="G727" s="263"/>
      <c r="H727" s="264"/>
      <c r="I727" s="277"/>
      <c r="J727" s="278"/>
      <c r="K727" s="279"/>
      <c r="L727" s="264"/>
      <c r="M727" s="280"/>
      <c r="N727" s="264"/>
      <c r="O727" s="263"/>
      <c r="P727" s="280"/>
      <c r="Q727" s="263"/>
      <c r="R727" s="290"/>
      <c r="S727" s="262"/>
      <c r="T727" s="291"/>
      <c r="U727" s="264"/>
      <c r="V727" s="292"/>
      <c r="W727" s="292"/>
      <c r="X727" s="280"/>
      <c r="Y727" s="298"/>
    </row>
    <row r="728" spans="1:25" ht="17.25" customHeight="1">
      <c r="A728" s="261"/>
      <c r="B728" s="1226"/>
      <c r="C728" s="1227"/>
      <c r="D728" s="575"/>
      <c r="E728" s="570"/>
      <c r="F728" s="263"/>
      <c r="G728" s="263"/>
      <c r="H728" s="264"/>
      <c r="I728" s="277"/>
      <c r="J728" s="278"/>
      <c r="K728" s="279"/>
      <c r="L728" s="264"/>
      <c r="M728" s="280"/>
      <c r="N728" s="264"/>
      <c r="O728" s="263"/>
      <c r="P728" s="280"/>
      <c r="Q728" s="263"/>
      <c r="R728" s="290"/>
      <c r="S728" s="262"/>
      <c r="T728" s="291"/>
      <c r="U728" s="264"/>
      <c r="V728" s="292"/>
      <c r="W728" s="292"/>
      <c r="X728" s="280"/>
      <c r="Y728" s="298"/>
    </row>
    <row r="729" spans="1:25" ht="17.25" customHeight="1">
      <c r="A729" s="261"/>
      <c r="B729" s="1226"/>
      <c r="C729" s="1227"/>
      <c r="D729" s="575"/>
      <c r="E729" s="570"/>
      <c r="F729" s="263"/>
      <c r="G729" s="263"/>
      <c r="H729" s="264"/>
      <c r="I729" s="277"/>
      <c r="J729" s="278"/>
      <c r="K729" s="279"/>
      <c r="L729" s="264"/>
      <c r="M729" s="280"/>
      <c r="N729" s="264"/>
      <c r="O729" s="263"/>
      <c r="P729" s="280"/>
      <c r="Q729" s="263"/>
      <c r="R729" s="290"/>
      <c r="S729" s="262"/>
      <c r="T729" s="291"/>
      <c r="U729" s="264"/>
      <c r="V729" s="292"/>
      <c r="W729" s="292"/>
      <c r="X729" s="280"/>
      <c r="Y729" s="298"/>
    </row>
    <row r="730" spans="1:25" ht="17.25" customHeight="1">
      <c r="A730" s="261"/>
      <c r="B730" s="1226"/>
      <c r="C730" s="1227"/>
      <c r="D730" s="575"/>
      <c r="E730" s="570"/>
      <c r="F730" s="263"/>
      <c r="G730" s="263"/>
      <c r="H730" s="264"/>
      <c r="I730" s="277"/>
      <c r="J730" s="278"/>
      <c r="K730" s="279"/>
      <c r="L730" s="264"/>
      <c r="M730" s="280"/>
      <c r="N730" s="264"/>
      <c r="O730" s="263"/>
      <c r="P730" s="280"/>
      <c r="Q730" s="263"/>
      <c r="R730" s="290"/>
      <c r="S730" s="262"/>
      <c r="T730" s="291"/>
      <c r="U730" s="264"/>
      <c r="V730" s="292"/>
      <c r="W730" s="292"/>
      <c r="X730" s="280"/>
      <c r="Y730" s="298"/>
    </row>
    <row r="731" spans="1:25" ht="17.25" customHeight="1">
      <c r="A731" s="261"/>
      <c r="B731" s="1226"/>
      <c r="C731" s="1227"/>
      <c r="D731" s="575"/>
      <c r="E731" s="570"/>
      <c r="F731" s="263"/>
      <c r="G731" s="263"/>
      <c r="H731" s="264"/>
      <c r="I731" s="277"/>
      <c r="J731" s="278"/>
      <c r="K731" s="279"/>
      <c r="L731" s="264"/>
      <c r="M731" s="280"/>
      <c r="N731" s="264"/>
      <c r="O731" s="263"/>
      <c r="P731" s="280"/>
      <c r="Q731" s="263"/>
      <c r="R731" s="290"/>
      <c r="S731" s="262"/>
      <c r="T731" s="291"/>
      <c r="U731" s="264"/>
      <c r="V731" s="292"/>
      <c r="W731" s="292"/>
      <c r="X731" s="280"/>
      <c r="Y731" s="298"/>
    </row>
    <row r="732" spans="1:25" ht="17.25" customHeight="1">
      <c r="A732" s="261"/>
      <c r="B732" s="1226"/>
      <c r="C732" s="1227"/>
      <c r="D732" s="575"/>
      <c r="E732" s="570"/>
      <c r="F732" s="263"/>
      <c r="G732" s="263"/>
      <c r="H732" s="264"/>
      <c r="I732" s="277"/>
      <c r="J732" s="278"/>
      <c r="K732" s="279"/>
      <c r="L732" s="264"/>
      <c r="M732" s="280"/>
      <c r="N732" s="264"/>
      <c r="O732" s="263"/>
      <c r="P732" s="280"/>
      <c r="Q732" s="263"/>
      <c r="R732" s="290"/>
      <c r="S732" s="262"/>
      <c r="T732" s="291"/>
      <c r="U732" s="264"/>
      <c r="V732" s="292"/>
      <c r="W732" s="292"/>
      <c r="X732" s="280"/>
      <c r="Y732" s="298"/>
    </row>
    <row r="733" spans="1:25" ht="17.25" customHeight="1">
      <c r="A733" s="261"/>
      <c r="B733" s="1226"/>
      <c r="C733" s="1227"/>
      <c r="D733" s="575"/>
      <c r="E733" s="570"/>
      <c r="F733" s="263"/>
      <c r="G733" s="263"/>
      <c r="H733" s="264"/>
      <c r="I733" s="277"/>
      <c r="J733" s="278"/>
      <c r="K733" s="279"/>
      <c r="L733" s="264"/>
      <c r="M733" s="280"/>
      <c r="N733" s="264"/>
      <c r="O733" s="263"/>
      <c r="P733" s="280"/>
      <c r="Q733" s="263"/>
      <c r="R733" s="290"/>
      <c r="S733" s="262"/>
      <c r="T733" s="291"/>
      <c r="U733" s="264"/>
      <c r="V733" s="292"/>
      <c r="W733" s="292"/>
      <c r="X733" s="280"/>
      <c r="Y733" s="298"/>
    </row>
    <row r="734" spans="1:25" ht="17.25" customHeight="1">
      <c r="A734" s="261"/>
      <c r="B734" s="1230"/>
      <c r="C734" s="1231"/>
      <c r="D734" s="575"/>
      <c r="E734" s="570"/>
      <c r="F734" s="263"/>
      <c r="G734" s="263"/>
      <c r="H734" s="264"/>
      <c r="I734" s="277"/>
      <c r="J734" s="278"/>
      <c r="K734" s="279"/>
      <c r="L734" s="264"/>
      <c r="M734" s="280"/>
      <c r="N734" s="264"/>
      <c r="O734" s="263"/>
      <c r="P734" s="280"/>
      <c r="Q734" s="263"/>
      <c r="R734" s="290"/>
      <c r="S734" s="262"/>
      <c r="T734" s="291"/>
      <c r="U734" s="264"/>
      <c r="V734" s="292"/>
      <c r="W734" s="292"/>
      <c r="X734" s="316"/>
      <c r="Y734" s="298"/>
    </row>
    <row r="735" spans="1:25" ht="17.25" customHeight="1">
      <c r="A735" s="261"/>
      <c r="B735" s="1230"/>
      <c r="C735" s="1231"/>
      <c r="D735" s="575"/>
      <c r="E735" s="570"/>
      <c r="F735" s="263"/>
      <c r="G735" s="263"/>
      <c r="H735" s="264"/>
      <c r="I735" s="277"/>
      <c r="J735" s="278"/>
      <c r="K735" s="279"/>
      <c r="L735" s="264"/>
      <c r="M735" s="280"/>
      <c r="N735" s="264"/>
      <c r="O735" s="263"/>
      <c r="P735" s="280"/>
      <c r="Q735" s="263"/>
      <c r="R735" s="290"/>
      <c r="S735" s="262"/>
      <c r="T735" s="291"/>
      <c r="U735" s="264"/>
      <c r="V735" s="292"/>
      <c r="W735" s="292"/>
      <c r="X735" s="316"/>
      <c r="Y735" s="298"/>
    </row>
    <row r="736" spans="1:25" ht="12.75" customHeight="1">
      <c r="A736" s="301"/>
      <c r="B736" s="1232"/>
      <c r="C736" s="1233"/>
      <c r="D736" s="576"/>
      <c r="E736" s="577"/>
      <c r="F736" s="303"/>
      <c r="G736" s="303"/>
      <c r="H736" s="304"/>
      <c r="I736" s="307"/>
      <c r="J736" s="308"/>
      <c r="K736" s="309"/>
      <c r="L736" s="304"/>
      <c r="M736" s="304"/>
      <c r="N736" s="304"/>
      <c r="O736" s="303"/>
      <c r="P736" s="310"/>
      <c r="Q736" s="304"/>
      <c r="R736" s="310"/>
      <c r="S736" s="302"/>
      <c r="T736" s="307"/>
      <c r="U736" s="304"/>
      <c r="V736" s="287"/>
      <c r="W736" s="287"/>
      <c r="X736" s="308"/>
      <c r="Y736" s="319"/>
    </row>
    <row r="737" spans="1:25" ht="15">
      <c r="A737" s="305"/>
      <c r="B737" s="1234"/>
      <c r="C737" s="1234"/>
      <c r="D737" s="305"/>
      <c r="E737" s="305"/>
      <c r="F737" s="305"/>
      <c r="G737" s="305"/>
      <c r="H737" s="306"/>
      <c r="I737" s="311"/>
      <c r="J737" s="312"/>
      <c r="K737" s="313"/>
      <c r="L737" s="306"/>
      <c r="M737" s="306"/>
      <c r="N737" s="306"/>
      <c r="O737" s="305"/>
      <c r="P737" s="314"/>
      <c r="Q737" s="306"/>
      <c r="R737" s="314"/>
      <c r="S737" s="317"/>
      <c r="T737" s="311"/>
      <c r="U737" s="312"/>
      <c r="V737" s="318"/>
      <c r="W737" s="318"/>
      <c r="X737" s="306"/>
      <c r="Y737" s="306"/>
    </row>
    <row r="738" spans="1:25" ht="15.95" customHeight="1">
      <c r="A738" s="244"/>
      <c r="B738" s="243"/>
      <c r="C738" s="244"/>
      <c r="D738" s="243"/>
      <c r="E738" s="243"/>
      <c r="F738" s="243"/>
      <c r="G738" s="243"/>
      <c r="H738" s="244"/>
      <c r="I738" s="265"/>
      <c r="J738" s="244"/>
      <c r="K738" s="244"/>
      <c r="L738" s="244"/>
      <c r="M738" s="244"/>
      <c r="N738" s="244"/>
      <c r="O738" s="244"/>
      <c r="P738" s="244"/>
      <c r="Q738" s="244"/>
      <c r="R738" s="244"/>
      <c r="S738" s="281"/>
      <c r="T738" s="265"/>
      <c r="U738" s="244"/>
      <c r="V738" s="244"/>
      <c r="W738" s="244"/>
      <c r="X738" s="244"/>
      <c r="Y738" s="244"/>
    </row>
    <row r="739" spans="1:25" ht="15.95" customHeight="1">
      <c r="A739" s="244"/>
      <c r="B739" s="243"/>
      <c r="C739" s="244"/>
      <c r="D739" s="243"/>
      <c r="E739" s="243"/>
      <c r="F739" s="243"/>
      <c r="G739" s="243"/>
      <c r="H739" s="244"/>
      <c r="I739" s="265"/>
      <c r="J739" s="244"/>
      <c r="K739" s="244"/>
      <c r="L739" s="244"/>
      <c r="M739" s="244"/>
      <c r="N739" s="244"/>
      <c r="O739" s="244"/>
      <c r="P739" s="244"/>
      <c r="Q739" s="244"/>
      <c r="R739" s="244"/>
      <c r="S739" s="281"/>
      <c r="T739" s="265"/>
      <c r="U739" s="244"/>
      <c r="V739" s="244"/>
      <c r="W739" s="244"/>
      <c r="X739" s="244"/>
      <c r="Y739" s="244"/>
    </row>
    <row r="740" spans="1:25" ht="18" customHeight="1">
      <c r="A740" s="244"/>
      <c r="B740" s="243"/>
      <c r="C740" s="244"/>
      <c r="D740" s="243"/>
      <c r="E740" s="243"/>
      <c r="F740" s="243"/>
      <c r="G740" s="243"/>
      <c r="H740" s="244"/>
      <c r="I740" s="265"/>
      <c r="J740" s="244"/>
      <c r="K740" s="244"/>
      <c r="L740" s="244"/>
      <c r="M740" s="244"/>
      <c r="N740" s="244"/>
      <c r="O740" s="244"/>
      <c r="P740" s="244"/>
      <c r="Q740" s="244"/>
      <c r="R740" s="244"/>
      <c r="S740" s="281"/>
      <c r="T740" s="265"/>
      <c r="U740" s="244"/>
      <c r="V740" s="244"/>
      <c r="W740" s="244"/>
      <c r="X740" s="244"/>
      <c r="Y740" s="244"/>
    </row>
    <row r="741" spans="1:25" ht="15.75">
      <c r="A741" s="241"/>
      <c r="B741" s="242"/>
      <c r="C741" s="241"/>
      <c r="D741" s="242"/>
      <c r="E741" s="242"/>
      <c r="F741" s="242"/>
      <c r="G741" s="242"/>
      <c r="H741" s="241"/>
      <c r="I741" s="315"/>
      <c r="J741" s="241"/>
      <c r="K741" s="241"/>
      <c r="L741" s="241"/>
      <c r="M741" s="241"/>
      <c r="N741" s="241"/>
      <c r="O741" s="241"/>
      <c r="P741" s="241"/>
      <c r="Q741" s="241"/>
      <c r="R741" s="241"/>
      <c r="S741" s="245"/>
      <c r="T741" s="315"/>
      <c r="V741" s="242" t="s">
        <v>206</v>
      </c>
      <c r="W741" s="241"/>
      <c r="X741" s="241"/>
      <c r="Y741" s="241"/>
    </row>
    <row r="742" spans="1:25" ht="15.75">
      <c r="A742" s="241"/>
      <c r="B742" s="242"/>
      <c r="C742" s="241"/>
      <c r="D742" s="242"/>
      <c r="E742" s="242" t="s">
        <v>207</v>
      </c>
      <c r="F742" s="242"/>
      <c r="G742" s="242"/>
      <c r="H742" s="241"/>
      <c r="I742" s="315"/>
      <c r="J742" s="241"/>
      <c r="K742" s="241"/>
      <c r="L742" s="241"/>
      <c r="M742" s="241"/>
      <c r="N742" s="241"/>
      <c r="O742" s="241"/>
      <c r="P742" s="241"/>
      <c r="Q742" s="241"/>
      <c r="R742" s="241"/>
      <c r="S742" s="245"/>
      <c r="T742" s="315"/>
      <c r="V742" s="241"/>
      <c r="W742" s="241"/>
      <c r="X742" s="241"/>
      <c r="Y742" s="241"/>
    </row>
    <row r="743" spans="1:25" ht="15.75">
      <c r="A743" s="241"/>
      <c r="B743" s="242"/>
      <c r="C743" s="241"/>
      <c r="D743" s="1209" t="s">
        <v>208</v>
      </c>
      <c r="E743" s="1209"/>
      <c r="F743" s="1209"/>
      <c r="G743" s="1209"/>
      <c r="H743" s="241"/>
      <c r="I743" s="315"/>
      <c r="J743" s="241"/>
      <c r="K743" s="241"/>
      <c r="L743" s="241"/>
      <c r="M743" s="241"/>
      <c r="N743" s="241"/>
      <c r="O743" s="241"/>
      <c r="P743" s="241"/>
      <c r="Q743" s="241"/>
      <c r="R743" s="241"/>
      <c r="S743" s="245"/>
      <c r="T743" s="315"/>
      <c r="V743" s="36" t="s">
        <v>118</v>
      </c>
      <c r="W743" s="241"/>
      <c r="X743" s="241"/>
      <c r="Y743" s="241"/>
    </row>
    <row r="744" spans="1:25" ht="15.75">
      <c r="A744" s="241"/>
      <c r="B744" s="242"/>
      <c r="C744" s="241"/>
      <c r="D744" s="1209" t="s">
        <v>209</v>
      </c>
      <c r="E744" s="1209"/>
      <c r="F744" s="1209"/>
      <c r="G744" s="1209"/>
      <c r="H744" s="241"/>
      <c r="I744" s="315"/>
      <c r="J744" s="241"/>
      <c r="K744" s="241"/>
      <c r="L744" s="241"/>
      <c r="M744" s="241"/>
      <c r="N744" s="241"/>
      <c r="O744" s="241"/>
      <c r="P744" s="241"/>
      <c r="Q744" s="241"/>
      <c r="R744" s="241"/>
      <c r="S744" s="245"/>
      <c r="T744" s="315"/>
      <c r="V744" s="36"/>
      <c r="W744" s="241"/>
      <c r="X744" s="241"/>
      <c r="Y744" s="241"/>
    </row>
    <row r="745" spans="1:25" ht="15.75">
      <c r="A745" s="241"/>
      <c r="B745" s="242"/>
      <c r="C745" s="241"/>
      <c r="D745" s="242"/>
      <c r="E745" s="242"/>
      <c r="F745" s="242"/>
      <c r="G745" s="242"/>
      <c r="H745" s="241"/>
      <c r="I745" s="315"/>
      <c r="J745" s="241"/>
      <c r="K745" s="241"/>
      <c r="L745" s="241"/>
      <c r="M745" s="241"/>
      <c r="N745" s="241"/>
      <c r="O745" s="241"/>
      <c r="P745" s="241"/>
      <c r="Q745" s="241"/>
      <c r="R745" s="241"/>
      <c r="S745" s="245"/>
      <c r="T745" s="315"/>
      <c r="V745" s="36"/>
      <c r="W745" s="241"/>
      <c r="X745" s="241"/>
      <c r="Y745" s="241"/>
    </row>
    <row r="746" spans="1:25" ht="15.75">
      <c r="A746" s="241"/>
      <c r="B746" s="242"/>
      <c r="C746" s="241"/>
      <c r="D746" s="242"/>
      <c r="E746" s="242"/>
      <c r="F746" s="242"/>
      <c r="G746" s="242"/>
      <c r="H746" s="241"/>
      <c r="I746" s="315"/>
      <c r="J746" s="241"/>
      <c r="K746" s="241"/>
      <c r="L746" s="241"/>
      <c r="M746" s="241"/>
      <c r="N746" s="241"/>
      <c r="O746" s="241"/>
      <c r="P746" s="241"/>
      <c r="Q746" s="241"/>
      <c r="R746" s="241"/>
      <c r="S746" s="245"/>
      <c r="T746" s="315"/>
      <c r="V746" s="36"/>
      <c r="W746" s="241"/>
      <c r="X746" s="241"/>
      <c r="Y746" s="241"/>
    </row>
    <row r="747" spans="1:25" ht="15.75">
      <c r="A747" s="241"/>
      <c r="B747" s="242"/>
      <c r="C747" s="241"/>
      <c r="D747" s="242"/>
      <c r="E747" s="242"/>
      <c r="F747" s="242"/>
      <c r="G747" s="242"/>
      <c r="H747" s="241"/>
      <c r="I747" s="315"/>
      <c r="J747" s="241"/>
      <c r="K747" s="241"/>
      <c r="L747" s="241"/>
      <c r="M747" s="241"/>
      <c r="N747" s="241"/>
      <c r="O747" s="241"/>
      <c r="P747" s="241"/>
      <c r="Q747" s="241"/>
      <c r="R747" s="241"/>
      <c r="S747" s="245"/>
      <c r="T747" s="315"/>
      <c r="V747" s="37" t="s">
        <v>210</v>
      </c>
      <c r="W747" s="241"/>
      <c r="X747" s="241"/>
      <c r="Y747" s="241"/>
    </row>
    <row r="748" spans="1:25" ht="15.75">
      <c r="A748" s="241"/>
      <c r="B748" s="242"/>
      <c r="C748" s="241"/>
      <c r="D748" s="1228" t="s">
        <v>33</v>
      </c>
      <c r="E748" s="1228"/>
      <c r="F748" s="1228"/>
      <c r="G748" s="1228"/>
      <c r="H748" s="241"/>
      <c r="I748" s="315"/>
      <c r="J748" s="241"/>
      <c r="K748" s="241"/>
      <c r="L748" s="241"/>
      <c r="M748" s="241"/>
      <c r="N748" s="241"/>
      <c r="O748" s="241"/>
      <c r="P748" s="241"/>
      <c r="Q748" s="241"/>
      <c r="R748" s="241"/>
      <c r="S748" s="245"/>
      <c r="T748" s="315"/>
      <c r="V748" s="36" t="s">
        <v>211</v>
      </c>
      <c r="W748" s="241"/>
      <c r="X748" s="241"/>
      <c r="Y748" s="241"/>
    </row>
    <row r="749" spans="1:25" ht="15.75">
      <c r="A749" s="241"/>
      <c r="B749" s="242"/>
      <c r="C749" s="241"/>
      <c r="D749" s="1209" t="s">
        <v>34</v>
      </c>
      <c r="E749" s="1209"/>
      <c r="F749" s="1209"/>
      <c r="G749" s="1209"/>
      <c r="H749" s="241"/>
      <c r="I749" s="315"/>
      <c r="J749" s="241"/>
      <c r="K749" s="241"/>
      <c r="L749" s="241"/>
      <c r="M749" s="241"/>
      <c r="N749" s="241"/>
      <c r="O749" s="241"/>
      <c r="P749" s="241"/>
      <c r="Q749" s="241"/>
      <c r="R749" s="241"/>
      <c r="S749" s="245"/>
      <c r="T749" s="315"/>
      <c r="V749"/>
      <c r="W749" s="241"/>
      <c r="X749" s="241"/>
      <c r="Y749" s="241"/>
    </row>
    <row r="750" spans="1:25" ht="15.75">
      <c r="A750" s="241"/>
      <c r="B750" s="242"/>
      <c r="C750" s="241"/>
      <c r="H750" s="241"/>
      <c r="I750" s="315"/>
      <c r="J750" s="241"/>
      <c r="K750" s="241"/>
      <c r="L750" s="241"/>
      <c r="M750" s="241"/>
      <c r="N750" s="241"/>
      <c r="O750" s="241"/>
      <c r="P750" s="241"/>
      <c r="Q750" s="241"/>
      <c r="R750" s="241"/>
      <c r="S750" s="245"/>
      <c r="T750" s="315"/>
      <c r="U750" s="241"/>
      <c r="V750" s="241"/>
      <c r="W750" s="241"/>
      <c r="X750" s="241"/>
      <c r="Y750" s="241"/>
    </row>
  </sheetData>
  <mergeCells count="798">
    <mergeCell ref="B606:C606"/>
    <mergeCell ref="B607:C607"/>
    <mergeCell ref="B608:C608"/>
    <mergeCell ref="B609:C609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15:C615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610:C610"/>
    <mergeCell ref="B611:C611"/>
    <mergeCell ref="B588:C588"/>
    <mergeCell ref="B589:C589"/>
    <mergeCell ref="B590:C590"/>
    <mergeCell ref="B591:C591"/>
    <mergeCell ref="B612:C612"/>
    <mergeCell ref="B613:C613"/>
    <mergeCell ref="B614:C614"/>
    <mergeCell ref="B601:C601"/>
    <mergeCell ref="B602:C602"/>
    <mergeCell ref="B603:C603"/>
    <mergeCell ref="B604:C604"/>
    <mergeCell ref="B605:C605"/>
    <mergeCell ref="B569:C569"/>
    <mergeCell ref="B570:C570"/>
    <mergeCell ref="B571:C571"/>
    <mergeCell ref="B572:C572"/>
    <mergeCell ref="B573:C573"/>
    <mergeCell ref="B574:C574"/>
    <mergeCell ref="B429:C429"/>
    <mergeCell ref="B430:C430"/>
    <mergeCell ref="B431:C431"/>
    <mergeCell ref="B432:C432"/>
    <mergeCell ref="B488:C488"/>
    <mergeCell ref="B489:C489"/>
    <mergeCell ref="B490:C490"/>
    <mergeCell ref="B491:C491"/>
    <mergeCell ref="B492:C492"/>
    <mergeCell ref="B493:C493"/>
    <mergeCell ref="B433:C433"/>
    <mergeCell ref="B434:C434"/>
    <mergeCell ref="B435:C435"/>
    <mergeCell ref="B436:C436"/>
    <mergeCell ref="B437:C437"/>
    <mergeCell ref="B438:C438"/>
    <mergeCell ref="B445:C445"/>
    <mergeCell ref="B446:C446"/>
    <mergeCell ref="B241:C241"/>
    <mergeCell ref="B242:C242"/>
    <mergeCell ref="B243:C243"/>
    <mergeCell ref="B412:C412"/>
    <mergeCell ref="B371:C371"/>
    <mergeCell ref="B372:C372"/>
    <mergeCell ref="B373:C373"/>
    <mergeCell ref="B374:C374"/>
    <mergeCell ref="B375:C375"/>
    <mergeCell ref="B376:C376"/>
    <mergeCell ref="B377:C377"/>
    <mergeCell ref="B358:C358"/>
    <mergeCell ref="B359:C359"/>
    <mergeCell ref="B360:C360"/>
    <mergeCell ref="B343:C343"/>
    <mergeCell ref="B344:C344"/>
    <mergeCell ref="B345:C345"/>
    <mergeCell ref="B346:C346"/>
    <mergeCell ref="B347:C347"/>
    <mergeCell ref="B370:C370"/>
    <mergeCell ref="B361:C361"/>
    <mergeCell ref="B362:C362"/>
    <mergeCell ref="B363:C363"/>
    <mergeCell ref="B364:C364"/>
    <mergeCell ref="B230:C230"/>
    <mergeCell ref="B231:C231"/>
    <mergeCell ref="B232:C232"/>
    <mergeCell ref="B233:C233"/>
    <mergeCell ref="B234:C234"/>
    <mergeCell ref="B237:C237"/>
    <mergeCell ref="B238:C238"/>
    <mergeCell ref="B239:C239"/>
    <mergeCell ref="B240:C240"/>
    <mergeCell ref="B235:C235"/>
    <mergeCell ref="B201:C201"/>
    <mergeCell ref="B202:C202"/>
    <mergeCell ref="B203:C203"/>
    <mergeCell ref="B204:C204"/>
    <mergeCell ref="B205:C205"/>
    <mergeCell ref="B206:C206"/>
    <mergeCell ref="B225:C225"/>
    <mergeCell ref="B226:C226"/>
    <mergeCell ref="B227:C227"/>
    <mergeCell ref="B209:C209"/>
    <mergeCell ref="B210:C210"/>
    <mergeCell ref="B211:C211"/>
    <mergeCell ref="B212:C212"/>
    <mergeCell ref="B213:C213"/>
    <mergeCell ref="B365:C365"/>
    <mergeCell ref="B366:C366"/>
    <mergeCell ref="B367:C367"/>
    <mergeCell ref="B368:C368"/>
    <mergeCell ref="B369:C369"/>
    <mergeCell ref="B352:C352"/>
    <mergeCell ref="B353:C353"/>
    <mergeCell ref="B354:C354"/>
    <mergeCell ref="B355:C355"/>
    <mergeCell ref="B356:C356"/>
    <mergeCell ref="B357:C357"/>
    <mergeCell ref="B228:C228"/>
    <mergeCell ref="B229:C229"/>
    <mergeCell ref="B349:C349"/>
    <mergeCell ref="B350:C350"/>
    <mergeCell ref="B351:C351"/>
    <mergeCell ref="X502:Y502"/>
    <mergeCell ref="D44:E44"/>
    <mergeCell ref="D59:E59"/>
    <mergeCell ref="D60:E60"/>
    <mergeCell ref="D72:E72"/>
    <mergeCell ref="D73:E73"/>
    <mergeCell ref="D74:E74"/>
    <mergeCell ref="D75:E75"/>
    <mergeCell ref="D46:E46"/>
    <mergeCell ref="D47:E47"/>
    <mergeCell ref="D48:E48"/>
    <mergeCell ref="D49:E49"/>
    <mergeCell ref="D50:E50"/>
    <mergeCell ref="D51:E51"/>
    <mergeCell ref="D52:E52"/>
    <mergeCell ref="D53:E53"/>
    <mergeCell ref="B44:C44"/>
    <mergeCell ref="B45:C45"/>
    <mergeCell ref="B61:C61"/>
    <mergeCell ref="B71:C71"/>
    <mergeCell ref="B207:C207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B38:C38"/>
    <mergeCell ref="B39:C39"/>
    <mergeCell ref="B40:C40"/>
    <mergeCell ref="B41:C41"/>
    <mergeCell ref="B42:C42"/>
    <mergeCell ref="B43:C43"/>
    <mergeCell ref="B58:C58"/>
    <mergeCell ref="B59:C59"/>
    <mergeCell ref="B60:C60"/>
    <mergeCell ref="B72:C72"/>
    <mergeCell ref="B73:C73"/>
    <mergeCell ref="B80:C80"/>
    <mergeCell ref="B81:C81"/>
    <mergeCell ref="D25:E25"/>
    <mergeCell ref="D27:E27"/>
    <mergeCell ref="D28:E28"/>
    <mergeCell ref="D29:E29"/>
    <mergeCell ref="D30:E30"/>
    <mergeCell ref="D31:E31"/>
    <mergeCell ref="D32:E32"/>
    <mergeCell ref="D33:E33"/>
    <mergeCell ref="D34:E34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B9:C9"/>
    <mergeCell ref="L9:M9"/>
    <mergeCell ref="B10:C10"/>
    <mergeCell ref="B11:C11"/>
    <mergeCell ref="B12:C12"/>
    <mergeCell ref="A13:Y13"/>
    <mergeCell ref="D2:F2"/>
    <mergeCell ref="D3:F3"/>
    <mergeCell ref="A4:Y4"/>
    <mergeCell ref="B5:Y5"/>
    <mergeCell ref="B8:C8"/>
    <mergeCell ref="E8:F8"/>
    <mergeCell ref="G8:H8"/>
    <mergeCell ref="L8:M8"/>
    <mergeCell ref="Q8:R8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82:C82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104:C104"/>
    <mergeCell ref="B105:C105"/>
    <mergeCell ref="B106:C106"/>
    <mergeCell ref="B107:C107"/>
    <mergeCell ref="B108:C108"/>
    <mergeCell ref="B109:C109"/>
    <mergeCell ref="B98:C98"/>
    <mergeCell ref="B99:C99"/>
    <mergeCell ref="B100:C100"/>
    <mergeCell ref="B101:C101"/>
    <mergeCell ref="B102:C102"/>
    <mergeCell ref="B103:C103"/>
    <mergeCell ref="B116:C116"/>
    <mergeCell ref="B117:C117"/>
    <mergeCell ref="B118:C118"/>
    <mergeCell ref="B119:C119"/>
    <mergeCell ref="B120:C120"/>
    <mergeCell ref="B121:C121"/>
    <mergeCell ref="B110:C110"/>
    <mergeCell ref="B111:C111"/>
    <mergeCell ref="B112:C112"/>
    <mergeCell ref="B113:C113"/>
    <mergeCell ref="B114:C114"/>
    <mergeCell ref="B115:C115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40:C140"/>
    <mergeCell ref="B141:C141"/>
    <mergeCell ref="B143:C143"/>
    <mergeCell ref="B144:C144"/>
    <mergeCell ref="B145:C145"/>
    <mergeCell ref="B134:C134"/>
    <mergeCell ref="B135:C135"/>
    <mergeCell ref="B136:C136"/>
    <mergeCell ref="B137:C137"/>
    <mergeCell ref="B138:C138"/>
    <mergeCell ref="B139:C139"/>
    <mergeCell ref="B152:C152"/>
    <mergeCell ref="B153:C153"/>
    <mergeCell ref="B154:C154"/>
    <mergeCell ref="B155:C155"/>
    <mergeCell ref="B156:C156"/>
    <mergeCell ref="B157:C157"/>
    <mergeCell ref="B146:C146"/>
    <mergeCell ref="B147:C147"/>
    <mergeCell ref="B148:C148"/>
    <mergeCell ref="B149:C149"/>
    <mergeCell ref="B150:C150"/>
    <mergeCell ref="B151:C151"/>
    <mergeCell ref="B164:C164"/>
    <mergeCell ref="B165:C165"/>
    <mergeCell ref="B166:C166"/>
    <mergeCell ref="B167:C167"/>
    <mergeCell ref="B168:C168"/>
    <mergeCell ref="B169:C169"/>
    <mergeCell ref="B158:C158"/>
    <mergeCell ref="B159:C159"/>
    <mergeCell ref="B160:C160"/>
    <mergeCell ref="B161:C161"/>
    <mergeCell ref="B162:C162"/>
    <mergeCell ref="B163:C163"/>
    <mergeCell ref="B176:C176"/>
    <mergeCell ref="B177:C177"/>
    <mergeCell ref="B178:C178"/>
    <mergeCell ref="B179:C179"/>
    <mergeCell ref="B180:C180"/>
    <mergeCell ref="B181:C181"/>
    <mergeCell ref="B170:C170"/>
    <mergeCell ref="B171:C171"/>
    <mergeCell ref="B172:C172"/>
    <mergeCell ref="B173:C173"/>
    <mergeCell ref="B174:C174"/>
    <mergeCell ref="B175:C175"/>
    <mergeCell ref="B188:C188"/>
    <mergeCell ref="B189:C189"/>
    <mergeCell ref="B190:C190"/>
    <mergeCell ref="B191:C191"/>
    <mergeCell ref="B192:C192"/>
    <mergeCell ref="B196:C196"/>
    <mergeCell ref="B182:C182"/>
    <mergeCell ref="B183:C183"/>
    <mergeCell ref="B184:C184"/>
    <mergeCell ref="B185:C185"/>
    <mergeCell ref="B186:C186"/>
    <mergeCell ref="B187:C187"/>
    <mergeCell ref="B193:C193"/>
    <mergeCell ref="B194:C194"/>
    <mergeCell ref="B195:C195"/>
    <mergeCell ref="B245:C245"/>
    <mergeCell ref="B246:C246"/>
    <mergeCell ref="B247:C247"/>
    <mergeCell ref="B248:C248"/>
    <mergeCell ref="B249:C249"/>
    <mergeCell ref="B250:C250"/>
    <mergeCell ref="B197:C197"/>
    <mergeCell ref="B198:C198"/>
    <mergeCell ref="B199:C199"/>
    <mergeCell ref="B200:C200"/>
    <mergeCell ref="B244:C244"/>
    <mergeCell ref="B236:C236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08:C208"/>
    <mergeCell ref="B257:C257"/>
    <mergeCell ref="B258:C258"/>
    <mergeCell ref="B259:C259"/>
    <mergeCell ref="B260:C260"/>
    <mergeCell ref="B261:C261"/>
    <mergeCell ref="B262:C262"/>
    <mergeCell ref="B251:C251"/>
    <mergeCell ref="B252:C252"/>
    <mergeCell ref="B253:C253"/>
    <mergeCell ref="B254:C254"/>
    <mergeCell ref="B255:C255"/>
    <mergeCell ref="B256:C256"/>
    <mergeCell ref="B269:C269"/>
    <mergeCell ref="B270:C270"/>
    <mergeCell ref="B271:C271"/>
    <mergeCell ref="B272:C272"/>
    <mergeCell ref="B273:C273"/>
    <mergeCell ref="B274:C274"/>
    <mergeCell ref="B263:C263"/>
    <mergeCell ref="B264:C264"/>
    <mergeCell ref="B265:C265"/>
    <mergeCell ref="B266:C266"/>
    <mergeCell ref="B267:C267"/>
    <mergeCell ref="B268:C268"/>
    <mergeCell ref="B281:C281"/>
    <mergeCell ref="B282:C282"/>
    <mergeCell ref="B283:C283"/>
    <mergeCell ref="B284:C284"/>
    <mergeCell ref="B285:C285"/>
    <mergeCell ref="B286:C286"/>
    <mergeCell ref="B275:C275"/>
    <mergeCell ref="B276:C276"/>
    <mergeCell ref="B277:C277"/>
    <mergeCell ref="B278:C278"/>
    <mergeCell ref="B279:C279"/>
    <mergeCell ref="B280:C280"/>
    <mergeCell ref="B293:C293"/>
    <mergeCell ref="B294:C294"/>
    <mergeCell ref="B295:C295"/>
    <mergeCell ref="B296:C296"/>
    <mergeCell ref="B297:C297"/>
    <mergeCell ref="B298:C298"/>
    <mergeCell ref="B287:C287"/>
    <mergeCell ref="B288:C288"/>
    <mergeCell ref="B289:C289"/>
    <mergeCell ref="B290:C290"/>
    <mergeCell ref="B291:C291"/>
    <mergeCell ref="B292:C292"/>
    <mergeCell ref="B305:C305"/>
    <mergeCell ref="B306:C306"/>
    <mergeCell ref="B307:C307"/>
    <mergeCell ref="B308:C308"/>
    <mergeCell ref="B309:C309"/>
    <mergeCell ref="B310:C310"/>
    <mergeCell ref="B299:C299"/>
    <mergeCell ref="B300:C300"/>
    <mergeCell ref="B301:C301"/>
    <mergeCell ref="B302:C302"/>
    <mergeCell ref="B303:C303"/>
    <mergeCell ref="B304:C304"/>
    <mergeCell ref="B317:C317"/>
    <mergeCell ref="B318:C318"/>
    <mergeCell ref="B319:C319"/>
    <mergeCell ref="B320:C320"/>
    <mergeCell ref="B321:C321"/>
    <mergeCell ref="B322:C322"/>
    <mergeCell ref="B311:C311"/>
    <mergeCell ref="B312:C312"/>
    <mergeCell ref="B313:C313"/>
    <mergeCell ref="B314:C314"/>
    <mergeCell ref="B315:C315"/>
    <mergeCell ref="B316:C316"/>
    <mergeCell ref="B329:C329"/>
    <mergeCell ref="B330:C330"/>
    <mergeCell ref="B331:C331"/>
    <mergeCell ref="B332:C332"/>
    <mergeCell ref="B333:C333"/>
    <mergeCell ref="B334:C334"/>
    <mergeCell ref="B323:C323"/>
    <mergeCell ref="B324:C324"/>
    <mergeCell ref="B325:C325"/>
    <mergeCell ref="B326:C326"/>
    <mergeCell ref="B327:C327"/>
    <mergeCell ref="B328:C328"/>
    <mergeCell ref="B379:C379"/>
    <mergeCell ref="B405:C405"/>
    <mergeCell ref="B335:C335"/>
    <mergeCell ref="B336:C336"/>
    <mergeCell ref="B337:C337"/>
    <mergeCell ref="B338:C338"/>
    <mergeCell ref="A378:Y378"/>
    <mergeCell ref="A404:Y404"/>
    <mergeCell ref="B380:C380"/>
    <mergeCell ref="B381:C381"/>
    <mergeCell ref="B382:C382"/>
    <mergeCell ref="B383:C383"/>
    <mergeCell ref="B384:C384"/>
    <mergeCell ref="B385:C385"/>
    <mergeCell ref="B399:C399"/>
    <mergeCell ref="B400:C400"/>
    <mergeCell ref="B401:C401"/>
    <mergeCell ref="B402:C402"/>
    <mergeCell ref="B403:C403"/>
    <mergeCell ref="B339:C339"/>
    <mergeCell ref="B340:C340"/>
    <mergeCell ref="B341:C341"/>
    <mergeCell ref="B342:C342"/>
    <mergeCell ref="B348:C348"/>
    <mergeCell ref="B406:C406"/>
    <mergeCell ref="B410:C410"/>
    <mergeCell ref="B411:C411"/>
    <mergeCell ref="B425:C425"/>
    <mergeCell ref="B428:C428"/>
    <mergeCell ref="A426:Y426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47:C447"/>
    <mergeCell ref="B448:C448"/>
    <mergeCell ref="B449:C449"/>
    <mergeCell ref="B450:C450"/>
    <mergeCell ref="B439:C439"/>
    <mergeCell ref="B440:C440"/>
    <mergeCell ref="B441:C441"/>
    <mergeCell ref="B442:C442"/>
    <mergeCell ref="B443:C443"/>
    <mergeCell ref="B444:C444"/>
    <mergeCell ref="B461:C461"/>
    <mergeCell ref="B462:C462"/>
    <mergeCell ref="B463:C463"/>
    <mergeCell ref="B464:C464"/>
    <mergeCell ref="B465:C465"/>
    <mergeCell ref="B466:C466"/>
    <mergeCell ref="B451:C451"/>
    <mergeCell ref="B452:C452"/>
    <mergeCell ref="B453:C453"/>
    <mergeCell ref="B454:C454"/>
    <mergeCell ref="B455:C455"/>
    <mergeCell ref="B460:C460"/>
    <mergeCell ref="B456:C456"/>
    <mergeCell ref="B457:C457"/>
    <mergeCell ref="B458:C458"/>
    <mergeCell ref="B459:C459"/>
    <mergeCell ref="B473:C473"/>
    <mergeCell ref="B474:C474"/>
    <mergeCell ref="B475:C475"/>
    <mergeCell ref="B476:C476"/>
    <mergeCell ref="B477:C477"/>
    <mergeCell ref="B478:C478"/>
    <mergeCell ref="B467:C467"/>
    <mergeCell ref="B468:C468"/>
    <mergeCell ref="B469:C469"/>
    <mergeCell ref="B470:C470"/>
    <mergeCell ref="B471:C471"/>
    <mergeCell ref="B472:C472"/>
    <mergeCell ref="B485:C485"/>
    <mergeCell ref="B486:C486"/>
    <mergeCell ref="B487:C487"/>
    <mergeCell ref="B495:C495"/>
    <mergeCell ref="B497:C497"/>
    <mergeCell ref="B479:C479"/>
    <mergeCell ref="B480:C480"/>
    <mergeCell ref="B481:C481"/>
    <mergeCell ref="B482:C482"/>
    <mergeCell ref="B483:C483"/>
    <mergeCell ref="B484:C484"/>
    <mergeCell ref="A496:Y496"/>
    <mergeCell ref="B494:C494"/>
    <mergeCell ref="B504:C504"/>
    <mergeCell ref="B505:C505"/>
    <mergeCell ref="B506:C506"/>
    <mergeCell ref="B507:C507"/>
    <mergeCell ref="B508:C508"/>
    <mergeCell ref="B509:C509"/>
    <mergeCell ref="B498:C498"/>
    <mergeCell ref="B499:C499"/>
    <mergeCell ref="B500:C500"/>
    <mergeCell ref="B501:C501"/>
    <mergeCell ref="B502:C502"/>
    <mergeCell ref="B503:C503"/>
    <mergeCell ref="B516:C516"/>
    <mergeCell ref="B517:C517"/>
    <mergeCell ref="B518:C518"/>
    <mergeCell ref="B519:C519"/>
    <mergeCell ref="B520:C520"/>
    <mergeCell ref="B521:C521"/>
    <mergeCell ref="B510:C510"/>
    <mergeCell ref="B511:C511"/>
    <mergeCell ref="B512:C512"/>
    <mergeCell ref="B513:C513"/>
    <mergeCell ref="B514:C514"/>
    <mergeCell ref="B515:C515"/>
    <mergeCell ref="B528:C528"/>
    <mergeCell ref="B529:C529"/>
    <mergeCell ref="B530:C530"/>
    <mergeCell ref="B531:C531"/>
    <mergeCell ref="B532:C532"/>
    <mergeCell ref="B533:C533"/>
    <mergeCell ref="B522:C522"/>
    <mergeCell ref="B523:C523"/>
    <mergeCell ref="B524:C524"/>
    <mergeCell ref="B525:C525"/>
    <mergeCell ref="B526:C526"/>
    <mergeCell ref="B527:C527"/>
    <mergeCell ref="B539:C539"/>
    <mergeCell ref="B540:C540"/>
    <mergeCell ref="B541:C541"/>
    <mergeCell ref="B542:C542"/>
    <mergeCell ref="B543:C543"/>
    <mergeCell ref="B544:C544"/>
    <mergeCell ref="B534:C534"/>
    <mergeCell ref="B535:C535"/>
    <mergeCell ref="B536:C536"/>
    <mergeCell ref="B537:C537"/>
    <mergeCell ref="B538:C538"/>
    <mergeCell ref="B545:C545"/>
    <mergeCell ref="B546:C546"/>
    <mergeCell ref="B547:C547"/>
    <mergeCell ref="B548:C548"/>
    <mergeCell ref="B549:C549"/>
    <mergeCell ref="B550:C550"/>
    <mergeCell ref="B556:C556"/>
    <mergeCell ref="B557:C557"/>
    <mergeCell ref="B558:C558"/>
    <mergeCell ref="B617:C617"/>
    <mergeCell ref="B618:C618"/>
    <mergeCell ref="B619:C619"/>
    <mergeCell ref="B620:C620"/>
    <mergeCell ref="B621:C621"/>
    <mergeCell ref="A616:Y616"/>
    <mergeCell ref="B551:C551"/>
    <mergeCell ref="B552:C552"/>
    <mergeCell ref="B553:C553"/>
    <mergeCell ref="B554:C554"/>
    <mergeCell ref="B555:C555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75:C575"/>
    <mergeCell ref="B576:C576"/>
    <mergeCell ref="B577:C577"/>
    <mergeCell ref="B578:C578"/>
    <mergeCell ref="B568:C568"/>
    <mergeCell ref="B628:C628"/>
    <mergeCell ref="B629:C629"/>
    <mergeCell ref="B630:C630"/>
    <mergeCell ref="B631:C631"/>
    <mergeCell ref="B632:C632"/>
    <mergeCell ref="B633:C633"/>
    <mergeCell ref="B622:C622"/>
    <mergeCell ref="B623:C623"/>
    <mergeCell ref="B624:C624"/>
    <mergeCell ref="B625:C625"/>
    <mergeCell ref="B626:C626"/>
    <mergeCell ref="B627:C627"/>
    <mergeCell ref="B639:C639"/>
    <mergeCell ref="B640:C640"/>
    <mergeCell ref="B641:C641"/>
    <mergeCell ref="B643:C643"/>
    <mergeCell ref="B634:C634"/>
    <mergeCell ref="B635:C635"/>
    <mergeCell ref="B636:C636"/>
    <mergeCell ref="B637:C637"/>
    <mergeCell ref="B638:C638"/>
    <mergeCell ref="A642:Y642"/>
    <mergeCell ref="B648:C648"/>
    <mergeCell ref="B649:C649"/>
    <mergeCell ref="B650:C650"/>
    <mergeCell ref="B651:C651"/>
    <mergeCell ref="B652:C652"/>
    <mergeCell ref="B653:C653"/>
    <mergeCell ref="B644:C644"/>
    <mergeCell ref="B645:C645"/>
    <mergeCell ref="B646:C646"/>
    <mergeCell ref="B647:C647"/>
    <mergeCell ref="B660:C660"/>
    <mergeCell ref="B661:C661"/>
    <mergeCell ref="B662:C662"/>
    <mergeCell ref="B663:C663"/>
    <mergeCell ref="B664:C664"/>
    <mergeCell ref="B665:C665"/>
    <mergeCell ref="B654:C654"/>
    <mergeCell ref="B655:C655"/>
    <mergeCell ref="B656:C656"/>
    <mergeCell ref="B657:C657"/>
    <mergeCell ref="B658:C658"/>
    <mergeCell ref="B659:C659"/>
    <mergeCell ref="B672:C672"/>
    <mergeCell ref="B673:C673"/>
    <mergeCell ref="B674:C674"/>
    <mergeCell ref="B675:C675"/>
    <mergeCell ref="B676:C676"/>
    <mergeCell ref="B677:C677"/>
    <mergeCell ref="B666:C666"/>
    <mergeCell ref="B667:C667"/>
    <mergeCell ref="B668:C668"/>
    <mergeCell ref="B669:C669"/>
    <mergeCell ref="B670:C670"/>
    <mergeCell ref="B671:C671"/>
    <mergeCell ref="B683:C683"/>
    <mergeCell ref="B684:C684"/>
    <mergeCell ref="B685:C685"/>
    <mergeCell ref="B686:C686"/>
    <mergeCell ref="B687:C687"/>
    <mergeCell ref="B688:C688"/>
    <mergeCell ref="B678:C678"/>
    <mergeCell ref="B679:C679"/>
    <mergeCell ref="B680:C680"/>
    <mergeCell ref="B681:C681"/>
    <mergeCell ref="B682:C682"/>
    <mergeCell ref="B695:C695"/>
    <mergeCell ref="B696:C696"/>
    <mergeCell ref="B697:C697"/>
    <mergeCell ref="B698:C698"/>
    <mergeCell ref="B699:C699"/>
    <mergeCell ref="B700:C700"/>
    <mergeCell ref="B689:C689"/>
    <mergeCell ref="B690:C690"/>
    <mergeCell ref="B691:C691"/>
    <mergeCell ref="B692:C692"/>
    <mergeCell ref="B693:C693"/>
    <mergeCell ref="B694:C694"/>
    <mergeCell ref="B708:C708"/>
    <mergeCell ref="B709:C709"/>
    <mergeCell ref="B710:C710"/>
    <mergeCell ref="B711:C711"/>
    <mergeCell ref="B712:C712"/>
    <mergeCell ref="B701:C701"/>
    <mergeCell ref="B702:C702"/>
    <mergeCell ref="B703:C703"/>
    <mergeCell ref="B704:C704"/>
    <mergeCell ref="B705:C705"/>
    <mergeCell ref="B706:C706"/>
    <mergeCell ref="D748:G748"/>
    <mergeCell ref="D749:G749"/>
    <mergeCell ref="A8:A10"/>
    <mergeCell ref="B734:C734"/>
    <mergeCell ref="B735:C735"/>
    <mergeCell ref="B736:C736"/>
    <mergeCell ref="B737:C737"/>
    <mergeCell ref="D743:G743"/>
    <mergeCell ref="D744:G744"/>
    <mergeCell ref="B728:C728"/>
    <mergeCell ref="B729:C729"/>
    <mergeCell ref="B730:C730"/>
    <mergeCell ref="B731:C731"/>
    <mergeCell ref="B732:C732"/>
    <mergeCell ref="B733:C733"/>
    <mergeCell ref="B722:C722"/>
    <mergeCell ref="B723:C723"/>
    <mergeCell ref="B724:C724"/>
    <mergeCell ref="B725:C725"/>
    <mergeCell ref="B726:C726"/>
    <mergeCell ref="B727:C727"/>
    <mergeCell ref="B719:C719"/>
    <mergeCell ref="B721:C721"/>
    <mergeCell ref="B713:C713"/>
    <mergeCell ref="D54:E54"/>
    <mergeCell ref="D55:E55"/>
    <mergeCell ref="D56:E56"/>
    <mergeCell ref="D57:E57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A720:Y720"/>
    <mergeCell ref="B407:C407"/>
    <mergeCell ref="B408:C408"/>
    <mergeCell ref="B409:C409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567:C567"/>
    <mergeCell ref="B714:C714"/>
    <mergeCell ref="B715:C715"/>
    <mergeCell ref="B716:C716"/>
    <mergeCell ref="B717:C717"/>
    <mergeCell ref="B718:C718"/>
    <mergeCell ref="B707:C707"/>
  </mergeCells>
  <pageMargins left="0.5" right="0.5" top="0.5" bottom="0.5" header="0.3" footer="0.3"/>
  <pageSetup paperSize="10000" scale="37" orientation="landscape" verticalDpi="360" r:id="rId1"/>
  <headerFooter alignWithMargins="0"/>
  <rowBreaks count="2" manualBreakCount="2">
    <brk id="199" max="24" man="1"/>
    <brk id="705" max="2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343"/>
  <sheetViews>
    <sheetView tabSelected="1" view="pageBreakPreview" topLeftCell="A10" zoomScale="59" zoomScaleSheetLayoutView="59" workbookViewId="0">
      <selection activeCell="K18" sqref="K18"/>
    </sheetView>
  </sheetViews>
  <sheetFormatPr defaultColWidth="9" defaultRowHeight="15"/>
  <cols>
    <col min="1" max="1" width="5.7109375" customWidth="1"/>
    <col min="2" max="2" width="14.28515625" customWidth="1"/>
    <col min="3" max="3" width="37.42578125" customWidth="1"/>
    <col min="4" max="4" width="9.7109375" customWidth="1"/>
    <col min="5" max="5" width="7.42578125" customWidth="1"/>
    <col min="6" max="6" width="55.7109375" customWidth="1"/>
    <col min="7" max="7" width="15.85546875" customWidth="1"/>
    <col min="8" max="8" width="15.7109375" style="41" customWidth="1"/>
    <col min="9" max="9" width="25.28515625" customWidth="1"/>
    <col min="10" max="10" width="23" customWidth="1"/>
    <col min="11" max="11" width="35" customWidth="1"/>
    <col min="12" max="12" width="15.7109375" customWidth="1"/>
    <col min="13" max="13" width="6.28515625" customWidth="1"/>
    <col min="14" max="14" width="4.42578125" customWidth="1"/>
    <col min="15" max="15" width="16.28515625" customWidth="1"/>
    <col min="16" max="16" width="20.42578125" customWidth="1"/>
    <col min="17" max="17" width="9" customWidth="1"/>
    <col min="18" max="18" width="10.140625" customWidth="1"/>
    <col min="19" max="19" width="13.28515625" style="3" bestFit="1" customWidth="1"/>
    <col min="20" max="20" width="18" style="3" customWidth="1"/>
  </cols>
  <sheetData>
    <row r="1" spans="1:17" ht="15.75">
      <c r="A1" s="8"/>
      <c r="B1" s="8"/>
      <c r="C1" s="8"/>
      <c r="D1" s="8"/>
      <c r="E1" s="8"/>
      <c r="F1" s="8"/>
      <c r="G1" s="8"/>
      <c r="H1" s="43"/>
      <c r="I1" s="8"/>
      <c r="J1" s="8"/>
      <c r="K1" s="8"/>
      <c r="L1" s="8"/>
      <c r="M1" s="11" t="s">
        <v>0</v>
      </c>
      <c r="N1" s="11"/>
      <c r="O1" s="122"/>
    </row>
    <row r="2" spans="1:17" ht="18.75">
      <c r="A2" s="1140" t="s">
        <v>1</v>
      </c>
      <c r="B2" s="1140"/>
      <c r="C2" s="1140"/>
      <c r="D2" s="1140"/>
      <c r="E2" s="1140"/>
      <c r="F2" s="1140"/>
      <c r="G2" s="1140"/>
      <c r="H2" s="1140"/>
      <c r="I2" s="1140"/>
      <c r="J2" s="1140"/>
      <c r="K2" s="1140"/>
      <c r="L2" s="1140"/>
      <c r="M2" s="1140"/>
      <c r="N2" s="12"/>
      <c r="O2" s="122"/>
    </row>
    <row r="3" spans="1:17" ht="15.75">
      <c r="A3" s="8"/>
      <c r="B3" s="8"/>
      <c r="C3" s="8"/>
      <c r="D3" s="8"/>
      <c r="E3" s="8"/>
      <c r="F3" s="8"/>
      <c r="G3" s="8"/>
      <c r="H3" s="43"/>
      <c r="I3" s="8"/>
      <c r="J3" s="8"/>
      <c r="K3" s="8"/>
      <c r="L3" s="8"/>
      <c r="M3" s="8"/>
      <c r="N3" s="8"/>
      <c r="O3" s="122"/>
    </row>
    <row r="4" spans="1:17" ht="15.75">
      <c r="A4" s="8"/>
      <c r="B4" s="8"/>
      <c r="C4" s="8"/>
      <c r="D4" s="8"/>
      <c r="E4" s="8"/>
      <c r="F4" s="8"/>
      <c r="G4" s="8"/>
      <c r="H4" s="43"/>
      <c r="I4" s="8"/>
      <c r="J4" s="8"/>
      <c r="K4" s="8"/>
      <c r="L4" s="8"/>
      <c r="M4" s="8"/>
      <c r="N4" s="8"/>
      <c r="O4" s="122"/>
    </row>
    <row r="5" spans="1:17" ht="15" customHeight="1">
      <c r="A5" s="1133" t="s">
        <v>2</v>
      </c>
      <c r="B5" s="1133" t="s">
        <v>3</v>
      </c>
      <c r="C5" s="1133" t="s">
        <v>4</v>
      </c>
      <c r="D5" s="1133" t="s">
        <v>5</v>
      </c>
      <c r="E5" s="1133"/>
      <c r="F5" s="1133" t="s">
        <v>6</v>
      </c>
      <c r="G5" s="1133" t="s">
        <v>7</v>
      </c>
      <c r="H5" s="1133"/>
      <c r="I5" s="1136" t="s">
        <v>8</v>
      </c>
      <c r="J5" s="1136" t="s">
        <v>9</v>
      </c>
      <c r="K5" s="1136" t="s">
        <v>10</v>
      </c>
      <c r="L5" s="1136"/>
      <c r="M5" s="1133" t="s">
        <v>11</v>
      </c>
      <c r="N5" s="622"/>
      <c r="O5" s="84"/>
    </row>
    <row r="6" spans="1:17" ht="15.75" customHeight="1">
      <c r="A6" s="1134"/>
      <c r="B6" s="1134"/>
      <c r="C6" s="1134"/>
      <c r="D6" s="1135"/>
      <c r="E6" s="1135"/>
      <c r="F6" s="1134"/>
      <c r="G6" s="1134"/>
      <c r="H6" s="1134"/>
      <c r="I6" s="1137"/>
      <c r="J6" s="1137"/>
      <c r="K6" s="1138" t="s">
        <v>12</v>
      </c>
      <c r="L6" s="1138"/>
      <c r="M6" s="1134"/>
      <c r="N6" s="622"/>
      <c r="O6" s="84"/>
    </row>
    <row r="7" spans="1:17" ht="18" customHeight="1">
      <c r="A7" s="1135"/>
      <c r="B7" s="1135"/>
      <c r="C7" s="1135"/>
      <c r="D7" s="44" t="s">
        <v>13</v>
      </c>
      <c r="E7" s="44" t="s">
        <v>3</v>
      </c>
      <c r="F7" s="1135"/>
      <c r="G7" s="1135"/>
      <c r="H7" s="1135"/>
      <c r="I7" s="1138"/>
      <c r="J7" s="1138"/>
      <c r="K7" s="69" t="s">
        <v>13</v>
      </c>
      <c r="L7" s="69" t="s">
        <v>3</v>
      </c>
      <c r="M7" s="1135"/>
      <c r="N7" s="622"/>
      <c r="O7" s="84"/>
      <c r="P7" s="136"/>
    </row>
    <row r="8" spans="1:17" ht="15.75">
      <c r="A8" s="20">
        <v>1</v>
      </c>
      <c r="B8" s="20">
        <v>2</v>
      </c>
      <c r="C8" s="20">
        <v>3</v>
      </c>
      <c r="D8" s="20">
        <v>4</v>
      </c>
      <c r="E8" s="20">
        <v>5</v>
      </c>
      <c r="F8" s="20">
        <v>6</v>
      </c>
      <c r="G8" s="1132">
        <v>7</v>
      </c>
      <c r="H8" s="1132"/>
      <c r="I8" s="20">
        <v>8</v>
      </c>
      <c r="J8" s="20">
        <v>9</v>
      </c>
      <c r="K8" s="20">
        <v>10</v>
      </c>
      <c r="L8" s="20">
        <v>11</v>
      </c>
      <c r="M8" s="20">
        <v>12</v>
      </c>
      <c r="N8" s="36"/>
      <c r="O8" s="84"/>
      <c r="P8" s="136"/>
    </row>
    <row r="9" spans="1:17" ht="15.75">
      <c r="A9" s="49"/>
      <c r="B9" s="162"/>
      <c r="C9" s="49"/>
      <c r="D9" s="49"/>
      <c r="E9" s="49"/>
      <c r="F9" s="49"/>
      <c r="G9" s="162"/>
      <c r="H9" s="163"/>
      <c r="I9" s="49"/>
      <c r="J9" s="49"/>
      <c r="K9" s="174"/>
      <c r="L9" s="49"/>
      <c r="M9" s="49"/>
      <c r="N9" s="36"/>
      <c r="O9" s="84"/>
      <c r="P9" s="136"/>
      <c r="Q9" s="39"/>
    </row>
    <row r="10" spans="1:17" ht="15.75">
      <c r="A10" s="1249" t="s">
        <v>14</v>
      </c>
      <c r="B10" s="1249"/>
      <c r="C10" s="1249"/>
      <c r="D10" s="1249"/>
      <c r="E10" s="1249"/>
      <c r="F10" s="1249"/>
      <c r="G10" s="1249"/>
      <c r="H10" s="1249"/>
      <c r="I10" s="1249"/>
      <c r="J10" s="1249"/>
      <c r="K10" s="1249"/>
      <c r="L10" s="1249"/>
      <c r="M10" s="1249"/>
      <c r="N10" s="36"/>
      <c r="O10" s="84"/>
      <c r="P10" s="136"/>
      <c r="Q10" s="39"/>
    </row>
    <row r="11" spans="1:17" ht="18.75" customHeight="1">
      <c r="A11" s="59"/>
      <c r="B11" s="164"/>
      <c r="C11" s="133"/>
      <c r="D11" s="133"/>
      <c r="E11" s="133"/>
      <c r="F11" s="133"/>
      <c r="G11" s="165"/>
      <c r="H11" s="133"/>
      <c r="I11" s="133"/>
      <c r="J11" s="133"/>
      <c r="K11" s="133"/>
      <c r="L11" s="164"/>
      <c r="M11" s="133"/>
      <c r="N11" s="36"/>
      <c r="O11" s="84"/>
      <c r="P11" s="136"/>
      <c r="Q11" s="39"/>
    </row>
    <row r="12" spans="1:17" ht="18.75" customHeight="1">
      <c r="A12" s="829"/>
      <c r="B12" s="832"/>
      <c r="C12" s="839"/>
      <c r="D12" s="833"/>
      <c r="E12" s="850"/>
      <c r="F12" s="852"/>
      <c r="G12" s="834"/>
      <c r="H12" s="835"/>
      <c r="I12" s="836"/>
      <c r="J12" s="979"/>
      <c r="K12" s="980"/>
      <c r="L12" s="851"/>
      <c r="M12" s="829"/>
      <c r="N12" s="36"/>
      <c r="O12" s="176"/>
      <c r="P12" s="837"/>
      <c r="Q12" s="39"/>
    </row>
    <row r="13" spans="1:17" ht="18.75" customHeight="1">
      <c r="A13" s="829"/>
      <c r="B13" s="564">
        <v>46165</v>
      </c>
      <c r="C13" s="1065" t="s">
        <v>399</v>
      </c>
      <c r="D13" s="740"/>
      <c r="E13" s="740"/>
      <c r="F13" s="774" t="s">
        <v>552</v>
      </c>
      <c r="G13" s="824">
        <v>6</v>
      </c>
      <c r="H13" s="778" t="s">
        <v>17</v>
      </c>
      <c r="I13" s="825">
        <v>6105</v>
      </c>
      <c r="J13" s="791">
        <f t="shared" ref="J13:J14" si="0">I13*G13</f>
        <v>36630</v>
      </c>
      <c r="K13" s="219" t="s">
        <v>663</v>
      </c>
      <c r="L13" s="429">
        <v>46165</v>
      </c>
      <c r="M13" s="1072"/>
      <c r="N13" s="1073"/>
      <c r="O13" s="176"/>
      <c r="P13" s="700"/>
      <c r="Q13" s="39"/>
    </row>
    <row r="14" spans="1:17" ht="18.75" customHeight="1">
      <c r="A14" s="59"/>
      <c r="B14" s="966"/>
      <c r="C14" s="967"/>
      <c r="D14" s="740"/>
      <c r="E14" s="740"/>
      <c r="F14" s="774" t="s">
        <v>577</v>
      </c>
      <c r="G14" s="824">
        <v>8</v>
      </c>
      <c r="H14" s="778" t="s">
        <v>16</v>
      </c>
      <c r="I14" s="825">
        <v>14430</v>
      </c>
      <c r="J14" s="791">
        <f t="shared" si="0"/>
        <v>115440</v>
      </c>
      <c r="K14" s="778"/>
      <c r="L14" s="994"/>
      <c r="M14" s="1072"/>
      <c r="N14" s="1073"/>
      <c r="O14" s="176"/>
      <c r="P14" s="700"/>
      <c r="Q14" s="39"/>
    </row>
    <row r="15" spans="1:17" ht="18.75" customHeight="1">
      <c r="A15" s="59"/>
      <c r="B15" s="966"/>
      <c r="C15" s="967"/>
      <c r="D15" s="740"/>
      <c r="E15" s="740"/>
      <c r="F15" s="774" t="s">
        <v>665</v>
      </c>
      <c r="G15" s="824">
        <v>6</v>
      </c>
      <c r="H15" s="778" t="s">
        <v>17</v>
      </c>
      <c r="I15" s="825">
        <v>8880</v>
      </c>
      <c r="J15" s="791">
        <f t="shared" ref="J15" si="1">I15*G15</f>
        <v>53280</v>
      </c>
      <c r="K15" s="745"/>
      <c r="L15" s="793"/>
      <c r="M15" s="1072"/>
      <c r="N15" s="1073"/>
      <c r="O15" s="176"/>
      <c r="P15" s="700"/>
      <c r="Q15" s="39"/>
    </row>
    <row r="16" spans="1:17" ht="18.75" customHeight="1">
      <c r="A16" s="59"/>
      <c r="B16" s="966"/>
      <c r="C16" s="967"/>
      <c r="D16" s="740"/>
      <c r="E16" s="740"/>
      <c r="F16" s="774" t="s">
        <v>576</v>
      </c>
      <c r="G16" s="824">
        <v>24</v>
      </c>
      <c r="H16" s="778" t="s">
        <v>17</v>
      </c>
      <c r="I16" s="825">
        <v>5550</v>
      </c>
      <c r="J16" s="791">
        <f>I16*G16</f>
        <v>133200</v>
      </c>
      <c r="K16" s="745"/>
      <c r="L16" s="793"/>
      <c r="M16" s="1072"/>
      <c r="N16" s="1073"/>
      <c r="O16" s="176"/>
      <c r="P16" s="700"/>
      <c r="Q16" s="39"/>
    </row>
    <row r="17" spans="1:17" ht="18.75" customHeight="1">
      <c r="A17" s="59"/>
      <c r="B17" s="759"/>
      <c r="C17" s="746"/>
      <c r="D17" s="740"/>
      <c r="E17" s="740"/>
      <c r="F17" s="823" t="s">
        <v>666</v>
      </c>
      <c r="G17" s="824">
        <v>6</v>
      </c>
      <c r="H17" s="778" t="s">
        <v>17</v>
      </c>
      <c r="I17" s="825">
        <v>7770</v>
      </c>
      <c r="J17" s="1069">
        <f t="shared" ref="J17" si="2">G17*I17</f>
        <v>46620</v>
      </c>
      <c r="K17" s="745"/>
      <c r="L17" s="793"/>
      <c r="M17" s="1072"/>
      <c r="N17" s="1073"/>
      <c r="O17" s="176"/>
      <c r="P17" s="700"/>
      <c r="Q17" s="39"/>
    </row>
    <row r="18" spans="1:17" ht="18.75" customHeight="1">
      <c r="A18" s="829"/>
      <c r="B18" s="826"/>
      <c r="C18" s="972"/>
      <c r="D18" s="973"/>
      <c r="E18" s="973"/>
      <c r="F18" s="774" t="s">
        <v>574</v>
      </c>
      <c r="G18" s="824">
        <v>8</v>
      </c>
      <c r="H18" s="778" t="s">
        <v>16</v>
      </c>
      <c r="I18" s="825">
        <v>22200</v>
      </c>
      <c r="J18" s="791">
        <f t="shared" ref="J18" si="3">I18*G18</f>
        <v>177600</v>
      </c>
      <c r="K18" s="1070"/>
      <c r="L18" s="1071"/>
      <c r="M18" s="1072"/>
      <c r="N18" s="1073"/>
      <c r="O18" s="176"/>
      <c r="P18" s="700"/>
      <c r="Q18" s="39"/>
    </row>
    <row r="19" spans="1:17" ht="18.75" customHeight="1">
      <c r="A19" s="829"/>
      <c r="B19" s="826"/>
      <c r="C19" s="972"/>
      <c r="D19" s="973"/>
      <c r="E19" s="973"/>
      <c r="F19" s="774" t="s">
        <v>667</v>
      </c>
      <c r="G19" s="824">
        <v>49</v>
      </c>
      <c r="H19" s="778" t="s">
        <v>17</v>
      </c>
      <c r="I19" s="825">
        <v>3330</v>
      </c>
      <c r="J19" s="791">
        <f>I19*G19</f>
        <v>163170</v>
      </c>
      <c r="K19" s="1070"/>
      <c r="L19" s="1071"/>
      <c r="M19" s="1072"/>
      <c r="N19" s="1073"/>
      <c r="O19" s="176"/>
      <c r="P19" s="700"/>
      <c r="Q19" s="39"/>
    </row>
    <row r="20" spans="1:17" ht="18.75" customHeight="1">
      <c r="A20" s="829"/>
      <c r="B20" s="826"/>
      <c r="C20" s="972"/>
      <c r="D20" s="973"/>
      <c r="E20" s="973"/>
      <c r="F20" s="774" t="s">
        <v>668</v>
      </c>
      <c r="G20" s="824">
        <v>3</v>
      </c>
      <c r="H20" s="778" t="s">
        <v>17</v>
      </c>
      <c r="I20" s="825">
        <v>21090</v>
      </c>
      <c r="J20" s="791">
        <f t="shared" ref="J20:J22" si="4">I20*G20</f>
        <v>63270</v>
      </c>
      <c r="K20" s="1070"/>
      <c r="L20" s="1071"/>
      <c r="M20" s="1072"/>
      <c r="N20" s="1073"/>
      <c r="O20" s="176"/>
      <c r="P20" s="700"/>
      <c r="Q20" s="39"/>
    </row>
    <row r="21" spans="1:17" ht="18.75" customHeight="1">
      <c r="A21" s="829"/>
      <c r="B21" s="826"/>
      <c r="C21" s="972"/>
      <c r="D21" s="973"/>
      <c r="E21" s="973"/>
      <c r="F21" s="774" t="s">
        <v>669</v>
      </c>
      <c r="G21" s="824">
        <v>3</v>
      </c>
      <c r="H21" s="778" t="s">
        <v>17</v>
      </c>
      <c r="I21" s="825">
        <v>5439</v>
      </c>
      <c r="J21" s="791">
        <f t="shared" si="4"/>
        <v>16317</v>
      </c>
      <c r="K21" s="1070"/>
      <c r="L21" s="1071"/>
      <c r="M21" s="1072"/>
      <c r="N21" s="1073"/>
      <c r="O21" s="176"/>
      <c r="P21" s="700"/>
      <c r="Q21" s="39"/>
    </row>
    <row r="22" spans="1:17" ht="18.75" customHeight="1">
      <c r="A22" s="829"/>
      <c r="B22" s="826"/>
      <c r="C22" s="972"/>
      <c r="D22" s="973"/>
      <c r="E22" s="973"/>
      <c r="F22" s="774" t="s">
        <v>670</v>
      </c>
      <c r="G22" s="824">
        <v>125</v>
      </c>
      <c r="H22" s="778" t="s">
        <v>17</v>
      </c>
      <c r="I22" s="825">
        <v>4995</v>
      </c>
      <c r="J22" s="791">
        <f t="shared" si="4"/>
        <v>624375</v>
      </c>
      <c r="K22" s="1070"/>
      <c r="L22" s="1071"/>
      <c r="M22" s="1072"/>
      <c r="N22" s="1073"/>
      <c r="O22" s="176"/>
      <c r="P22" s="700"/>
      <c r="Q22" s="39"/>
    </row>
    <row r="23" spans="1:17" ht="18.75" customHeight="1">
      <c r="A23" s="829"/>
      <c r="B23" s="826"/>
      <c r="C23" s="972"/>
      <c r="D23" s="973"/>
      <c r="E23" s="973"/>
      <c r="F23" s="774" t="s">
        <v>671</v>
      </c>
      <c r="G23" s="824">
        <v>24</v>
      </c>
      <c r="H23" s="778" t="s">
        <v>17</v>
      </c>
      <c r="I23" s="825">
        <v>2220</v>
      </c>
      <c r="J23" s="791">
        <f>I23*G23</f>
        <v>53280</v>
      </c>
      <c r="K23" s="1070"/>
      <c r="L23" s="1071"/>
      <c r="M23" s="1072"/>
      <c r="N23" s="1073"/>
      <c r="O23" s="176"/>
      <c r="P23" s="700"/>
      <c r="Q23" s="39"/>
    </row>
    <row r="24" spans="1:17" ht="18.75" customHeight="1">
      <c r="A24" s="59"/>
      <c r="B24" s="759"/>
      <c r="C24" s="746"/>
      <c r="D24" s="740"/>
      <c r="E24" s="740"/>
      <c r="F24" s="774" t="s">
        <v>672</v>
      </c>
      <c r="G24" s="824">
        <v>24</v>
      </c>
      <c r="H24" s="778" t="s">
        <v>17</v>
      </c>
      <c r="I24" s="825">
        <v>2775</v>
      </c>
      <c r="J24" s="791">
        <f t="shared" ref="J24" si="5">I24*G24</f>
        <v>66600</v>
      </c>
      <c r="K24" s="745"/>
      <c r="L24" s="793"/>
      <c r="M24" s="1072"/>
      <c r="N24" s="1073"/>
      <c r="O24" s="176">
        <f>SUM(J13:J24)</f>
        <v>1549782</v>
      </c>
      <c r="P24" s="715" t="s">
        <v>664</v>
      </c>
      <c r="Q24" s="39"/>
    </row>
    <row r="25" spans="1:17" ht="18.75" customHeight="1">
      <c r="A25" s="59"/>
      <c r="B25" s="759"/>
      <c r="C25" s="746"/>
      <c r="D25" s="740"/>
      <c r="E25" s="740"/>
      <c r="F25" s="774"/>
      <c r="G25" s="775"/>
      <c r="H25" s="778"/>
      <c r="I25" s="777"/>
      <c r="J25" s="744"/>
      <c r="K25" s="746"/>
      <c r="L25" s="747"/>
      <c r="M25" s="133"/>
      <c r="N25" s="36"/>
      <c r="O25" s="176"/>
      <c r="P25" s="700"/>
      <c r="Q25" s="39"/>
    </row>
    <row r="26" spans="1:17" ht="18.75" customHeight="1">
      <c r="A26" s="59"/>
      <c r="B26" s="637">
        <v>46169</v>
      </c>
      <c r="C26" s="1065" t="s">
        <v>399</v>
      </c>
      <c r="D26" s="740"/>
      <c r="E26" s="740"/>
      <c r="F26" s="774" t="s">
        <v>643</v>
      </c>
      <c r="G26" s="184">
        <v>12</v>
      </c>
      <c r="H26" s="776" t="s">
        <v>17</v>
      </c>
      <c r="I26" s="825">
        <v>9990</v>
      </c>
      <c r="J26" s="791">
        <f>I26*G26</f>
        <v>119880</v>
      </c>
      <c r="K26" s="778" t="s">
        <v>650</v>
      </c>
      <c r="L26" s="429">
        <v>46169</v>
      </c>
      <c r="M26" s="829"/>
      <c r="N26" s="36"/>
      <c r="O26" s="84"/>
      <c r="P26" s="136"/>
      <c r="Q26" s="39"/>
    </row>
    <row r="27" spans="1:17" ht="18.75" customHeight="1">
      <c r="A27" s="59"/>
      <c r="B27" s="759"/>
      <c r="C27" s="746"/>
      <c r="D27" s="740"/>
      <c r="E27" s="740"/>
      <c r="F27" s="774" t="s">
        <v>620</v>
      </c>
      <c r="G27" s="824">
        <v>120</v>
      </c>
      <c r="H27" s="778" t="s">
        <v>17</v>
      </c>
      <c r="I27" s="825">
        <v>5439</v>
      </c>
      <c r="J27" s="791">
        <f t="shared" ref="J27" si="6">I27*G27</f>
        <v>652680</v>
      </c>
      <c r="K27" s="779"/>
      <c r="L27" s="780"/>
      <c r="M27" s="59"/>
      <c r="N27" s="36"/>
      <c r="O27" s="176"/>
      <c r="P27" s="700"/>
      <c r="Q27" s="39"/>
    </row>
    <row r="28" spans="1:17" ht="18.75" customHeight="1">
      <c r="A28" s="59"/>
      <c r="B28" s="985"/>
      <c r="C28" s="846"/>
      <c r="D28" s="1001"/>
      <c r="E28" s="1001"/>
      <c r="F28" s="723" t="s">
        <v>644</v>
      </c>
      <c r="G28" s="184">
        <v>10</v>
      </c>
      <c r="H28" s="705" t="s">
        <v>17</v>
      </c>
      <c r="I28" s="706">
        <v>9435</v>
      </c>
      <c r="J28" s="438">
        <f>G28*I28</f>
        <v>94350</v>
      </c>
      <c r="K28" s="991"/>
      <c r="L28" s="992"/>
      <c r="M28" s="829"/>
      <c r="N28" s="36"/>
      <c r="O28" s="176"/>
      <c r="P28" s="700"/>
      <c r="Q28" s="39"/>
    </row>
    <row r="29" spans="1:17" ht="18.75" customHeight="1">
      <c r="A29" s="59"/>
      <c r="B29" s="985"/>
      <c r="C29" s="846"/>
      <c r="D29" s="1001"/>
      <c r="E29" s="1001"/>
      <c r="F29" s="774" t="s">
        <v>645</v>
      </c>
      <c r="G29" s="824">
        <v>50</v>
      </c>
      <c r="H29" s="778" t="s">
        <v>17</v>
      </c>
      <c r="I29" s="825">
        <v>5439</v>
      </c>
      <c r="J29" s="791">
        <f t="shared" ref="J29" si="7">I29*G29</f>
        <v>271950</v>
      </c>
      <c r="K29" s="991"/>
      <c r="L29" s="992"/>
      <c r="M29" s="829"/>
      <c r="N29" s="36"/>
      <c r="O29" s="176"/>
      <c r="P29" s="700"/>
      <c r="Q29" s="39"/>
    </row>
    <row r="30" spans="1:17" ht="18.75" customHeight="1">
      <c r="A30" s="59"/>
      <c r="B30" s="838"/>
      <c r="C30" s="839"/>
      <c r="D30" s="833"/>
      <c r="E30" s="832"/>
      <c r="F30" s="723" t="s">
        <v>646</v>
      </c>
      <c r="G30" s="184">
        <v>2</v>
      </c>
      <c r="H30" s="705" t="s">
        <v>17</v>
      </c>
      <c r="I30" s="706">
        <v>6438</v>
      </c>
      <c r="J30" s="438">
        <f>G30*I30</f>
        <v>12876</v>
      </c>
      <c r="K30" s="845"/>
      <c r="L30" s="838"/>
      <c r="M30" s="829"/>
      <c r="N30" s="36"/>
      <c r="O30" s="1012">
        <f>SUM(J26:J30)</f>
        <v>1151736</v>
      </c>
      <c r="P30" s="820" t="s">
        <v>526</v>
      </c>
      <c r="Q30" s="39"/>
    </row>
    <row r="31" spans="1:17" ht="18.75" customHeight="1">
      <c r="A31" s="59"/>
      <c r="B31" s="215"/>
      <c r="C31" s="757"/>
      <c r="D31" s="740"/>
      <c r="E31" s="740"/>
      <c r="F31" s="774"/>
      <c r="G31" s="775"/>
      <c r="H31" s="776"/>
      <c r="I31" s="777"/>
      <c r="J31" s="744"/>
      <c r="K31" s="778"/>
      <c r="L31" s="429"/>
      <c r="M31" s="133"/>
      <c r="N31" s="36"/>
      <c r="O31" s="1012"/>
      <c r="P31" s="820"/>
      <c r="Q31" s="39"/>
    </row>
    <row r="32" spans="1:17" ht="18.75" customHeight="1">
      <c r="A32" s="59"/>
      <c r="B32" s="564">
        <v>46153</v>
      </c>
      <c r="C32" s="1065" t="s">
        <v>399</v>
      </c>
      <c r="D32" s="740"/>
      <c r="E32" s="740"/>
      <c r="F32" s="774" t="s">
        <v>679</v>
      </c>
      <c r="G32" s="824">
        <v>20</v>
      </c>
      <c r="H32" s="778" t="s">
        <v>17</v>
      </c>
      <c r="I32" s="825">
        <v>13320</v>
      </c>
      <c r="J32" s="791">
        <f t="shared" ref="J32:J33" si="8">I32*G32</f>
        <v>266400</v>
      </c>
      <c r="K32" s="778" t="s">
        <v>690</v>
      </c>
      <c r="L32" s="429">
        <v>46153</v>
      </c>
      <c r="M32" s="1072"/>
      <c r="N32" s="1073"/>
      <c r="O32" s="176"/>
      <c r="P32" s="700"/>
      <c r="Q32" s="39"/>
    </row>
    <row r="33" spans="1:17" ht="18.75" customHeight="1">
      <c r="A33" s="59"/>
      <c r="B33" s="966"/>
      <c r="C33" s="967"/>
      <c r="D33" s="740"/>
      <c r="E33" s="740"/>
      <c r="F33" s="774" t="s">
        <v>680</v>
      </c>
      <c r="G33" s="824">
        <v>20</v>
      </c>
      <c r="H33" s="778" t="s">
        <v>16</v>
      </c>
      <c r="I33" s="825">
        <v>13320</v>
      </c>
      <c r="J33" s="791">
        <f t="shared" si="8"/>
        <v>266400</v>
      </c>
      <c r="K33" s="778"/>
      <c r="L33" s="994"/>
      <c r="M33" s="1072"/>
      <c r="N33" s="1073"/>
      <c r="O33" s="176"/>
      <c r="P33" s="700"/>
      <c r="Q33" s="39"/>
    </row>
    <row r="34" spans="1:17" ht="18.75" customHeight="1">
      <c r="A34" s="59"/>
      <c r="B34" s="966"/>
      <c r="C34" s="967"/>
      <c r="D34" s="740"/>
      <c r="E34" s="740"/>
      <c r="F34" s="774" t="s">
        <v>576</v>
      </c>
      <c r="G34" s="824">
        <v>60</v>
      </c>
      <c r="H34" s="778" t="s">
        <v>17</v>
      </c>
      <c r="I34" s="825">
        <v>5550</v>
      </c>
      <c r="J34" s="791">
        <f>I34*G34</f>
        <v>333000</v>
      </c>
      <c r="K34" s="745"/>
      <c r="L34" s="793"/>
      <c r="M34" s="1072"/>
      <c r="N34" s="1073"/>
      <c r="O34" s="176"/>
      <c r="P34" s="700"/>
      <c r="Q34" s="39"/>
    </row>
    <row r="35" spans="1:17" ht="18.75" customHeight="1">
      <c r="A35" s="59"/>
      <c r="B35" s="759"/>
      <c r="C35" s="746"/>
      <c r="D35" s="740"/>
      <c r="E35" s="740"/>
      <c r="F35" s="823" t="s">
        <v>681</v>
      </c>
      <c r="G35" s="824">
        <v>10</v>
      </c>
      <c r="H35" s="778" t="s">
        <v>17</v>
      </c>
      <c r="I35" s="825">
        <v>16650</v>
      </c>
      <c r="J35" s="1069">
        <f t="shared" ref="J35" si="9">G35*I35</f>
        <v>166500</v>
      </c>
      <c r="K35" s="745"/>
      <c r="L35" s="793"/>
      <c r="M35" s="1072"/>
      <c r="N35" s="1073"/>
      <c r="O35" s="176"/>
      <c r="P35" s="700"/>
      <c r="Q35" s="39"/>
    </row>
    <row r="36" spans="1:17" ht="18.75" customHeight="1">
      <c r="A36" s="59"/>
      <c r="B36" s="826"/>
      <c r="C36" s="972"/>
      <c r="D36" s="973"/>
      <c r="E36" s="973"/>
      <c r="F36" s="774" t="s">
        <v>682</v>
      </c>
      <c r="G36" s="824">
        <v>50</v>
      </c>
      <c r="H36" s="778" t="s">
        <v>16</v>
      </c>
      <c r="I36" s="825">
        <v>7770</v>
      </c>
      <c r="J36" s="791">
        <f t="shared" ref="J36" si="10">I36*G36</f>
        <v>388500</v>
      </c>
      <c r="K36" s="1070"/>
      <c r="L36" s="1071"/>
      <c r="M36" s="1072"/>
      <c r="N36" s="1073"/>
      <c r="O36" s="176"/>
      <c r="P36" s="700"/>
      <c r="Q36" s="39"/>
    </row>
    <row r="37" spans="1:17" ht="18.75" customHeight="1">
      <c r="A37" s="59"/>
      <c r="B37" s="826"/>
      <c r="C37" s="972"/>
      <c r="D37" s="973"/>
      <c r="E37" s="973"/>
      <c r="F37" s="774" t="s">
        <v>683</v>
      </c>
      <c r="G37" s="824">
        <v>15</v>
      </c>
      <c r="H37" s="778" t="s">
        <v>17</v>
      </c>
      <c r="I37" s="825">
        <v>9990</v>
      </c>
      <c r="J37" s="791">
        <f>I37*G37</f>
        <v>149850</v>
      </c>
      <c r="K37" s="1070"/>
      <c r="L37" s="1071"/>
      <c r="M37" s="1072"/>
      <c r="N37" s="1073"/>
      <c r="O37" s="176"/>
      <c r="P37" s="700"/>
      <c r="Q37" s="39"/>
    </row>
    <row r="38" spans="1:17" ht="18.75" customHeight="1">
      <c r="A38" s="59"/>
      <c r="B38" s="826"/>
      <c r="C38" s="972"/>
      <c r="D38" s="973"/>
      <c r="E38" s="973"/>
      <c r="F38" s="774" t="s">
        <v>684</v>
      </c>
      <c r="G38" s="824">
        <v>30</v>
      </c>
      <c r="H38" s="778" t="s">
        <v>17</v>
      </c>
      <c r="I38" s="825">
        <v>18870</v>
      </c>
      <c r="J38" s="791">
        <f t="shared" ref="J38:J40" si="11">I38*G38</f>
        <v>566100</v>
      </c>
      <c r="K38" s="1070"/>
      <c r="L38" s="1071"/>
      <c r="M38" s="1072"/>
      <c r="N38" s="1073"/>
      <c r="O38" s="176"/>
      <c r="P38" s="700"/>
      <c r="Q38" s="39"/>
    </row>
    <row r="39" spans="1:17" ht="18.75" customHeight="1">
      <c r="A39" s="59"/>
      <c r="B39" s="826"/>
      <c r="C39" s="972"/>
      <c r="D39" s="973"/>
      <c r="E39" s="973"/>
      <c r="F39" s="774" t="s">
        <v>685</v>
      </c>
      <c r="G39" s="824">
        <v>50</v>
      </c>
      <c r="H39" s="778" t="s">
        <v>17</v>
      </c>
      <c r="I39" s="825">
        <v>4995</v>
      </c>
      <c r="J39" s="791">
        <f t="shared" si="11"/>
        <v>249750</v>
      </c>
      <c r="K39" s="1070"/>
      <c r="L39" s="1071"/>
      <c r="M39" s="1072"/>
      <c r="N39" s="1073"/>
      <c r="O39" s="176"/>
      <c r="P39" s="700"/>
      <c r="Q39" s="39"/>
    </row>
    <row r="40" spans="1:17" ht="18.75" customHeight="1">
      <c r="A40" s="59"/>
      <c r="B40" s="826"/>
      <c r="C40" s="972"/>
      <c r="D40" s="973"/>
      <c r="E40" s="973"/>
      <c r="F40" s="774" t="s">
        <v>668</v>
      </c>
      <c r="G40" s="824">
        <v>10</v>
      </c>
      <c r="H40" s="778" t="s">
        <v>17</v>
      </c>
      <c r="I40" s="825">
        <v>19980</v>
      </c>
      <c r="J40" s="791">
        <f t="shared" si="11"/>
        <v>199800</v>
      </c>
      <c r="K40" s="1070"/>
      <c r="L40" s="1071"/>
      <c r="M40" s="1072"/>
      <c r="N40" s="1073"/>
      <c r="O40" s="176"/>
      <c r="P40" s="700"/>
      <c r="Q40" s="39"/>
    </row>
    <row r="41" spans="1:17" ht="18.75" customHeight="1">
      <c r="A41" s="59"/>
      <c r="B41" s="826"/>
      <c r="C41" s="972"/>
      <c r="D41" s="973"/>
      <c r="E41" s="973"/>
      <c r="F41" s="774" t="s">
        <v>686</v>
      </c>
      <c r="G41" s="824">
        <v>15</v>
      </c>
      <c r="H41" s="778" t="s">
        <v>17</v>
      </c>
      <c r="I41" s="825">
        <v>10545</v>
      </c>
      <c r="J41" s="791">
        <f>I41*G41</f>
        <v>158175</v>
      </c>
      <c r="K41" s="1070"/>
      <c r="L41" s="1071"/>
      <c r="M41" s="1072"/>
      <c r="N41" s="1073"/>
      <c r="O41" s="176"/>
      <c r="P41" s="700"/>
      <c r="Q41" s="39"/>
    </row>
    <row r="42" spans="1:17" ht="18.75" customHeight="1">
      <c r="A42" s="829"/>
      <c r="B42" s="826"/>
      <c r="C42" s="972"/>
      <c r="D42" s="973"/>
      <c r="E42" s="973"/>
      <c r="F42" s="774" t="s">
        <v>671</v>
      </c>
      <c r="G42" s="824">
        <v>50</v>
      </c>
      <c r="H42" s="778" t="s">
        <v>17</v>
      </c>
      <c r="I42" s="825">
        <v>4995</v>
      </c>
      <c r="J42" s="791">
        <f t="shared" ref="J42:J44" si="12">I42*G42</f>
        <v>249750</v>
      </c>
      <c r="K42" s="1070"/>
      <c r="L42" s="1071"/>
      <c r="M42" s="1074"/>
      <c r="N42" s="1073"/>
      <c r="O42" s="176"/>
      <c r="P42" s="700"/>
      <c r="Q42" s="39"/>
    </row>
    <row r="43" spans="1:17" ht="18.75" customHeight="1">
      <c r="A43" s="829"/>
      <c r="B43" s="826"/>
      <c r="C43" s="972"/>
      <c r="D43" s="973"/>
      <c r="E43" s="973"/>
      <c r="F43" s="774" t="s">
        <v>687</v>
      </c>
      <c r="G43" s="824">
        <v>60</v>
      </c>
      <c r="H43" s="778" t="s">
        <v>17</v>
      </c>
      <c r="I43" s="825">
        <v>4995</v>
      </c>
      <c r="J43" s="791">
        <f t="shared" si="12"/>
        <v>299700</v>
      </c>
      <c r="K43" s="1070"/>
      <c r="L43" s="1071"/>
      <c r="M43" s="1074"/>
      <c r="N43" s="1073"/>
      <c r="O43" s="176"/>
      <c r="P43" s="700"/>
      <c r="Q43" s="39"/>
    </row>
    <row r="44" spans="1:17" ht="18.75" customHeight="1">
      <c r="A44" s="829"/>
      <c r="B44" s="826"/>
      <c r="C44" s="972"/>
      <c r="D44" s="973"/>
      <c r="E44" s="973"/>
      <c r="F44" s="774" t="s">
        <v>688</v>
      </c>
      <c r="G44" s="824">
        <v>25</v>
      </c>
      <c r="H44" s="778" t="s">
        <v>17</v>
      </c>
      <c r="I44" s="825">
        <v>23310</v>
      </c>
      <c r="J44" s="791">
        <f t="shared" si="12"/>
        <v>582750</v>
      </c>
      <c r="K44" s="1070"/>
      <c r="L44" s="1071"/>
      <c r="M44" s="1074"/>
      <c r="N44" s="1073"/>
      <c r="O44" s="176"/>
      <c r="P44" s="700"/>
      <c r="Q44" s="39"/>
    </row>
    <row r="45" spans="1:17" ht="18.75" customHeight="1">
      <c r="A45" s="59"/>
      <c r="B45" s="759"/>
      <c r="C45" s="746"/>
      <c r="D45" s="740"/>
      <c r="E45" s="740"/>
      <c r="F45" s="774" t="s">
        <v>689</v>
      </c>
      <c r="G45" s="824">
        <v>15</v>
      </c>
      <c r="H45" s="778" t="s">
        <v>17</v>
      </c>
      <c r="I45" s="825">
        <v>14430</v>
      </c>
      <c r="J45" s="791">
        <f t="shared" ref="J45" si="13">I45*G45</f>
        <v>216450</v>
      </c>
      <c r="K45" s="745"/>
      <c r="L45" s="793"/>
      <c r="M45" s="1072"/>
      <c r="N45" s="1073"/>
      <c r="O45" s="176">
        <f>SUM(J32:J45)</f>
        <v>4093125</v>
      </c>
      <c r="P45" s="820" t="s">
        <v>526</v>
      </c>
      <c r="Q45" s="39"/>
    </row>
    <row r="46" spans="1:17" ht="18.75" customHeight="1">
      <c r="A46" s="829"/>
      <c r="B46" s="759"/>
      <c r="C46" s="846"/>
      <c r="D46" s="740"/>
      <c r="E46" s="1001"/>
      <c r="F46" s="1118"/>
      <c r="G46" s="1119"/>
      <c r="H46" s="1120"/>
      <c r="I46" s="1121"/>
      <c r="J46" s="990"/>
      <c r="K46" s="745"/>
      <c r="L46" s="1122"/>
      <c r="M46" s="1074"/>
      <c r="N46" s="1073"/>
      <c r="O46" s="176"/>
      <c r="P46" s="820"/>
      <c r="Q46" s="39"/>
    </row>
    <row r="47" spans="1:17" ht="18.75" customHeight="1">
      <c r="A47" s="829"/>
      <c r="B47" s="564">
        <v>46146</v>
      </c>
      <c r="C47" s="1065" t="s">
        <v>717</v>
      </c>
      <c r="D47" s="740"/>
      <c r="E47" s="740"/>
      <c r="F47" s="774" t="s">
        <v>668</v>
      </c>
      <c r="G47" s="824">
        <v>4</v>
      </c>
      <c r="H47" s="778" t="s">
        <v>17</v>
      </c>
      <c r="I47" s="825">
        <v>27750</v>
      </c>
      <c r="J47" s="791">
        <f t="shared" ref="J47:J48" si="14">I47*G47</f>
        <v>111000</v>
      </c>
      <c r="K47" s="219" t="s">
        <v>733</v>
      </c>
      <c r="L47" s="429">
        <v>46146</v>
      </c>
      <c r="M47" s="849"/>
      <c r="N47" s="36"/>
      <c r="O47" s="176"/>
      <c r="P47" s="820"/>
      <c r="Q47" s="39"/>
    </row>
    <row r="48" spans="1:17" ht="18.75" customHeight="1">
      <c r="A48" s="829"/>
      <c r="B48" s="966"/>
      <c r="C48" s="967"/>
      <c r="D48" s="740"/>
      <c r="E48" s="740"/>
      <c r="F48" s="774" t="s">
        <v>730</v>
      </c>
      <c r="G48" s="824">
        <v>3</v>
      </c>
      <c r="H48" s="778" t="s">
        <v>17</v>
      </c>
      <c r="I48" s="825">
        <v>44400</v>
      </c>
      <c r="J48" s="791">
        <f t="shared" si="14"/>
        <v>133200</v>
      </c>
      <c r="K48" s="745"/>
      <c r="L48" s="793"/>
      <c r="M48" s="849"/>
      <c r="N48" s="36"/>
      <c r="O48" s="176"/>
      <c r="P48" s="820"/>
      <c r="Q48" s="39"/>
    </row>
    <row r="49" spans="1:17" ht="18.75" customHeight="1">
      <c r="A49" s="829"/>
      <c r="B49" s="982"/>
      <c r="C49" s="983"/>
      <c r="D49" s="740"/>
      <c r="E49" s="973"/>
      <c r="F49" s="823" t="s">
        <v>721</v>
      </c>
      <c r="G49" s="824">
        <v>10</v>
      </c>
      <c r="H49" s="778" t="s">
        <v>17</v>
      </c>
      <c r="I49" s="825">
        <v>7770</v>
      </c>
      <c r="J49" s="1069">
        <f t="shared" ref="J49" si="15">G49*I49</f>
        <v>77700</v>
      </c>
      <c r="K49" s="1070"/>
      <c r="L49" s="1071"/>
      <c r="M49" s="849"/>
      <c r="N49" s="36"/>
      <c r="O49" s="176"/>
      <c r="P49" s="820"/>
      <c r="Q49" s="39"/>
    </row>
    <row r="50" spans="1:17" ht="18.75" customHeight="1">
      <c r="A50" s="829"/>
      <c r="B50" s="966"/>
      <c r="C50" s="967"/>
      <c r="D50" s="740"/>
      <c r="E50" s="740"/>
      <c r="F50" s="823" t="s">
        <v>666</v>
      </c>
      <c r="G50" s="824">
        <v>3</v>
      </c>
      <c r="H50" s="778" t="s">
        <v>17</v>
      </c>
      <c r="I50" s="825">
        <v>25530</v>
      </c>
      <c r="J50" s="791">
        <f t="shared" ref="J50:J51" si="16">I50*G50</f>
        <v>76590</v>
      </c>
      <c r="K50" s="745"/>
      <c r="L50" s="793"/>
      <c r="M50" s="849"/>
      <c r="N50" s="36"/>
      <c r="O50" s="176"/>
      <c r="P50" s="820"/>
      <c r="Q50" s="39"/>
    </row>
    <row r="51" spans="1:17" ht="18.75" customHeight="1">
      <c r="A51" s="829"/>
      <c r="B51" s="759"/>
      <c r="C51" s="746"/>
      <c r="D51" s="740"/>
      <c r="E51" s="740"/>
      <c r="F51" s="774" t="s">
        <v>727</v>
      </c>
      <c r="G51" s="824">
        <v>3</v>
      </c>
      <c r="H51" s="778" t="s">
        <v>16</v>
      </c>
      <c r="I51" s="825">
        <v>7770</v>
      </c>
      <c r="J51" s="791">
        <f t="shared" si="16"/>
        <v>23310</v>
      </c>
      <c r="K51" s="745"/>
      <c r="L51" s="793"/>
      <c r="M51" s="849"/>
      <c r="N51" s="36"/>
      <c r="O51" s="176"/>
      <c r="P51" s="820"/>
      <c r="Q51" s="39"/>
    </row>
    <row r="52" spans="1:17" ht="18.75" customHeight="1">
      <c r="A52" s="829"/>
      <c r="B52" s="830"/>
      <c r="C52" s="831"/>
      <c r="D52" s="740"/>
      <c r="E52" s="832"/>
      <c r="F52" s="774" t="s">
        <v>719</v>
      </c>
      <c r="G52" s="824">
        <v>16</v>
      </c>
      <c r="H52" s="778" t="s">
        <v>17</v>
      </c>
      <c r="I52" s="825">
        <v>3219</v>
      </c>
      <c r="J52" s="791">
        <f>I52*G52</f>
        <v>51504</v>
      </c>
      <c r="K52" s="833"/>
      <c r="L52" s="833"/>
      <c r="M52" s="849"/>
      <c r="N52" s="36"/>
      <c r="O52" s="176"/>
      <c r="P52" s="820"/>
      <c r="Q52" s="39"/>
    </row>
    <row r="53" spans="1:17" ht="18.75" customHeight="1">
      <c r="A53" s="829"/>
      <c r="B53" s="830"/>
      <c r="C53" s="831"/>
      <c r="D53" s="740"/>
      <c r="E53" s="832"/>
      <c r="F53" s="774" t="s">
        <v>732</v>
      </c>
      <c r="G53" s="824">
        <v>3</v>
      </c>
      <c r="H53" s="778" t="s">
        <v>729</v>
      </c>
      <c r="I53" s="825">
        <v>28860</v>
      </c>
      <c r="J53" s="791">
        <f t="shared" ref="J53" si="17">I53*G53</f>
        <v>86580</v>
      </c>
      <c r="K53" s="833"/>
      <c r="L53" s="833"/>
      <c r="M53" s="849"/>
      <c r="N53" s="36"/>
      <c r="O53" s="176"/>
      <c r="P53" s="820"/>
      <c r="Q53" s="39"/>
    </row>
    <row r="54" spans="1:17" ht="18.75" customHeight="1">
      <c r="A54" s="829"/>
      <c r="B54" s="830"/>
      <c r="C54" s="831"/>
      <c r="D54" s="740"/>
      <c r="E54" s="832"/>
      <c r="F54" s="774" t="s">
        <v>728</v>
      </c>
      <c r="G54" s="824">
        <v>5</v>
      </c>
      <c r="H54" s="778" t="s">
        <v>16</v>
      </c>
      <c r="I54" s="825">
        <v>7770</v>
      </c>
      <c r="J54" s="791">
        <f t="shared" ref="J54:J55" si="18">I54*G54</f>
        <v>38850</v>
      </c>
      <c r="K54" s="833"/>
      <c r="L54" s="833"/>
      <c r="M54" s="849"/>
      <c r="N54" s="36"/>
      <c r="O54" s="176"/>
      <c r="P54" s="820"/>
      <c r="Q54" s="39"/>
    </row>
    <row r="55" spans="1:17" ht="18.75" customHeight="1">
      <c r="A55" s="829"/>
      <c r="B55" s="830"/>
      <c r="C55" s="831"/>
      <c r="D55" s="740"/>
      <c r="E55" s="832"/>
      <c r="F55" s="774" t="s">
        <v>734</v>
      </c>
      <c r="G55" s="824">
        <v>2</v>
      </c>
      <c r="H55" s="778" t="s">
        <v>17</v>
      </c>
      <c r="I55" s="825">
        <v>35520</v>
      </c>
      <c r="J55" s="791">
        <f t="shared" si="18"/>
        <v>71040</v>
      </c>
      <c r="K55" s="833"/>
      <c r="L55" s="833"/>
      <c r="M55" s="849"/>
      <c r="N55" s="36"/>
      <c r="O55" s="176">
        <f>SUM(J47:J55)</f>
        <v>669774</v>
      </c>
      <c r="P55" s="716" t="s">
        <v>722</v>
      </c>
      <c r="Q55" s="39"/>
    </row>
    <row r="56" spans="1:17" ht="18.75" customHeight="1">
      <c r="A56" s="829"/>
      <c r="B56" s="830"/>
      <c r="C56" s="846"/>
      <c r="D56" s="740"/>
      <c r="E56" s="1001"/>
      <c r="F56" s="1118"/>
      <c r="G56" s="1119"/>
      <c r="H56" s="1120"/>
      <c r="I56" s="1121"/>
      <c r="J56" s="990"/>
      <c r="K56" s="833"/>
      <c r="L56" s="1122"/>
      <c r="M56" s="1074"/>
      <c r="N56" s="1073"/>
      <c r="O56" s="176"/>
      <c r="P56" s="820"/>
      <c r="Q56" s="39"/>
    </row>
    <row r="57" spans="1:17" ht="18.75" customHeight="1">
      <c r="A57" s="829"/>
      <c r="B57" s="564">
        <v>46154</v>
      </c>
      <c r="C57" s="1065" t="s">
        <v>717</v>
      </c>
      <c r="D57" s="740"/>
      <c r="E57" s="740"/>
      <c r="F57" s="774" t="s">
        <v>718</v>
      </c>
      <c r="G57" s="824">
        <v>6</v>
      </c>
      <c r="H57" s="778" t="s">
        <v>17</v>
      </c>
      <c r="I57" s="825">
        <v>12210</v>
      </c>
      <c r="J57" s="791">
        <f t="shared" ref="J57" si="19">I57*G57</f>
        <v>73260</v>
      </c>
      <c r="K57" s="219" t="s">
        <v>723</v>
      </c>
      <c r="L57" s="429">
        <v>46154</v>
      </c>
      <c r="M57" s="849"/>
      <c r="N57" s="36"/>
      <c r="O57" s="176"/>
      <c r="P57" s="716"/>
      <c r="Q57" s="39"/>
    </row>
    <row r="58" spans="1:17" ht="18.75" customHeight="1">
      <c r="A58" s="829"/>
      <c r="B58" s="966"/>
      <c r="C58" s="967"/>
      <c r="D58" s="740"/>
      <c r="E58" s="740"/>
      <c r="F58" s="774" t="s">
        <v>719</v>
      </c>
      <c r="G58" s="824">
        <v>27</v>
      </c>
      <c r="H58" s="778" t="s">
        <v>17</v>
      </c>
      <c r="I58" s="825">
        <v>2997</v>
      </c>
      <c r="J58" s="791">
        <f>I58*G58</f>
        <v>80919</v>
      </c>
      <c r="K58" s="778"/>
      <c r="L58" s="994"/>
      <c r="M58" s="849"/>
      <c r="N58" s="36"/>
      <c r="O58" s="176"/>
      <c r="P58" s="716"/>
      <c r="Q58" s="39"/>
    </row>
    <row r="59" spans="1:17" ht="18.75" customHeight="1">
      <c r="A59" s="829"/>
      <c r="B59" s="966"/>
      <c r="C59" s="967"/>
      <c r="D59" s="740"/>
      <c r="E59" s="740"/>
      <c r="F59" s="774" t="s">
        <v>668</v>
      </c>
      <c r="G59" s="824">
        <v>8</v>
      </c>
      <c r="H59" s="778" t="s">
        <v>17</v>
      </c>
      <c r="I59" s="825">
        <v>27195</v>
      </c>
      <c r="J59" s="791">
        <f t="shared" ref="J59:J61" si="20">I59*G59</f>
        <v>217560</v>
      </c>
      <c r="K59" s="745"/>
      <c r="L59" s="793"/>
      <c r="M59" s="849"/>
      <c r="N59" s="36"/>
      <c r="O59" s="176"/>
      <c r="P59" s="716"/>
      <c r="Q59" s="39"/>
    </row>
    <row r="60" spans="1:17" ht="18.75" customHeight="1">
      <c r="A60" s="829"/>
      <c r="B60" s="982"/>
      <c r="C60" s="983"/>
      <c r="D60" s="973"/>
      <c r="E60" s="973"/>
      <c r="F60" s="774" t="s">
        <v>727</v>
      </c>
      <c r="G60" s="824">
        <v>11</v>
      </c>
      <c r="H60" s="778" t="s">
        <v>16</v>
      </c>
      <c r="I60" s="825">
        <v>6438</v>
      </c>
      <c r="J60" s="791">
        <f t="shared" si="20"/>
        <v>70818</v>
      </c>
      <c r="K60" s="1070"/>
      <c r="L60" s="1071"/>
      <c r="M60" s="849"/>
      <c r="N60" s="36"/>
      <c r="O60" s="176"/>
      <c r="P60" s="716"/>
      <c r="Q60" s="39"/>
    </row>
    <row r="61" spans="1:17" ht="18.75" customHeight="1">
      <c r="A61" s="829"/>
      <c r="B61" s="966"/>
      <c r="C61" s="967"/>
      <c r="D61" s="740"/>
      <c r="E61" s="740"/>
      <c r="F61" s="774" t="s">
        <v>720</v>
      </c>
      <c r="G61" s="824">
        <v>16</v>
      </c>
      <c r="H61" s="778" t="s">
        <v>16</v>
      </c>
      <c r="I61" s="825">
        <v>12210</v>
      </c>
      <c r="J61" s="791">
        <f t="shared" si="20"/>
        <v>195360</v>
      </c>
      <c r="K61" s="745"/>
      <c r="L61" s="793"/>
      <c r="M61" s="849"/>
      <c r="N61" s="36"/>
      <c r="O61" s="176"/>
      <c r="P61" s="716"/>
      <c r="Q61" s="39"/>
    </row>
    <row r="62" spans="1:17" ht="18.75" customHeight="1">
      <c r="A62" s="829"/>
      <c r="B62" s="759"/>
      <c r="C62" s="746"/>
      <c r="D62" s="740"/>
      <c r="E62" s="740"/>
      <c r="F62" s="823" t="s">
        <v>721</v>
      </c>
      <c r="G62" s="824">
        <v>13</v>
      </c>
      <c r="H62" s="778" t="s">
        <v>17</v>
      </c>
      <c r="I62" s="825">
        <v>14985</v>
      </c>
      <c r="J62" s="1069">
        <f t="shared" ref="J62" si="21">G62*I62</f>
        <v>194805</v>
      </c>
      <c r="K62" s="745"/>
      <c r="L62" s="793"/>
      <c r="M62" s="849"/>
      <c r="N62" s="36"/>
      <c r="O62" s="176">
        <f>SUM(J57:J62)</f>
        <v>832722</v>
      </c>
      <c r="P62" s="716" t="s">
        <v>722</v>
      </c>
      <c r="Q62" s="39"/>
    </row>
    <row r="63" spans="1:17" ht="18.75" customHeight="1">
      <c r="A63" s="829"/>
      <c r="B63" s="826"/>
      <c r="C63" s="972"/>
      <c r="D63" s="973"/>
      <c r="E63" s="973"/>
      <c r="F63" s="774"/>
      <c r="G63" s="824"/>
      <c r="H63" s="778"/>
      <c r="I63" s="825"/>
      <c r="J63" s="791"/>
      <c r="K63" s="1070"/>
      <c r="L63" s="1071"/>
      <c r="M63" s="849"/>
      <c r="N63" s="36"/>
      <c r="O63" s="176"/>
      <c r="P63" s="716"/>
      <c r="Q63" s="39"/>
    </row>
    <row r="64" spans="1:17" ht="18.75" customHeight="1">
      <c r="A64" s="829"/>
      <c r="B64" s="564">
        <v>46167</v>
      </c>
      <c r="C64" s="1065" t="s">
        <v>717</v>
      </c>
      <c r="D64" s="740"/>
      <c r="E64" s="740"/>
      <c r="F64" s="823" t="s">
        <v>666</v>
      </c>
      <c r="G64" s="824">
        <v>6</v>
      </c>
      <c r="H64" s="778" t="s">
        <v>17</v>
      </c>
      <c r="I64" s="825">
        <v>26085</v>
      </c>
      <c r="J64" s="791">
        <f t="shared" ref="J64" si="22">I64*G64</f>
        <v>156510</v>
      </c>
      <c r="K64" s="219" t="s">
        <v>724</v>
      </c>
      <c r="L64" s="429">
        <v>46167</v>
      </c>
      <c r="M64" s="849"/>
      <c r="N64" s="36"/>
      <c r="O64" s="176"/>
      <c r="P64" s="716"/>
      <c r="Q64" s="39"/>
    </row>
    <row r="65" spans="1:17" ht="18.75" customHeight="1">
      <c r="A65" s="829"/>
      <c r="B65" s="966"/>
      <c r="C65" s="967"/>
      <c r="D65" s="740"/>
      <c r="E65" s="740"/>
      <c r="F65" s="774" t="s">
        <v>668</v>
      </c>
      <c r="G65" s="824">
        <v>10</v>
      </c>
      <c r="H65" s="778" t="s">
        <v>17</v>
      </c>
      <c r="I65" s="825">
        <v>26640</v>
      </c>
      <c r="J65" s="791">
        <f t="shared" ref="J65" si="23">I65*G65</f>
        <v>266400</v>
      </c>
      <c r="K65" s="745"/>
      <c r="L65" s="793"/>
      <c r="M65" s="849"/>
      <c r="N65" s="36"/>
      <c r="O65" s="176"/>
      <c r="P65" s="716"/>
      <c r="Q65" s="39"/>
    </row>
    <row r="66" spans="1:17" ht="18.75" customHeight="1">
      <c r="A66" s="829"/>
      <c r="B66" s="982"/>
      <c r="C66" s="983"/>
      <c r="D66" s="973"/>
      <c r="E66" s="973"/>
      <c r="F66" s="774" t="s">
        <v>726</v>
      </c>
      <c r="G66" s="824">
        <v>16</v>
      </c>
      <c r="H66" s="778" t="s">
        <v>16</v>
      </c>
      <c r="I66" s="825">
        <v>4329</v>
      </c>
      <c r="J66" s="791">
        <f t="shared" ref="J66" si="24">I66*G66</f>
        <v>69264</v>
      </c>
      <c r="K66" s="1070"/>
      <c r="L66" s="1071"/>
      <c r="M66" s="849"/>
      <c r="N66" s="36"/>
      <c r="O66" s="176"/>
      <c r="P66" s="716"/>
      <c r="Q66" s="39"/>
    </row>
    <row r="67" spans="1:17" ht="18.75" customHeight="1">
      <c r="A67" s="829"/>
      <c r="B67" s="966"/>
      <c r="C67" s="967"/>
      <c r="D67" s="740"/>
      <c r="E67" s="740"/>
      <c r="F67" s="823" t="s">
        <v>721</v>
      </c>
      <c r="G67" s="824">
        <v>6</v>
      </c>
      <c r="H67" s="778" t="s">
        <v>17</v>
      </c>
      <c r="I67" s="825">
        <v>13320</v>
      </c>
      <c r="J67" s="1069">
        <f t="shared" ref="J67" si="25">G67*I67</f>
        <v>79920</v>
      </c>
      <c r="K67" s="745"/>
      <c r="L67" s="793"/>
      <c r="M67" s="849"/>
      <c r="N67" s="36"/>
      <c r="O67" s="176"/>
      <c r="P67" s="716"/>
      <c r="Q67" s="39"/>
    </row>
    <row r="68" spans="1:17" ht="18.75" customHeight="1">
      <c r="A68" s="829"/>
      <c r="B68" s="759"/>
      <c r="C68" s="746"/>
      <c r="D68" s="740"/>
      <c r="E68" s="740"/>
      <c r="F68" s="774" t="s">
        <v>728</v>
      </c>
      <c r="G68" s="824">
        <v>15</v>
      </c>
      <c r="H68" s="778" t="s">
        <v>16</v>
      </c>
      <c r="I68" s="825">
        <v>7770</v>
      </c>
      <c r="J68" s="791">
        <f t="shared" ref="J68:J69" si="26">I68*G68</f>
        <v>116550</v>
      </c>
      <c r="K68" s="745"/>
      <c r="L68" s="793"/>
      <c r="M68" s="849"/>
      <c r="N68" s="36"/>
      <c r="O68" s="176"/>
      <c r="P68" s="716"/>
      <c r="Q68" s="39"/>
    </row>
    <row r="69" spans="1:17" ht="18.75" customHeight="1">
      <c r="A69" s="829"/>
      <c r="B69" s="830"/>
      <c r="C69" s="831"/>
      <c r="D69" s="831"/>
      <c r="E69" s="832"/>
      <c r="F69" s="774" t="s">
        <v>688</v>
      </c>
      <c r="G69" s="824">
        <v>4</v>
      </c>
      <c r="H69" s="778" t="s">
        <v>729</v>
      </c>
      <c r="I69" s="825">
        <v>38295</v>
      </c>
      <c r="J69" s="791">
        <f t="shared" si="26"/>
        <v>153180</v>
      </c>
      <c r="K69" s="833"/>
      <c r="L69" s="833"/>
      <c r="M69" s="849"/>
      <c r="N69" s="36"/>
      <c r="O69" s="176"/>
      <c r="P69" s="716"/>
      <c r="Q69" s="39"/>
    </row>
    <row r="70" spans="1:17" ht="18.75" customHeight="1">
      <c r="A70" s="829"/>
      <c r="B70" s="830"/>
      <c r="C70" s="831"/>
      <c r="D70" s="831"/>
      <c r="E70" s="832"/>
      <c r="F70" s="774" t="s">
        <v>730</v>
      </c>
      <c r="G70" s="824">
        <v>5</v>
      </c>
      <c r="H70" s="778" t="s">
        <v>17</v>
      </c>
      <c r="I70" s="825">
        <v>45510</v>
      </c>
      <c r="J70" s="791">
        <f t="shared" ref="J70" si="27">I70*G70</f>
        <v>227550</v>
      </c>
      <c r="K70" s="833"/>
      <c r="L70" s="833"/>
      <c r="M70" s="849"/>
      <c r="N70" s="36"/>
      <c r="O70" s="176"/>
      <c r="P70" s="716"/>
      <c r="Q70" s="39"/>
    </row>
    <row r="71" spans="1:17" ht="18.75" customHeight="1">
      <c r="A71" s="829"/>
      <c r="B71" s="830"/>
      <c r="C71" s="831"/>
      <c r="D71" s="831"/>
      <c r="E71" s="832"/>
      <c r="F71" s="774" t="s">
        <v>731</v>
      </c>
      <c r="G71" s="824">
        <v>15</v>
      </c>
      <c r="H71" s="778" t="s">
        <v>17</v>
      </c>
      <c r="I71" s="825">
        <v>11766</v>
      </c>
      <c r="J71" s="791">
        <f t="shared" ref="J71:J73" si="28">I71*G71</f>
        <v>176490</v>
      </c>
      <c r="K71" s="833"/>
      <c r="L71" s="833"/>
      <c r="M71" s="849"/>
      <c r="N71" s="36"/>
      <c r="O71" s="176"/>
      <c r="P71" s="716"/>
      <c r="Q71" s="39"/>
    </row>
    <row r="72" spans="1:17" ht="18.75" customHeight="1">
      <c r="A72" s="829"/>
      <c r="B72" s="830"/>
      <c r="C72" s="831"/>
      <c r="D72" s="831"/>
      <c r="E72" s="832"/>
      <c r="F72" s="774" t="s">
        <v>732</v>
      </c>
      <c r="G72" s="824">
        <v>3</v>
      </c>
      <c r="H72" s="778" t="s">
        <v>729</v>
      </c>
      <c r="I72" s="825">
        <v>29415</v>
      </c>
      <c r="J72" s="791">
        <f t="shared" si="28"/>
        <v>88245</v>
      </c>
      <c r="K72" s="833"/>
      <c r="L72" s="833"/>
      <c r="M72" s="849"/>
      <c r="N72" s="36"/>
      <c r="O72" s="176"/>
      <c r="P72" s="716"/>
      <c r="Q72" s="39"/>
    </row>
    <row r="73" spans="1:17" ht="18.75" customHeight="1">
      <c r="A73" s="829"/>
      <c r="B73" s="830"/>
      <c r="C73" s="831"/>
      <c r="D73" s="831"/>
      <c r="E73" s="832"/>
      <c r="F73" s="774" t="s">
        <v>725</v>
      </c>
      <c r="G73" s="824">
        <v>5</v>
      </c>
      <c r="H73" s="778" t="s">
        <v>17</v>
      </c>
      <c r="I73" s="825">
        <v>9435</v>
      </c>
      <c r="J73" s="791">
        <f t="shared" si="28"/>
        <v>47175</v>
      </c>
      <c r="K73" s="833"/>
      <c r="L73" s="833"/>
      <c r="M73" s="849"/>
      <c r="N73" s="36"/>
      <c r="O73" s="176">
        <f>SUM(J64:J73)</f>
        <v>1381284</v>
      </c>
      <c r="P73" s="716" t="s">
        <v>722</v>
      </c>
      <c r="Q73" s="39"/>
    </row>
    <row r="74" spans="1:17" ht="18.75" customHeight="1">
      <c r="A74" s="829"/>
      <c r="B74" s="830"/>
      <c r="C74" s="831"/>
      <c r="D74" s="831"/>
      <c r="E74" s="832"/>
      <c r="F74" s="1117"/>
      <c r="G74" s="824"/>
      <c r="H74" s="778"/>
      <c r="I74" s="825"/>
      <c r="J74" s="791"/>
      <c r="K74" s="833"/>
      <c r="L74" s="833"/>
      <c r="M74" s="849"/>
      <c r="N74" s="36"/>
      <c r="O74" s="176"/>
      <c r="P74" s="716"/>
      <c r="Q74" s="39"/>
    </row>
    <row r="75" spans="1:17" ht="18.75" customHeight="1">
      <c r="A75" s="829"/>
      <c r="B75" s="830"/>
      <c r="C75" s="831"/>
      <c r="D75" s="831"/>
      <c r="E75" s="832"/>
      <c r="F75" s="1117"/>
      <c r="G75" s="1119"/>
      <c r="H75" s="1120"/>
      <c r="I75" s="1121"/>
      <c r="J75" s="990"/>
      <c r="K75" s="833"/>
      <c r="L75" s="833"/>
      <c r="M75" s="849"/>
      <c r="N75" s="36"/>
      <c r="O75" s="176"/>
      <c r="P75" s="716"/>
      <c r="Q75" s="39"/>
    </row>
    <row r="76" spans="1:17" ht="18.75" customHeight="1">
      <c r="A76" s="829"/>
      <c r="B76" s="830"/>
      <c r="C76" s="831"/>
      <c r="D76" s="831"/>
      <c r="E76" s="832"/>
      <c r="F76" s="1117"/>
      <c r="G76" s="1119"/>
      <c r="H76" s="1120"/>
      <c r="I76" s="1121"/>
      <c r="J76" s="990"/>
      <c r="K76" s="833"/>
      <c r="L76" s="833"/>
      <c r="M76" s="849"/>
      <c r="N76" s="36"/>
      <c r="O76" s="176"/>
      <c r="P76" s="716"/>
      <c r="Q76" s="39"/>
    </row>
    <row r="77" spans="1:17" ht="18.75" customHeight="1">
      <c r="A77" s="829"/>
      <c r="B77" s="830"/>
      <c r="C77" s="831"/>
      <c r="D77" s="831"/>
      <c r="E77" s="832"/>
      <c r="F77" s="1117"/>
      <c r="G77" s="1119"/>
      <c r="H77" s="1120"/>
      <c r="I77" s="1121"/>
      <c r="J77" s="990"/>
      <c r="K77" s="833"/>
      <c r="L77" s="833"/>
      <c r="M77" s="849"/>
      <c r="N77" s="36"/>
      <c r="O77" s="176"/>
      <c r="P77" s="716"/>
      <c r="Q77" s="39"/>
    </row>
    <row r="78" spans="1:17" ht="18.75" customHeight="1">
      <c r="A78" s="829"/>
      <c r="B78" s="830"/>
      <c r="C78" s="831"/>
      <c r="D78" s="831"/>
      <c r="E78" s="832"/>
      <c r="F78" s="1117"/>
      <c r="G78" s="824"/>
      <c r="H78" s="778"/>
      <c r="I78" s="825"/>
      <c r="J78" s="791"/>
      <c r="K78" s="833"/>
      <c r="L78" s="833"/>
      <c r="M78" s="849"/>
      <c r="N78" s="36"/>
      <c r="O78" s="176"/>
      <c r="P78" s="716"/>
      <c r="Q78" s="39"/>
    </row>
    <row r="79" spans="1:17" ht="18.75" customHeight="1">
      <c r="A79" s="1249" t="s">
        <v>393</v>
      </c>
      <c r="B79" s="1249"/>
      <c r="C79" s="1249"/>
      <c r="D79" s="1249"/>
      <c r="E79" s="1249"/>
      <c r="F79" s="1249"/>
      <c r="G79" s="1249"/>
      <c r="H79" s="1249"/>
      <c r="I79" s="1249"/>
      <c r="J79" s="1249"/>
      <c r="K79" s="1249"/>
      <c r="L79" s="1249"/>
      <c r="M79" s="1249"/>
      <c r="N79" s="36"/>
      <c r="O79" s="84"/>
      <c r="P79" s="476"/>
      <c r="Q79" s="39"/>
    </row>
    <row r="80" spans="1:17" ht="18.75" customHeight="1">
      <c r="A80" s="59"/>
      <c r="B80" s="782"/>
      <c r="C80" s="782"/>
      <c r="D80" s="782"/>
      <c r="E80" s="782"/>
      <c r="F80" s="725"/>
      <c r="G80" s="783"/>
      <c r="H80" s="784"/>
      <c r="I80" s="785"/>
      <c r="J80" s="735"/>
      <c r="K80" s="733"/>
      <c r="L80" s="786"/>
      <c r="M80" s="634"/>
      <c r="N80" s="36"/>
      <c r="O80" s="84"/>
      <c r="P80" s="136"/>
      <c r="Q80" s="39"/>
    </row>
    <row r="81" spans="1:18" ht="18.75" customHeight="1">
      <c r="A81" s="829"/>
      <c r="B81" s="1062"/>
      <c r="C81" s="1063"/>
      <c r="D81" s="427"/>
      <c r="E81" s="215"/>
      <c r="F81" s="723"/>
      <c r="G81" s="184"/>
      <c r="H81" s="705"/>
      <c r="I81" s="706"/>
      <c r="J81" s="438"/>
      <c r="K81" s="219"/>
      <c r="L81" s="429"/>
      <c r="M81" s="984"/>
      <c r="N81" s="36"/>
      <c r="O81" s="84"/>
      <c r="P81" s="136"/>
      <c r="Q81" s="39"/>
    </row>
    <row r="82" spans="1:18" ht="18.75" customHeight="1">
      <c r="A82" s="829"/>
      <c r="B82" s="787"/>
      <c r="C82" s="216"/>
      <c r="D82" s="740"/>
      <c r="E82" s="740"/>
      <c r="F82" s="723"/>
      <c r="G82" s="184"/>
      <c r="H82" s="705"/>
      <c r="I82" s="706"/>
      <c r="J82" s="438"/>
      <c r="K82" s="788"/>
      <c r="L82" s="787"/>
      <c r="M82" s="787"/>
      <c r="N82" s="36"/>
      <c r="O82" s="84"/>
      <c r="P82" s="1064"/>
      <c r="Q82" s="39"/>
    </row>
    <row r="83" spans="1:18" ht="18.75" customHeight="1">
      <c r="A83" s="59"/>
      <c r="B83" s="1062">
        <v>46139</v>
      </c>
      <c r="C83" s="1063" t="s">
        <v>379</v>
      </c>
      <c r="D83" s="427"/>
      <c r="E83" s="215"/>
      <c r="F83" s="723" t="s">
        <v>647</v>
      </c>
      <c r="G83" s="184">
        <v>1</v>
      </c>
      <c r="H83" s="705" t="s">
        <v>18</v>
      </c>
      <c r="I83" s="706">
        <v>122100</v>
      </c>
      <c r="J83" s="438">
        <f>G83*I83</f>
        <v>122100</v>
      </c>
      <c r="K83" s="219" t="s">
        <v>648</v>
      </c>
      <c r="L83" s="429">
        <v>46139</v>
      </c>
      <c r="M83" s="787"/>
      <c r="N83" s="36"/>
      <c r="O83" s="84"/>
      <c r="P83" s="716"/>
      <c r="Q83" s="136"/>
      <c r="R83" s="39"/>
    </row>
    <row r="84" spans="1:18" ht="18.75" customHeight="1">
      <c r="A84" s="59"/>
      <c r="B84" s="787"/>
      <c r="C84" s="216"/>
      <c r="D84" s="740"/>
      <c r="E84" s="740"/>
      <c r="F84" s="723" t="s">
        <v>527</v>
      </c>
      <c r="G84" s="184">
        <v>5</v>
      </c>
      <c r="H84" s="705" t="s">
        <v>18</v>
      </c>
      <c r="I84" s="706">
        <v>113775</v>
      </c>
      <c r="J84" s="438">
        <f>G84*I84</f>
        <v>568875</v>
      </c>
      <c r="K84" s="788"/>
      <c r="L84" s="787"/>
      <c r="M84" s="832"/>
      <c r="N84" s="36"/>
      <c r="O84" s="176">
        <f>SUM(J83:J84)</f>
        <v>690975</v>
      </c>
      <c r="P84" s="662" t="s">
        <v>642</v>
      </c>
      <c r="Q84" s="136"/>
      <c r="R84" s="39"/>
    </row>
    <row r="85" spans="1:18" ht="18.75" customHeight="1">
      <c r="A85" s="59"/>
      <c r="B85" s="787"/>
      <c r="C85" s="216"/>
      <c r="D85" s="740"/>
      <c r="E85" s="740"/>
      <c r="F85" s="723"/>
      <c r="G85" s="184"/>
      <c r="H85" s="705"/>
      <c r="I85" s="706"/>
      <c r="J85" s="438"/>
      <c r="K85" s="788"/>
      <c r="L85" s="787"/>
      <c r="M85" s="787"/>
      <c r="N85" s="36"/>
      <c r="O85" s="84"/>
      <c r="P85" s="84"/>
      <c r="Q85" s="136"/>
      <c r="R85" s="39"/>
    </row>
    <row r="86" spans="1:18" ht="18.75" customHeight="1">
      <c r="A86" s="59"/>
      <c r="B86" s="759"/>
      <c r="C86" s="746"/>
      <c r="D86" s="740"/>
      <c r="E86" s="740"/>
      <c r="F86" s="741"/>
      <c r="G86" s="789"/>
      <c r="H86" s="781"/>
      <c r="I86" s="790"/>
      <c r="J86" s="791"/>
      <c r="K86" s="746"/>
      <c r="L86" s="747"/>
      <c r="M86" s="787"/>
      <c r="N86" s="36"/>
      <c r="O86" s="84"/>
      <c r="P86" s="716"/>
      <c r="Q86" s="136"/>
      <c r="R86" s="39"/>
    </row>
    <row r="87" spans="1:18" ht="18.75" customHeight="1">
      <c r="A87" s="59"/>
      <c r="B87" s="1062">
        <v>46139</v>
      </c>
      <c r="C87" s="1063" t="s">
        <v>379</v>
      </c>
      <c r="D87" s="427"/>
      <c r="E87" s="215"/>
      <c r="F87" s="723" t="s">
        <v>640</v>
      </c>
      <c r="G87" s="184">
        <v>6</v>
      </c>
      <c r="H87" s="705" t="s">
        <v>18</v>
      </c>
      <c r="I87" s="706">
        <v>124875</v>
      </c>
      <c r="J87" s="438">
        <f>G87*I87</f>
        <v>749250</v>
      </c>
      <c r="K87" s="219" t="s">
        <v>641</v>
      </c>
      <c r="L87" s="429">
        <v>46139</v>
      </c>
      <c r="M87" s="787"/>
      <c r="N87" s="36"/>
      <c r="O87" s="84"/>
      <c r="P87" s="716"/>
      <c r="Q87" s="136"/>
      <c r="R87" s="39"/>
    </row>
    <row r="88" spans="1:18" ht="18.75" customHeight="1">
      <c r="A88" s="829"/>
      <c r="B88" s="787"/>
      <c r="C88" s="216"/>
      <c r="D88" s="740"/>
      <c r="E88" s="740"/>
      <c r="F88" s="723" t="s">
        <v>527</v>
      </c>
      <c r="G88" s="184">
        <v>14</v>
      </c>
      <c r="H88" s="705" t="s">
        <v>18</v>
      </c>
      <c r="I88" s="706">
        <v>114330</v>
      </c>
      <c r="J88" s="438">
        <f>G88*I88</f>
        <v>1600620</v>
      </c>
      <c r="K88" s="788"/>
      <c r="L88" s="787"/>
      <c r="M88" s="832"/>
      <c r="N88" s="36"/>
      <c r="O88" s="176">
        <f>SUM(J87:J88)</f>
        <v>2349870</v>
      </c>
      <c r="P88" s="662" t="s">
        <v>642</v>
      </c>
      <c r="Q88" s="136"/>
      <c r="R88" s="39"/>
    </row>
    <row r="89" spans="1:18" ht="18.75" customHeight="1">
      <c r="A89" s="829"/>
      <c r="B89" s="759"/>
      <c r="C89" s="746"/>
      <c r="D89" s="740"/>
      <c r="E89" s="740"/>
      <c r="F89" s="741"/>
      <c r="G89" s="789"/>
      <c r="H89" s="781"/>
      <c r="I89" s="790"/>
      <c r="J89" s="791"/>
      <c r="K89" s="746"/>
      <c r="L89" s="747"/>
      <c r="M89" s="832"/>
      <c r="N89" s="36"/>
      <c r="O89" s="84"/>
      <c r="P89" s="716"/>
      <c r="Q89" s="136"/>
      <c r="R89" s="39"/>
    </row>
    <row r="90" spans="1:18" ht="18.75" customHeight="1">
      <c r="A90" s="829"/>
      <c r="B90" s="1062">
        <v>46148</v>
      </c>
      <c r="C90" s="1063" t="s">
        <v>379</v>
      </c>
      <c r="D90" s="427"/>
      <c r="E90" s="215"/>
      <c r="F90" s="723" t="s">
        <v>742</v>
      </c>
      <c r="G90" s="184">
        <v>5</v>
      </c>
      <c r="H90" s="705" t="s">
        <v>18</v>
      </c>
      <c r="I90" s="706">
        <v>95460</v>
      </c>
      <c r="J90" s="438">
        <f>G90*I90</f>
        <v>477300</v>
      </c>
      <c r="K90" s="219" t="s">
        <v>741</v>
      </c>
      <c r="L90" s="429">
        <v>46148</v>
      </c>
      <c r="M90" s="832"/>
      <c r="N90" s="36"/>
      <c r="O90" s="84"/>
      <c r="P90" s="569"/>
      <c r="Q90" s="136"/>
      <c r="R90" s="39"/>
    </row>
    <row r="91" spans="1:18" ht="18.75" customHeight="1">
      <c r="A91" s="829"/>
      <c r="B91" s="787"/>
      <c r="C91" s="216"/>
      <c r="D91" s="740"/>
      <c r="E91" s="740"/>
      <c r="F91" s="723" t="s">
        <v>743</v>
      </c>
      <c r="G91" s="184">
        <v>6</v>
      </c>
      <c r="H91" s="705" t="s">
        <v>18</v>
      </c>
      <c r="I91" s="706">
        <v>95460</v>
      </c>
      <c r="J91" s="438">
        <f>G91*I91</f>
        <v>572760</v>
      </c>
      <c r="K91" s="788"/>
      <c r="L91" s="787"/>
      <c r="M91" s="832"/>
      <c r="N91" s="36"/>
      <c r="O91" s="176">
        <f>SUM(J90:J91)</f>
        <v>1050060</v>
      </c>
      <c r="P91" s="716" t="s">
        <v>642</v>
      </c>
      <c r="Q91" s="136"/>
      <c r="R91" s="39"/>
    </row>
    <row r="92" spans="1:18" ht="18.75" customHeight="1">
      <c r="A92" s="829"/>
      <c r="B92" s="429"/>
      <c r="C92" s="757"/>
      <c r="D92" s="740"/>
      <c r="E92" s="740"/>
      <c r="F92" s="559"/>
      <c r="G92" s="428"/>
      <c r="H92" s="713"/>
      <c r="I92" s="436"/>
      <c r="J92" s="437"/>
      <c r="K92" s="778"/>
      <c r="L92" s="429"/>
      <c r="M92" s="832"/>
      <c r="N92" s="36"/>
      <c r="O92" s="84"/>
      <c r="P92" s="847"/>
      <c r="Q92" s="136"/>
      <c r="R92" s="39"/>
    </row>
    <row r="93" spans="1:18" ht="18.75" customHeight="1">
      <c r="A93" s="59"/>
      <c r="B93" s="1062">
        <v>46154</v>
      </c>
      <c r="C93" s="1063" t="s">
        <v>379</v>
      </c>
      <c r="D93" s="427"/>
      <c r="E93" s="215"/>
      <c r="F93" s="723" t="s">
        <v>739</v>
      </c>
      <c r="G93" s="184">
        <v>6</v>
      </c>
      <c r="H93" s="705" t="s">
        <v>18</v>
      </c>
      <c r="I93" s="706">
        <v>99900</v>
      </c>
      <c r="J93" s="438">
        <f>G93*I93</f>
        <v>599400</v>
      </c>
      <c r="K93" s="219" t="s">
        <v>738</v>
      </c>
      <c r="L93" s="429">
        <v>46154</v>
      </c>
      <c r="M93" s="832"/>
      <c r="N93" s="36"/>
      <c r="O93" s="84"/>
      <c r="P93" s="569"/>
      <c r="Q93" s="136"/>
      <c r="R93" s="39"/>
    </row>
    <row r="94" spans="1:18" ht="18.75" customHeight="1">
      <c r="A94" s="59"/>
      <c r="B94" s="787"/>
      <c r="C94" s="216"/>
      <c r="D94" s="740"/>
      <c r="E94" s="740"/>
      <c r="F94" s="723" t="s">
        <v>740</v>
      </c>
      <c r="G94" s="184">
        <v>6</v>
      </c>
      <c r="H94" s="705" t="s">
        <v>18</v>
      </c>
      <c r="I94" s="706">
        <v>95460</v>
      </c>
      <c r="J94" s="438">
        <f>G94*I94</f>
        <v>572760</v>
      </c>
      <c r="K94" s="788"/>
      <c r="L94" s="787"/>
      <c r="M94" s="832"/>
      <c r="N94" s="36"/>
      <c r="O94" s="176">
        <f>SUM(J93:J94)</f>
        <v>1172160</v>
      </c>
      <c r="P94" s="716" t="s">
        <v>642</v>
      </c>
      <c r="Q94" s="39"/>
    </row>
    <row r="95" spans="1:18" ht="18.75" customHeight="1">
      <c r="A95" s="59"/>
      <c r="B95" s="430"/>
      <c r="C95" s="217"/>
      <c r="D95" s="217"/>
      <c r="E95" s="215"/>
      <c r="F95" s="704"/>
      <c r="G95" s="428"/>
      <c r="H95" s="705"/>
      <c r="I95" s="707"/>
      <c r="J95" s="438"/>
      <c r="K95" s="427"/>
      <c r="L95" s="427"/>
      <c r="M95" s="634"/>
      <c r="N95" s="36"/>
      <c r="O95" s="176"/>
      <c r="P95" s="182"/>
      <c r="Q95" s="39"/>
    </row>
    <row r="96" spans="1:18" ht="18.75" customHeight="1">
      <c r="A96" s="59"/>
      <c r="B96" s="429"/>
      <c r="C96" s="216"/>
      <c r="D96" s="740"/>
      <c r="E96" s="740"/>
      <c r="F96" s="559"/>
      <c r="G96" s="428"/>
      <c r="H96" s="713"/>
      <c r="I96" s="436"/>
      <c r="J96" s="437"/>
      <c r="K96" s="778"/>
      <c r="L96" s="429"/>
      <c r="M96" s="133"/>
      <c r="N96" s="36"/>
      <c r="O96" s="176"/>
      <c r="P96" s="700"/>
      <c r="Q96" s="39"/>
    </row>
    <row r="97" spans="1:17" ht="18.75" customHeight="1">
      <c r="A97" s="59"/>
      <c r="B97" s="759"/>
      <c r="C97" s="746"/>
      <c r="D97" s="740"/>
      <c r="E97" s="740"/>
      <c r="F97" s="559"/>
      <c r="G97" s="428"/>
      <c r="H97" s="713"/>
      <c r="I97" s="436"/>
      <c r="J97" s="437"/>
      <c r="K97" s="779"/>
      <c r="L97" s="780"/>
      <c r="M97" s="133"/>
      <c r="N97" s="36"/>
      <c r="O97" s="176"/>
      <c r="P97" s="716"/>
      <c r="Q97" s="39"/>
    </row>
    <row r="98" spans="1:17" ht="18.75" customHeight="1">
      <c r="A98" s="59"/>
      <c r="B98" s="430"/>
      <c r="C98" s="217"/>
      <c r="D98" s="217"/>
      <c r="E98" s="215"/>
      <c r="F98" s="828"/>
      <c r="G98" s="428"/>
      <c r="H98" s="705"/>
      <c r="I98" s="707"/>
      <c r="J98" s="438"/>
      <c r="K98" s="427"/>
      <c r="L98" s="427"/>
      <c r="M98" s="634"/>
      <c r="N98" s="36"/>
      <c r="O98" s="176"/>
      <c r="P98" s="182"/>
      <c r="Q98" s="39"/>
    </row>
    <row r="99" spans="1:17" ht="18.75" customHeight="1">
      <c r="A99" s="1139" t="s">
        <v>394</v>
      </c>
      <c r="B99" s="1139"/>
      <c r="C99" s="1139"/>
      <c r="D99" s="1139"/>
      <c r="E99" s="1139"/>
      <c r="F99" s="1139"/>
      <c r="G99" s="1139"/>
      <c r="H99" s="1139"/>
      <c r="I99" s="1139"/>
      <c r="J99" s="1139"/>
      <c r="K99" s="1139"/>
      <c r="L99" s="1139"/>
      <c r="M99" s="1139"/>
      <c r="N99" s="36"/>
      <c r="O99" s="176"/>
      <c r="P99" s="194"/>
      <c r="Q99" s="39"/>
    </row>
    <row r="100" spans="1:17" ht="18.75" customHeight="1">
      <c r="A100" s="59"/>
      <c r="B100" s="430"/>
      <c r="C100" s="217"/>
      <c r="D100" s="217"/>
      <c r="E100" s="215"/>
      <c r="F100" s="724"/>
      <c r="G100" s="433"/>
      <c r="H100" s="705"/>
      <c r="I100" s="708"/>
      <c r="J100" s="438"/>
      <c r="K100" s="427"/>
      <c r="L100" s="427"/>
      <c r="M100" s="59"/>
      <c r="N100" s="36"/>
      <c r="O100" s="176"/>
      <c r="P100" s="194"/>
      <c r="Q100" s="39"/>
    </row>
    <row r="101" spans="1:17" ht="18.75" customHeight="1">
      <c r="A101" s="829"/>
      <c r="B101" s="830"/>
      <c r="C101" s="831"/>
      <c r="D101" s="831"/>
      <c r="E101" s="832"/>
      <c r="F101" s="821"/>
      <c r="G101" s="981"/>
      <c r="H101" s="705"/>
      <c r="I101" s="708"/>
      <c r="J101" s="924"/>
      <c r="K101" s="833"/>
      <c r="L101" s="833"/>
      <c r="M101" s="829"/>
      <c r="N101" s="36"/>
      <c r="O101" s="176"/>
      <c r="P101" s="194"/>
      <c r="Q101" s="39"/>
    </row>
    <row r="102" spans="1:17" ht="18.75" customHeight="1">
      <c r="A102" s="829"/>
      <c r="B102" s="1062">
        <v>46135</v>
      </c>
      <c r="C102" s="1063" t="s">
        <v>379</v>
      </c>
      <c r="D102" s="427"/>
      <c r="E102" s="215"/>
      <c r="F102" s="559" t="s">
        <v>606</v>
      </c>
      <c r="G102" s="184">
        <v>3</v>
      </c>
      <c r="H102" s="705" t="s">
        <v>15</v>
      </c>
      <c r="I102" s="706">
        <v>48840</v>
      </c>
      <c r="J102" s="438">
        <f>G102*I102</f>
        <v>146520</v>
      </c>
      <c r="K102" s="219" t="s">
        <v>638</v>
      </c>
      <c r="L102" s="429">
        <v>46135</v>
      </c>
      <c r="M102" s="59"/>
      <c r="N102" s="36"/>
      <c r="O102" s="176">
        <f>SUM(J102:J103)</f>
        <v>1056720</v>
      </c>
      <c r="P102" s="700" t="s">
        <v>375</v>
      </c>
      <c r="Q102" s="39"/>
    </row>
    <row r="103" spans="1:17" ht="18.75" customHeight="1">
      <c r="A103" s="829"/>
      <c r="B103" s="1062"/>
      <c r="C103" s="1063"/>
      <c r="D103" s="427"/>
      <c r="E103" s="215"/>
      <c r="F103" s="559" t="s">
        <v>385</v>
      </c>
      <c r="G103" s="184">
        <v>20</v>
      </c>
      <c r="H103" s="705" t="s">
        <v>15</v>
      </c>
      <c r="I103" s="706">
        <v>45510</v>
      </c>
      <c r="J103" s="438">
        <f>G103*I103</f>
        <v>910200</v>
      </c>
      <c r="K103" s="219"/>
      <c r="L103" s="429"/>
      <c r="M103" s="133"/>
      <c r="N103" s="36"/>
      <c r="O103" s="176"/>
      <c r="P103" s="715"/>
      <c r="Q103" s="39"/>
    </row>
    <row r="104" spans="1:17" ht="18.75" customHeight="1">
      <c r="A104" s="829"/>
      <c r="B104" s="830"/>
      <c r="C104" s="831"/>
      <c r="D104" s="831"/>
      <c r="E104" s="832"/>
      <c r="F104" s="821"/>
      <c r="G104" s="981"/>
      <c r="H104" s="705"/>
      <c r="I104" s="708"/>
      <c r="J104" s="924"/>
      <c r="K104" s="833"/>
      <c r="L104" s="833"/>
      <c r="M104" s="829"/>
      <c r="N104" s="36"/>
      <c r="O104" s="176"/>
      <c r="P104" s="194"/>
      <c r="Q104" s="39"/>
    </row>
    <row r="105" spans="1:17" ht="18.75" customHeight="1">
      <c r="A105" s="829"/>
      <c r="B105" s="1062">
        <v>46135</v>
      </c>
      <c r="C105" s="1063" t="s">
        <v>379</v>
      </c>
      <c r="D105" s="427"/>
      <c r="E105" s="215"/>
      <c r="F105" s="559" t="s">
        <v>606</v>
      </c>
      <c r="G105" s="184">
        <v>1</v>
      </c>
      <c r="H105" s="705" t="s">
        <v>15</v>
      </c>
      <c r="I105" s="706">
        <v>48840</v>
      </c>
      <c r="J105" s="438">
        <f>G105*I105</f>
        <v>48840</v>
      </c>
      <c r="K105" s="219" t="s">
        <v>677</v>
      </c>
      <c r="L105" s="429">
        <v>46135</v>
      </c>
      <c r="M105" s="59"/>
      <c r="N105" s="36"/>
      <c r="O105" s="176"/>
      <c r="P105" s="194"/>
      <c r="Q105" s="39"/>
    </row>
    <row r="106" spans="1:17" ht="18.75" customHeight="1">
      <c r="A106" s="59"/>
      <c r="B106" s="1062"/>
      <c r="C106" s="1063"/>
      <c r="D106" s="427"/>
      <c r="E106" s="215"/>
      <c r="F106" s="559" t="s">
        <v>385</v>
      </c>
      <c r="G106" s="184">
        <v>2</v>
      </c>
      <c r="H106" s="705" t="s">
        <v>15</v>
      </c>
      <c r="I106" s="706">
        <v>45510</v>
      </c>
      <c r="J106" s="438">
        <f>G106*I106</f>
        <v>91020</v>
      </c>
      <c r="K106" s="219"/>
      <c r="L106" s="429"/>
      <c r="M106" s="59"/>
      <c r="N106" s="36"/>
      <c r="O106" s="176">
        <f>SUM(J105:J106)</f>
        <v>139860</v>
      </c>
      <c r="P106" s="700" t="s">
        <v>375</v>
      </c>
      <c r="Q106" s="39"/>
    </row>
    <row r="107" spans="1:17" ht="18.75" customHeight="1">
      <c r="A107" s="829"/>
      <c r="B107" s="985"/>
      <c r="C107" s="846"/>
      <c r="D107" s="973"/>
      <c r="E107" s="973"/>
      <c r="F107" s="986"/>
      <c r="G107" s="987"/>
      <c r="H107" s="988"/>
      <c r="I107" s="989"/>
      <c r="J107" s="990"/>
      <c r="K107" s="219"/>
      <c r="L107" s="992"/>
      <c r="M107" s="829"/>
      <c r="N107" s="36"/>
      <c r="O107" s="176"/>
      <c r="P107" s="716"/>
      <c r="Q107" s="39"/>
    </row>
    <row r="108" spans="1:17" ht="18.75" customHeight="1">
      <c r="A108" s="59"/>
      <c r="B108" s="1062">
        <v>46135</v>
      </c>
      <c r="C108" s="1063" t="s">
        <v>379</v>
      </c>
      <c r="D108" s="427"/>
      <c r="E108" s="215"/>
      <c r="F108" s="559" t="s">
        <v>385</v>
      </c>
      <c r="G108" s="184">
        <v>8</v>
      </c>
      <c r="H108" s="705" t="s">
        <v>15</v>
      </c>
      <c r="I108" s="706">
        <v>45510</v>
      </c>
      <c r="J108" s="438">
        <f>G108*I108</f>
        <v>364080</v>
      </c>
      <c r="K108" s="219" t="s">
        <v>678</v>
      </c>
      <c r="L108" s="429">
        <v>46135</v>
      </c>
      <c r="M108" s="59"/>
      <c r="N108" s="36"/>
      <c r="O108" s="176"/>
      <c r="P108" s="194"/>
      <c r="Q108" s="39"/>
    </row>
    <row r="109" spans="1:17" ht="18.75" customHeight="1">
      <c r="A109" s="829"/>
      <c r="B109" s="1062"/>
      <c r="C109" s="1063"/>
      <c r="D109" s="427"/>
      <c r="E109" s="215"/>
      <c r="F109" s="559" t="s">
        <v>606</v>
      </c>
      <c r="G109" s="184">
        <v>3</v>
      </c>
      <c r="H109" s="705" t="s">
        <v>15</v>
      </c>
      <c r="I109" s="706">
        <v>48840</v>
      </c>
      <c r="J109" s="438">
        <f>G109*I109</f>
        <v>146520</v>
      </c>
      <c r="K109" s="219"/>
      <c r="L109" s="429"/>
      <c r="M109" s="59"/>
      <c r="N109" s="36"/>
      <c r="O109" s="176">
        <f>SUM(J108:J109)</f>
        <v>510600</v>
      </c>
      <c r="P109" s="700" t="s">
        <v>375</v>
      </c>
      <c r="Q109" s="39"/>
    </row>
    <row r="110" spans="1:17" ht="18.75" customHeight="1">
      <c r="A110" s="829"/>
      <c r="B110" s="1062"/>
      <c r="C110" s="1125"/>
      <c r="D110" s="427"/>
      <c r="E110" s="215"/>
      <c r="F110" s="840"/>
      <c r="G110" s="1113"/>
      <c r="H110" s="1126"/>
      <c r="I110" s="1127"/>
      <c r="J110" s="924"/>
      <c r="K110" s="845"/>
      <c r="L110" s="838"/>
      <c r="M110" s="829"/>
      <c r="N110" s="36"/>
      <c r="O110" s="176"/>
      <c r="P110" s="700"/>
      <c r="Q110" s="39"/>
    </row>
    <row r="111" spans="1:17" ht="18.75" customHeight="1">
      <c r="A111" s="829"/>
      <c r="B111" s="1062">
        <v>46147</v>
      </c>
      <c r="C111" s="1063" t="s">
        <v>379</v>
      </c>
      <c r="D111" s="427"/>
      <c r="E111" s="215"/>
      <c r="F111" s="559" t="s">
        <v>606</v>
      </c>
      <c r="G111" s="184">
        <v>60</v>
      </c>
      <c r="H111" s="705" t="s">
        <v>15</v>
      </c>
      <c r="I111" s="706">
        <v>48840</v>
      </c>
      <c r="J111" s="438">
        <f>G111*I111</f>
        <v>2930400</v>
      </c>
      <c r="K111" s="219" t="s">
        <v>744</v>
      </c>
      <c r="L111" s="429">
        <v>46147</v>
      </c>
      <c r="M111" s="59"/>
      <c r="N111" s="36"/>
      <c r="O111" s="176"/>
      <c r="P111" s="194"/>
      <c r="Q111" s="39"/>
    </row>
    <row r="112" spans="1:17" ht="18.75" customHeight="1">
      <c r="A112" s="829"/>
      <c r="B112" s="1062"/>
      <c r="C112" s="1063"/>
      <c r="D112" s="427"/>
      <c r="E112" s="215"/>
      <c r="F112" s="559" t="s">
        <v>385</v>
      </c>
      <c r="G112" s="184">
        <v>63</v>
      </c>
      <c r="H112" s="705" t="s">
        <v>15</v>
      </c>
      <c r="I112" s="706">
        <v>45510</v>
      </c>
      <c r="J112" s="438">
        <f>G112*I112</f>
        <v>2867130</v>
      </c>
      <c r="K112" s="219"/>
      <c r="L112" s="429"/>
      <c r="M112" s="59"/>
      <c r="N112" s="36"/>
      <c r="O112" s="176">
        <f>SUM(J111:J112)</f>
        <v>5797530</v>
      </c>
      <c r="P112" s="700" t="s">
        <v>375</v>
      </c>
      <c r="Q112" s="39"/>
    </row>
    <row r="113" spans="1:17" ht="18.75" customHeight="1">
      <c r="A113" s="829"/>
      <c r="B113" s="1124"/>
      <c r="C113" s="1125"/>
      <c r="D113" s="863"/>
      <c r="E113" s="850"/>
      <c r="F113" s="1026"/>
      <c r="G113" s="1027"/>
      <c r="H113" s="1028"/>
      <c r="I113" s="1029"/>
      <c r="J113" s="1030"/>
      <c r="K113" s="1017"/>
      <c r="L113" s="1018"/>
      <c r="M113" s="829"/>
      <c r="N113" s="36"/>
      <c r="O113" s="176"/>
      <c r="P113" s="700"/>
      <c r="Q113" s="39"/>
    </row>
    <row r="114" spans="1:17" ht="18.75" customHeight="1">
      <c r="A114" s="829"/>
      <c r="B114" s="966"/>
      <c r="C114" s="967"/>
      <c r="D114" s="740"/>
      <c r="E114" s="740"/>
      <c r="F114" s="741"/>
      <c r="G114" s="789"/>
      <c r="H114" s="781"/>
      <c r="I114" s="790"/>
      <c r="J114" s="791"/>
      <c r="K114" s="745"/>
      <c r="L114" s="793"/>
      <c r="M114" s="849"/>
      <c r="N114" s="36"/>
      <c r="O114" s="84"/>
      <c r="P114" s="136"/>
      <c r="Q114" s="39"/>
    </row>
    <row r="115" spans="1:17" ht="18.75" customHeight="1">
      <c r="A115" s="59"/>
      <c r="B115" s="1062">
        <v>46146</v>
      </c>
      <c r="C115" s="1063" t="s">
        <v>717</v>
      </c>
      <c r="D115" s="427"/>
      <c r="E115" s="215"/>
      <c r="F115" s="559" t="s">
        <v>385</v>
      </c>
      <c r="G115" s="184">
        <v>15</v>
      </c>
      <c r="H115" s="705" t="s">
        <v>15</v>
      </c>
      <c r="I115" s="706">
        <v>54390</v>
      </c>
      <c r="J115" s="438">
        <f>G115*I115</f>
        <v>815850</v>
      </c>
      <c r="K115" s="219" t="s">
        <v>736</v>
      </c>
      <c r="L115" s="429">
        <v>46146</v>
      </c>
      <c r="M115" s="133"/>
      <c r="N115" s="36"/>
      <c r="O115" s="176"/>
      <c r="P115" s="569"/>
      <c r="Q115" s="39"/>
    </row>
    <row r="116" spans="1:17" ht="18.75" customHeight="1">
      <c r="A116" s="59"/>
      <c r="B116" s="1062"/>
      <c r="C116" s="1063"/>
      <c r="D116" s="427"/>
      <c r="E116" s="215"/>
      <c r="F116" s="559" t="s">
        <v>735</v>
      </c>
      <c r="G116" s="184">
        <v>22</v>
      </c>
      <c r="H116" s="705" t="s">
        <v>15</v>
      </c>
      <c r="I116" s="706">
        <v>81030</v>
      </c>
      <c r="J116" s="438">
        <f>G116*I116</f>
        <v>1782660</v>
      </c>
      <c r="K116" s="219"/>
      <c r="L116" s="429"/>
      <c r="M116" s="133"/>
      <c r="N116" s="36"/>
      <c r="O116" s="176">
        <f>SUM(J115:J116)</f>
        <v>2598510</v>
      </c>
      <c r="P116" s="1123" t="s">
        <v>375</v>
      </c>
      <c r="Q116" s="39"/>
    </row>
    <row r="117" spans="1:17" ht="18.75" customHeight="1">
      <c r="A117" s="829"/>
      <c r="B117" s="1062"/>
      <c r="C117" s="1063"/>
      <c r="D117" s="427"/>
      <c r="E117" s="215"/>
      <c r="F117" s="559"/>
      <c r="G117" s="1027"/>
      <c r="H117" s="1028"/>
      <c r="I117" s="706"/>
      <c r="J117" s="438"/>
      <c r="K117" s="219"/>
      <c r="L117" s="1018"/>
      <c r="M117" s="849"/>
      <c r="N117" s="36"/>
      <c r="O117" s="176"/>
      <c r="P117" s="1123"/>
      <c r="Q117" s="39"/>
    </row>
    <row r="118" spans="1:17" ht="18.75" customHeight="1">
      <c r="A118" s="829"/>
      <c r="B118" s="1062">
        <v>46150</v>
      </c>
      <c r="C118" s="1063" t="s">
        <v>747</v>
      </c>
      <c r="D118" s="427"/>
      <c r="E118" s="215"/>
      <c r="F118" s="559" t="s">
        <v>748</v>
      </c>
      <c r="G118" s="184">
        <v>2</v>
      </c>
      <c r="H118" s="705" t="s">
        <v>15</v>
      </c>
      <c r="I118" s="706">
        <v>77999.7</v>
      </c>
      <c r="J118" s="438">
        <f>G118*I118</f>
        <v>155999.4</v>
      </c>
      <c r="K118" s="219" t="s">
        <v>746</v>
      </c>
      <c r="L118" s="429">
        <v>46150</v>
      </c>
      <c r="M118" s="849"/>
      <c r="N118" s="36"/>
      <c r="O118" s="176"/>
      <c r="P118" s="1123"/>
      <c r="Q118" s="39"/>
    </row>
    <row r="119" spans="1:17" ht="18.75" customHeight="1">
      <c r="A119" s="829"/>
      <c r="B119" s="1062"/>
      <c r="C119" s="1063"/>
      <c r="D119" s="427"/>
      <c r="E119" s="215"/>
      <c r="F119" s="559" t="s">
        <v>749</v>
      </c>
      <c r="G119" s="184">
        <v>2</v>
      </c>
      <c r="H119" s="705" t="s">
        <v>15</v>
      </c>
      <c r="I119" s="706">
        <v>88800</v>
      </c>
      <c r="J119" s="438">
        <f>G119*I119</f>
        <v>177600</v>
      </c>
      <c r="K119" s="219"/>
      <c r="L119" s="429"/>
      <c r="M119" s="849"/>
      <c r="N119" s="36"/>
      <c r="O119" s="176"/>
      <c r="P119" s="1123"/>
      <c r="Q119" s="39"/>
    </row>
    <row r="120" spans="1:17" ht="18.75" customHeight="1">
      <c r="A120" s="829"/>
      <c r="B120" s="1062"/>
      <c r="C120" s="1063"/>
      <c r="D120" s="427"/>
      <c r="E120" s="215"/>
      <c r="F120" s="559" t="s">
        <v>385</v>
      </c>
      <c r="G120" s="184">
        <v>12</v>
      </c>
      <c r="H120" s="705" t="s">
        <v>15</v>
      </c>
      <c r="I120" s="706">
        <v>45510</v>
      </c>
      <c r="J120" s="438">
        <f>G120*I120</f>
        <v>546120</v>
      </c>
      <c r="K120" s="219"/>
      <c r="L120" s="1018"/>
      <c r="M120" s="849"/>
      <c r="N120" s="36"/>
      <c r="O120" s="176"/>
      <c r="P120" s="1123"/>
      <c r="Q120" s="39"/>
    </row>
    <row r="121" spans="1:17" ht="18.75" customHeight="1">
      <c r="A121" s="829"/>
      <c r="B121" s="1062"/>
      <c r="C121" s="1063"/>
      <c r="D121" s="427"/>
      <c r="E121" s="215"/>
      <c r="F121" s="559" t="s">
        <v>750</v>
      </c>
      <c r="G121" s="184">
        <v>2</v>
      </c>
      <c r="H121" s="705" t="s">
        <v>15</v>
      </c>
      <c r="I121" s="706">
        <v>79999.92</v>
      </c>
      <c r="J121" s="438">
        <f>G121*I121</f>
        <v>159999.84</v>
      </c>
      <c r="K121" s="219"/>
      <c r="L121" s="1018"/>
      <c r="M121" s="849"/>
      <c r="N121" s="36"/>
      <c r="O121" s="176">
        <f>SUM(J118:J121)</f>
        <v>1039719.24</v>
      </c>
      <c r="P121" s="1128" t="s">
        <v>375</v>
      </c>
      <c r="Q121" s="39"/>
    </row>
    <row r="122" spans="1:17" ht="18.75" customHeight="1">
      <c r="A122" s="829"/>
      <c r="B122" s="1062"/>
      <c r="C122" s="1063"/>
      <c r="D122" s="427"/>
      <c r="E122" s="215"/>
      <c r="F122" s="559"/>
      <c r="G122" s="1027"/>
      <c r="H122" s="1028"/>
      <c r="I122" s="706"/>
      <c r="J122" s="438"/>
      <c r="K122" s="219"/>
      <c r="L122" s="1018"/>
      <c r="M122" s="849"/>
      <c r="N122" s="36"/>
      <c r="O122" s="176"/>
      <c r="P122" s="1123"/>
      <c r="Q122" s="39"/>
    </row>
    <row r="123" spans="1:17" ht="18.75" customHeight="1">
      <c r="A123" s="59"/>
      <c r="B123" s="966"/>
      <c r="C123" s="1063"/>
      <c r="D123" s="740"/>
      <c r="E123" s="740"/>
      <c r="F123" s="559"/>
      <c r="G123" s="789"/>
      <c r="H123" s="781"/>
      <c r="I123" s="706"/>
      <c r="J123" s="438"/>
      <c r="K123" s="219"/>
      <c r="L123" s="793"/>
      <c r="M123" s="170"/>
      <c r="N123" s="36"/>
      <c r="O123" s="84"/>
      <c r="P123" s="136"/>
      <c r="Q123" s="39"/>
    </row>
    <row r="124" spans="1:17" ht="18.75" customHeight="1">
      <c r="A124" s="59"/>
      <c r="B124" s="1062">
        <v>46153</v>
      </c>
      <c r="C124" s="1063" t="s">
        <v>717</v>
      </c>
      <c r="D124" s="427"/>
      <c r="E124" s="215"/>
      <c r="F124" s="559" t="s">
        <v>385</v>
      </c>
      <c r="G124" s="184">
        <v>12</v>
      </c>
      <c r="H124" s="705" t="s">
        <v>15</v>
      </c>
      <c r="I124" s="706">
        <v>53280</v>
      </c>
      <c r="J124" s="438">
        <f>G124*I124</f>
        <v>639360</v>
      </c>
      <c r="K124" s="219" t="s">
        <v>737</v>
      </c>
      <c r="L124" s="429">
        <v>46153</v>
      </c>
      <c r="M124" s="170"/>
      <c r="N124" s="36"/>
      <c r="O124" s="84"/>
      <c r="P124" s="136"/>
      <c r="Q124" s="39"/>
    </row>
    <row r="125" spans="1:17" ht="18.75" customHeight="1">
      <c r="A125" s="59"/>
      <c r="B125" s="1062"/>
      <c r="C125" s="1063"/>
      <c r="D125" s="427"/>
      <c r="E125" s="215"/>
      <c r="F125" s="559" t="s">
        <v>735</v>
      </c>
      <c r="G125" s="184">
        <v>9</v>
      </c>
      <c r="H125" s="705" t="s">
        <v>15</v>
      </c>
      <c r="I125" s="706">
        <v>81030</v>
      </c>
      <c r="J125" s="438">
        <f>G125*I125</f>
        <v>729270</v>
      </c>
      <c r="K125" s="219"/>
      <c r="L125" s="429"/>
      <c r="M125" s="170"/>
      <c r="N125" s="36"/>
      <c r="O125" s="176">
        <f>SUM(J124:J125)</f>
        <v>1368630</v>
      </c>
      <c r="P125" s="1123" t="s">
        <v>375</v>
      </c>
      <c r="Q125" s="39"/>
    </row>
    <row r="126" spans="1:17" ht="18.75" customHeight="1">
      <c r="A126" s="59"/>
      <c r="B126" s="1078"/>
      <c r="C126" s="1079"/>
      <c r="D126" s="1075"/>
      <c r="E126" s="1076"/>
      <c r="F126" s="1077"/>
      <c r="G126" s="1080"/>
      <c r="H126" s="681"/>
      <c r="I126" s="682"/>
      <c r="J126" s="683"/>
      <c r="K126" s="200"/>
      <c r="L126" s="189"/>
      <c r="M126" s="170"/>
      <c r="N126" s="36"/>
      <c r="O126" s="176"/>
      <c r="P126" s="819"/>
      <c r="Q126" s="39"/>
    </row>
    <row r="127" spans="1:17" ht="18.75" customHeight="1">
      <c r="A127" s="59"/>
      <c r="B127" s="1062">
        <v>46160</v>
      </c>
      <c r="C127" s="1063" t="s">
        <v>717</v>
      </c>
      <c r="D127" s="427"/>
      <c r="E127" s="215"/>
      <c r="F127" s="559" t="s">
        <v>385</v>
      </c>
      <c r="G127" s="184">
        <v>15</v>
      </c>
      <c r="H127" s="705" t="s">
        <v>15</v>
      </c>
      <c r="I127" s="706">
        <v>53280</v>
      </c>
      <c r="J127" s="438">
        <f>G127*I127</f>
        <v>799200</v>
      </c>
      <c r="K127" s="219" t="s">
        <v>738</v>
      </c>
      <c r="L127" s="429">
        <v>46160</v>
      </c>
      <c r="M127" s="133"/>
      <c r="N127" s="36"/>
      <c r="O127" s="176"/>
      <c r="P127" s="569"/>
      <c r="Q127" s="39"/>
    </row>
    <row r="128" spans="1:17" ht="18.75" customHeight="1">
      <c r="A128" s="59"/>
      <c r="B128" s="1062"/>
      <c r="C128" s="1063"/>
      <c r="D128" s="427"/>
      <c r="E128" s="215"/>
      <c r="F128" s="559" t="s">
        <v>735</v>
      </c>
      <c r="G128" s="184">
        <v>21</v>
      </c>
      <c r="H128" s="705" t="s">
        <v>15</v>
      </c>
      <c r="I128" s="706">
        <v>81030</v>
      </c>
      <c r="J128" s="438">
        <f>G128*I128</f>
        <v>1701630</v>
      </c>
      <c r="K128" s="219"/>
      <c r="L128" s="429"/>
      <c r="M128" s="133"/>
      <c r="N128" s="36"/>
      <c r="O128" s="176">
        <f>SUM(J127:J128)</f>
        <v>2500830</v>
      </c>
      <c r="P128" s="1123" t="s">
        <v>375</v>
      </c>
      <c r="Q128" s="39"/>
    </row>
    <row r="129" spans="1:17" ht="18.75" customHeight="1">
      <c r="A129" s="59"/>
      <c r="B129" s="966"/>
      <c r="C129" s="967"/>
      <c r="D129" s="1081"/>
      <c r="E129" s="1081"/>
      <c r="F129" s="1082"/>
      <c r="G129" s="1083"/>
      <c r="H129" s="776"/>
      <c r="I129" s="825"/>
      <c r="J129" s="791"/>
      <c r="K129" s="779"/>
      <c r="L129" s="780"/>
      <c r="M129" s="133"/>
      <c r="N129" s="36"/>
      <c r="O129" s="84"/>
      <c r="P129" s="136"/>
      <c r="Q129" s="39"/>
    </row>
    <row r="130" spans="1:17" ht="18.75" customHeight="1">
      <c r="A130" s="59"/>
      <c r="B130" s="1062">
        <v>46181</v>
      </c>
      <c r="C130" s="1063" t="s">
        <v>717</v>
      </c>
      <c r="D130" s="427"/>
      <c r="E130" s="215"/>
      <c r="F130" s="559" t="s">
        <v>735</v>
      </c>
      <c r="G130" s="184">
        <v>43</v>
      </c>
      <c r="H130" s="705" t="s">
        <v>15</v>
      </c>
      <c r="I130" s="706">
        <v>72150</v>
      </c>
      <c r="J130" s="438">
        <f>G130*I130</f>
        <v>3102450</v>
      </c>
      <c r="K130" s="219" t="s">
        <v>745</v>
      </c>
      <c r="L130" s="429">
        <v>46181</v>
      </c>
      <c r="M130" s="133"/>
      <c r="N130" s="36"/>
      <c r="O130" s="176"/>
      <c r="P130" s="569"/>
      <c r="Q130" s="39"/>
    </row>
    <row r="131" spans="1:17" ht="18.75" customHeight="1">
      <c r="A131" s="59"/>
      <c r="B131" s="1062"/>
      <c r="C131" s="1063"/>
      <c r="D131" s="427"/>
      <c r="E131" s="215"/>
      <c r="F131" s="559" t="s">
        <v>385</v>
      </c>
      <c r="G131" s="184">
        <v>29</v>
      </c>
      <c r="H131" s="705" t="s">
        <v>15</v>
      </c>
      <c r="I131" s="706">
        <v>45510</v>
      </c>
      <c r="J131" s="438">
        <f>G131*I131</f>
        <v>1319790</v>
      </c>
      <c r="K131" s="219"/>
      <c r="L131" s="429"/>
      <c r="M131" s="133"/>
      <c r="N131" s="36"/>
      <c r="O131" s="176">
        <f>SUM(J130:J131)</f>
        <v>4422240</v>
      </c>
      <c r="P131" s="715" t="s">
        <v>375</v>
      </c>
      <c r="Q131" s="39"/>
    </row>
    <row r="132" spans="1:17" ht="18.75" customHeight="1">
      <c r="A132" s="829"/>
      <c r="B132" s="958"/>
      <c r="C132" s="959"/>
      <c r="D132" s="1084"/>
      <c r="E132" s="958"/>
      <c r="F132" s="959"/>
      <c r="G132" s="1085"/>
      <c r="H132" s="493"/>
      <c r="I132" s="586"/>
      <c r="J132" s="586"/>
      <c r="K132" s="219"/>
      <c r="L132" s="485"/>
      <c r="M132" s="170"/>
      <c r="N132" s="208"/>
      <c r="O132" s="196"/>
      <c r="P132" s="848"/>
      <c r="Q132" s="39"/>
    </row>
    <row r="133" spans="1:17" ht="18.75" customHeight="1">
      <c r="A133" s="829"/>
      <c r="B133" s="958"/>
      <c r="C133" s="959"/>
      <c r="D133" s="1084"/>
      <c r="E133" s="958"/>
      <c r="F133" s="959"/>
      <c r="G133" s="1085"/>
      <c r="H133" s="493"/>
      <c r="I133" s="586"/>
      <c r="J133" s="586"/>
      <c r="K133" s="219"/>
      <c r="L133" s="215"/>
      <c r="M133" s="170"/>
      <c r="N133" s="208"/>
      <c r="O133" s="196"/>
      <c r="P133" s="716"/>
      <c r="Q133" s="39"/>
    </row>
    <row r="134" spans="1:17" ht="18.75" customHeight="1">
      <c r="A134" s="829"/>
      <c r="B134" s="958"/>
      <c r="C134" s="959"/>
      <c r="D134" s="1084"/>
      <c r="E134" s="958"/>
      <c r="F134" s="959"/>
      <c r="G134" s="1085"/>
      <c r="H134" s="493"/>
      <c r="I134" s="586"/>
      <c r="J134" s="586"/>
      <c r="K134" s="219"/>
      <c r="L134" s="485"/>
      <c r="M134" s="170"/>
      <c r="N134" s="208"/>
      <c r="O134" s="196"/>
      <c r="P134" s="716"/>
      <c r="Q134" s="39"/>
    </row>
    <row r="135" spans="1:17" ht="18.75" customHeight="1">
      <c r="A135" s="59"/>
      <c r="B135" s="1086"/>
      <c r="C135" s="1087"/>
      <c r="D135" s="1004"/>
      <c r="E135" s="1086"/>
      <c r="F135" s="1087"/>
      <c r="G135" s="1085"/>
      <c r="H135" s="590"/>
      <c r="I135" s="586"/>
      <c r="J135" s="586"/>
      <c r="K135" s="219"/>
      <c r="L135" s="215"/>
      <c r="M135" s="170"/>
      <c r="N135" s="208"/>
      <c r="O135" s="196"/>
      <c r="P135" s="716"/>
      <c r="Q135" s="39"/>
    </row>
    <row r="136" spans="1:17" ht="18.75" customHeight="1">
      <c r="A136" s="59"/>
      <c r="B136" s="958"/>
      <c r="C136" s="959"/>
      <c r="D136" s="1084"/>
      <c r="E136" s="958"/>
      <c r="F136" s="959"/>
      <c r="G136" s="1085"/>
      <c r="H136" s="493"/>
      <c r="I136" s="586"/>
      <c r="J136" s="586"/>
      <c r="K136" s="219"/>
      <c r="L136" s="485"/>
      <c r="M136" s="170"/>
      <c r="N136" s="208"/>
      <c r="O136" s="196"/>
      <c r="P136" s="848"/>
      <c r="Q136" s="39"/>
    </row>
    <row r="137" spans="1:17" ht="18.75" customHeight="1">
      <c r="A137" s="59"/>
      <c r="B137" s="485"/>
      <c r="C137" s="492"/>
      <c r="D137" s="493"/>
      <c r="E137" s="485"/>
      <c r="F137" s="492"/>
      <c r="G137" s="482"/>
      <c r="H137" s="493"/>
      <c r="I137" s="586"/>
      <c r="J137" s="586"/>
      <c r="K137" s="219"/>
      <c r="L137" s="215"/>
      <c r="M137" s="170"/>
      <c r="N137" s="208"/>
      <c r="O137" s="196"/>
      <c r="P137" s="716"/>
      <c r="Q137" s="39"/>
    </row>
    <row r="138" spans="1:17" ht="18.75" customHeight="1">
      <c r="A138" s="59"/>
      <c r="B138" s="485"/>
      <c r="C138" s="492"/>
      <c r="D138" s="493"/>
      <c r="E138" s="485"/>
      <c r="F138" s="492"/>
      <c r="G138" s="482"/>
      <c r="H138" s="493"/>
      <c r="I138" s="586"/>
      <c r="J138" s="586"/>
      <c r="K138" s="219"/>
      <c r="L138" s="215"/>
      <c r="M138" s="170"/>
      <c r="N138" s="208"/>
      <c r="O138" s="196"/>
      <c r="P138" s="716"/>
      <c r="Q138" s="39"/>
    </row>
    <row r="139" spans="1:17" ht="15.75">
      <c r="A139" s="1146" t="s">
        <v>395</v>
      </c>
      <c r="B139" s="1147"/>
      <c r="C139" s="1147"/>
      <c r="D139" s="1147"/>
      <c r="E139" s="1147"/>
      <c r="F139" s="1147"/>
      <c r="G139" s="1147"/>
      <c r="H139" s="1147"/>
      <c r="I139" s="1147"/>
      <c r="J139" s="1147"/>
      <c r="K139" s="1147"/>
      <c r="L139" s="1147"/>
      <c r="M139" s="1148"/>
      <c r="N139" s="36"/>
      <c r="O139" s="84"/>
      <c r="P139" s="136"/>
      <c r="Q139" s="39"/>
    </row>
    <row r="140" spans="1:17" ht="15.75">
      <c r="A140" s="187"/>
      <c r="B140" s="189"/>
      <c r="C140" s="600"/>
      <c r="D140" s="190"/>
      <c r="E140" s="191"/>
      <c r="F140" s="188"/>
      <c r="G140" s="565"/>
      <c r="H140" s="192"/>
      <c r="I140" s="566"/>
      <c r="J140" s="199"/>
      <c r="K140" s="200"/>
      <c r="L140" s="189"/>
      <c r="M140" s="170"/>
      <c r="N140" s="197"/>
      <c r="O140" s="198"/>
      <c r="P140" s="201"/>
      <c r="Q140" s="39"/>
    </row>
    <row r="141" spans="1:17" ht="18.75">
      <c r="A141" s="187"/>
      <c r="B141" s="787">
        <v>45443</v>
      </c>
      <c r="C141" s="804" t="s">
        <v>404</v>
      </c>
      <c r="D141" s="805"/>
      <c r="E141" s="805"/>
      <c r="F141" s="813" t="s">
        <v>407</v>
      </c>
      <c r="G141" s="806">
        <v>50</v>
      </c>
      <c r="H141" s="807" t="s">
        <v>17</v>
      </c>
      <c r="I141" s="808">
        <v>56400</v>
      </c>
      <c r="J141" s="809">
        <f>G141*I141</f>
        <v>2820000</v>
      </c>
      <c r="K141" s="810" t="s">
        <v>405</v>
      </c>
      <c r="L141" s="811" t="s">
        <v>406</v>
      </c>
      <c r="M141" s="228"/>
      <c r="N141" s="195"/>
      <c r="O141" s="196"/>
      <c r="P141" s="137"/>
      <c r="Q141" s="39"/>
    </row>
    <row r="142" spans="1:17" ht="18.75">
      <c r="A142" s="187"/>
      <c r="B142" s="812"/>
      <c r="C142" s="804"/>
      <c r="D142" s="805"/>
      <c r="E142" s="805"/>
      <c r="F142" s="813" t="s">
        <v>408</v>
      </c>
      <c r="G142" s="806">
        <v>2</v>
      </c>
      <c r="H142" s="807" t="s">
        <v>17</v>
      </c>
      <c r="I142" s="808">
        <v>480000</v>
      </c>
      <c r="J142" s="809">
        <f t="shared" ref="J142:J154" si="29">G142*I142</f>
        <v>960000</v>
      </c>
      <c r="K142" s="810"/>
      <c r="L142" s="811"/>
      <c r="M142" s="228"/>
      <c r="N142" s="195"/>
      <c r="O142" s="196"/>
      <c r="P142" s="698"/>
      <c r="Q142" s="461"/>
    </row>
    <row r="143" spans="1:17" ht="18.75">
      <c r="A143" s="187"/>
      <c r="B143" s="812"/>
      <c r="C143" s="804"/>
      <c r="D143" s="805"/>
      <c r="E143" s="805"/>
      <c r="F143" s="813" t="s">
        <v>409</v>
      </c>
      <c r="G143" s="806">
        <v>2</v>
      </c>
      <c r="H143" s="807" t="s">
        <v>17</v>
      </c>
      <c r="I143" s="808">
        <v>316000</v>
      </c>
      <c r="J143" s="809">
        <f t="shared" si="29"/>
        <v>632000</v>
      </c>
      <c r="K143" s="810"/>
      <c r="L143" s="811"/>
      <c r="M143" s="228"/>
      <c r="N143" s="195"/>
      <c r="O143" s="196"/>
      <c r="P143" s="698"/>
      <c r="Q143" s="461"/>
    </row>
    <row r="144" spans="1:17" ht="18.75">
      <c r="A144" s="187"/>
      <c r="B144" s="812"/>
      <c r="C144" s="804"/>
      <c r="D144" s="805"/>
      <c r="E144" s="805"/>
      <c r="F144" s="813" t="s">
        <v>410</v>
      </c>
      <c r="G144" s="806">
        <v>50</v>
      </c>
      <c r="H144" s="807" t="s">
        <v>17</v>
      </c>
      <c r="I144" s="808">
        <v>19300</v>
      </c>
      <c r="J144" s="809">
        <f t="shared" si="29"/>
        <v>965000</v>
      </c>
      <c r="K144" s="810"/>
      <c r="L144" s="811"/>
      <c r="M144" s="228"/>
      <c r="N144" s="195"/>
      <c r="O144" s="196"/>
      <c r="P144" s="698"/>
      <c r="Q144" s="461"/>
    </row>
    <row r="145" spans="1:17" ht="18.75">
      <c r="A145" s="187"/>
      <c r="B145" s="812"/>
      <c r="C145" s="804"/>
      <c r="D145" s="805"/>
      <c r="E145" s="805"/>
      <c r="F145" s="813" t="s">
        <v>411</v>
      </c>
      <c r="G145" s="806">
        <v>3</v>
      </c>
      <c r="H145" s="807" t="s">
        <v>17</v>
      </c>
      <c r="I145" s="808">
        <v>300000</v>
      </c>
      <c r="J145" s="809">
        <f t="shared" si="29"/>
        <v>900000</v>
      </c>
      <c r="K145" s="810"/>
      <c r="L145" s="811"/>
      <c r="M145" s="228"/>
      <c r="N145" s="195"/>
      <c r="O145" s="196"/>
      <c r="P145" s="716"/>
      <c r="Q145" s="461"/>
    </row>
    <row r="146" spans="1:17" ht="18.75">
      <c r="A146" s="187"/>
      <c r="B146" s="812"/>
      <c r="C146" s="804"/>
      <c r="D146" s="805"/>
      <c r="E146" s="805"/>
      <c r="F146" s="813" t="s">
        <v>412</v>
      </c>
      <c r="G146" s="806">
        <v>25</v>
      </c>
      <c r="H146" s="807" t="s">
        <v>17</v>
      </c>
      <c r="I146" s="808">
        <v>10000</v>
      </c>
      <c r="J146" s="809">
        <f t="shared" si="29"/>
        <v>250000</v>
      </c>
      <c r="K146" s="810"/>
      <c r="L146" s="811"/>
      <c r="M146" s="228"/>
      <c r="N146" s="195"/>
      <c r="O146" s="196"/>
      <c r="P146" s="698"/>
      <c r="Q146" s="461"/>
    </row>
    <row r="147" spans="1:17" ht="18.75">
      <c r="A147" s="187"/>
      <c r="B147" s="812"/>
      <c r="C147" s="804"/>
      <c r="D147" s="805"/>
      <c r="E147" s="805"/>
      <c r="F147" s="813" t="s">
        <v>413</v>
      </c>
      <c r="G147" s="806">
        <v>2</v>
      </c>
      <c r="H147" s="807" t="s">
        <v>17</v>
      </c>
      <c r="I147" s="808">
        <v>350000</v>
      </c>
      <c r="J147" s="809">
        <f t="shared" si="29"/>
        <v>700000</v>
      </c>
      <c r="K147" s="810"/>
      <c r="L147" s="811"/>
      <c r="M147" s="228"/>
      <c r="N147" s="195"/>
      <c r="O147" s="196"/>
      <c r="P147" s="716"/>
      <c r="Q147" s="461"/>
    </row>
    <row r="148" spans="1:17" ht="18.75">
      <c r="A148" s="187"/>
      <c r="B148" s="812"/>
      <c r="C148" s="804"/>
      <c r="D148" s="805"/>
      <c r="E148" s="805"/>
      <c r="F148" s="813" t="s">
        <v>414</v>
      </c>
      <c r="G148" s="806">
        <v>5</v>
      </c>
      <c r="H148" s="807" t="s">
        <v>17</v>
      </c>
      <c r="I148" s="808">
        <v>147800</v>
      </c>
      <c r="J148" s="809">
        <f t="shared" si="29"/>
        <v>739000</v>
      </c>
      <c r="K148" s="810"/>
      <c r="L148" s="811"/>
      <c r="M148" s="228"/>
      <c r="N148" s="195"/>
      <c r="O148" s="196"/>
      <c r="P148" s="698"/>
      <c r="Q148" s="461"/>
    </row>
    <row r="149" spans="1:17" ht="18.75">
      <c r="A149" s="187"/>
      <c r="B149" s="812"/>
      <c r="C149" s="804"/>
      <c r="D149" s="805"/>
      <c r="E149" s="805"/>
      <c r="F149" s="813" t="s">
        <v>415</v>
      </c>
      <c r="G149" s="806">
        <v>15</v>
      </c>
      <c r="H149" s="807" t="s">
        <v>17</v>
      </c>
      <c r="I149" s="808">
        <v>89000</v>
      </c>
      <c r="J149" s="809">
        <f t="shared" si="29"/>
        <v>1335000</v>
      </c>
      <c r="K149" s="810"/>
      <c r="L149" s="811"/>
      <c r="M149" s="228"/>
      <c r="N149" s="195"/>
      <c r="O149" s="196"/>
      <c r="P149" s="698"/>
      <c r="Q149" s="461"/>
    </row>
    <row r="150" spans="1:17" ht="18.75">
      <c r="A150" s="187"/>
      <c r="B150" s="812"/>
      <c r="C150" s="804"/>
      <c r="D150" s="805"/>
      <c r="E150" s="805"/>
      <c r="F150" s="813" t="s">
        <v>416</v>
      </c>
      <c r="G150" s="806">
        <v>3</v>
      </c>
      <c r="H150" s="807" t="s">
        <v>17</v>
      </c>
      <c r="I150" s="808">
        <v>774000</v>
      </c>
      <c r="J150" s="809">
        <f t="shared" si="29"/>
        <v>2322000</v>
      </c>
      <c r="K150" s="810"/>
      <c r="L150" s="811"/>
      <c r="M150" s="228"/>
      <c r="N150" s="195"/>
      <c r="O150" s="196"/>
      <c r="P150" s="698"/>
      <c r="Q150" s="461"/>
    </row>
    <row r="151" spans="1:17" ht="18.75">
      <c r="A151" s="187"/>
      <c r="B151" s="812"/>
      <c r="C151" s="804"/>
      <c r="D151" s="805"/>
      <c r="E151" s="805"/>
      <c r="F151" s="813" t="s">
        <v>417</v>
      </c>
      <c r="G151" s="806">
        <v>3</v>
      </c>
      <c r="H151" s="807" t="s">
        <v>17</v>
      </c>
      <c r="I151" s="808">
        <v>475000</v>
      </c>
      <c r="J151" s="809">
        <f t="shared" si="29"/>
        <v>1425000</v>
      </c>
      <c r="K151" s="810"/>
      <c r="L151" s="811"/>
      <c r="M151" s="228"/>
      <c r="N151" s="195"/>
      <c r="O151" s="196"/>
      <c r="P151" s="716"/>
      <c r="Q151" s="461"/>
    </row>
    <row r="152" spans="1:17" ht="18.75">
      <c r="A152" s="187"/>
      <c r="B152" s="812"/>
      <c r="C152" s="804"/>
      <c r="D152" s="805"/>
      <c r="E152" s="805"/>
      <c r="F152" s="813" t="s">
        <v>418</v>
      </c>
      <c r="G152" s="806">
        <v>220</v>
      </c>
      <c r="H152" s="807" t="s">
        <v>17</v>
      </c>
      <c r="I152" s="808">
        <v>25000</v>
      </c>
      <c r="J152" s="809">
        <f t="shared" si="29"/>
        <v>5500000</v>
      </c>
      <c r="K152" s="810"/>
      <c r="L152" s="811"/>
      <c r="M152" s="228"/>
      <c r="N152" s="195"/>
      <c r="O152" s="196"/>
      <c r="P152" s="698"/>
      <c r="Q152" s="461"/>
    </row>
    <row r="153" spans="1:17" ht="18.75">
      <c r="A153" s="187"/>
      <c r="B153" s="812"/>
      <c r="C153" s="804"/>
      <c r="D153" s="805"/>
      <c r="E153" s="805"/>
      <c r="F153" s="813" t="s">
        <v>419</v>
      </c>
      <c r="G153" s="806">
        <v>20</v>
      </c>
      <c r="H153" s="807" t="s">
        <v>17</v>
      </c>
      <c r="I153" s="808">
        <v>7500</v>
      </c>
      <c r="J153" s="809">
        <f t="shared" si="29"/>
        <v>150000</v>
      </c>
      <c r="K153" s="810"/>
      <c r="L153" s="811"/>
      <c r="M153" s="228"/>
      <c r="N153" s="195"/>
      <c r="O153" s="196"/>
      <c r="P153" s="698"/>
      <c r="Q153" s="461"/>
    </row>
    <row r="154" spans="1:17" ht="18.75">
      <c r="A154" s="187"/>
      <c r="B154" s="812"/>
      <c r="C154" s="804"/>
      <c r="D154" s="805"/>
      <c r="E154" s="805"/>
      <c r="F154" s="813" t="s">
        <v>420</v>
      </c>
      <c r="G154" s="806">
        <v>3</v>
      </c>
      <c r="H154" s="807" t="s">
        <v>17</v>
      </c>
      <c r="I154" s="808">
        <v>316000</v>
      </c>
      <c r="J154" s="809">
        <f t="shared" si="29"/>
        <v>948000</v>
      </c>
      <c r="K154" s="810"/>
      <c r="L154" s="811"/>
      <c r="M154" s="228"/>
      <c r="N154" s="195"/>
      <c r="O154" s="196">
        <f>SUM(J141:J154)</f>
        <v>19646000</v>
      </c>
      <c r="P154" s="569" t="s">
        <v>439</v>
      </c>
      <c r="Q154" s="39"/>
    </row>
    <row r="155" spans="1:17" ht="18.75">
      <c r="A155" s="187"/>
      <c r="B155" s="189"/>
      <c r="C155" s="600"/>
      <c r="D155" s="190"/>
      <c r="E155" s="191"/>
      <c r="F155" s="679"/>
      <c r="G155" s="680"/>
      <c r="H155" s="681"/>
      <c r="I155" s="682"/>
      <c r="J155" s="683"/>
      <c r="K155" s="200"/>
      <c r="L155" s="189"/>
      <c r="M155" s="170"/>
      <c r="N155" s="197"/>
      <c r="O155" s="198"/>
      <c r="P155" s="201"/>
      <c r="Q155" s="39"/>
    </row>
    <row r="156" spans="1:17" ht="18.75">
      <c r="A156" s="187"/>
      <c r="B156" s="189"/>
      <c r="C156" s="464"/>
      <c r="D156" s="190"/>
      <c r="E156" s="191"/>
      <c r="F156" s="699"/>
      <c r="G156" s="487"/>
      <c r="H156" s="488"/>
      <c r="I156" s="489"/>
      <c r="J156" s="490"/>
      <c r="K156" s="200"/>
      <c r="L156" s="189"/>
      <c r="M156" s="170"/>
      <c r="N156" s="197"/>
      <c r="O156" s="198"/>
      <c r="P156" s="662"/>
      <c r="Q156" s="39"/>
    </row>
    <row r="157" spans="1:17" ht="18.75">
      <c r="A157" s="187"/>
      <c r="B157" s="189"/>
      <c r="C157" s="464"/>
      <c r="D157" s="190"/>
      <c r="E157" s="191"/>
      <c r="F157" s="699"/>
      <c r="G157" s="684"/>
      <c r="H157" s="730"/>
      <c r="I157" s="682"/>
      <c r="J157" s="683"/>
      <c r="K157" s="200"/>
      <c r="L157" s="189"/>
      <c r="M157" s="170"/>
      <c r="N157" s="197"/>
      <c r="O157" s="198"/>
      <c r="P157" s="822"/>
      <c r="Q157" s="39"/>
    </row>
    <row r="158" spans="1:17" ht="18.75">
      <c r="A158" s="187"/>
      <c r="B158" s="189"/>
      <c r="C158" s="464"/>
      <c r="D158" s="190"/>
      <c r="E158" s="191"/>
      <c r="F158" s="699"/>
      <c r="G158" s="487"/>
      <c r="H158" s="488"/>
      <c r="I158" s="489"/>
      <c r="J158" s="490"/>
      <c r="K158" s="200"/>
      <c r="L158" s="189"/>
      <c r="M158" s="170"/>
      <c r="N158" s="197"/>
      <c r="O158" s="198"/>
      <c r="P158" s="662"/>
      <c r="Q158" s="39"/>
    </row>
    <row r="159" spans="1:17" ht="18.75">
      <c r="A159" s="187"/>
      <c r="B159" s="189"/>
      <c r="C159" s="464"/>
      <c r="D159" s="190"/>
      <c r="E159" s="191"/>
      <c r="F159" s="464"/>
      <c r="G159" s="487"/>
      <c r="H159" s="488"/>
      <c r="I159" s="489"/>
      <c r="J159" s="490"/>
      <c r="K159" s="200" t="s">
        <v>371</v>
      </c>
      <c r="L159" s="189"/>
      <c r="M159" s="170"/>
      <c r="N159" s="197"/>
      <c r="O159" s="198"/>
      <c r="P159" s="201"/>
      <c r="Q159" s="39"/>
    </row>
    <row r="160" spans="1:17" ht="15.75">
      <c r="A160" s="1146" t="s">
        <v>397</v>
      </c>
      <c r="B160" s="1147"/>
      <c r="C160" s="1147"/>
      <c r="D160" s="1147"/>
      <c r="E160" s="1147"/>
      <c r="F160" s="1147"/>
      <c r="G160" s="1147"/>
      <c r="H160" s="1147"/>
      <c r="I160" s="1147"/>
      <c r="J160" s="1147"/>
      <c r="K160" s="1147"/>
      <c r="L160" s="1147"/>
      <c r="M160" s="1148"/>
      <c r="N160" s="36"/>
      <c r="O160" s="84"/>
      <c r="P160" s="136"/>
      <c r="Q160" s="39"/>
    </row>
    <row r="161" spans="1:17" ht="15.75">
      <c r="A161" s="59"/>
      <c r="B161" s="115"/>
      <c r="C161" s="59"/>
      <c r="D161" s="59"/>
      <c r="E161" s="59"/>
      <c r="F161" s="59"/>
      <c r="G161" s="172"/>
      <c r="H161" s="133"/>
      <c r="I161" s="59"/>
      <c r="J161" s="175"/>
      <c r="K161" s="133"/>
      <c r="L161" s="115"/>
      <c r="M161" s="59"/>
      <c r="N161" s="36"/>
      <c r="O161" s="84"/>
      <c r="P161" s="136"/>
      <c r="Q161" s="39"/>
    </row>
    <row r="162" spans="1:17" ht="18.75">
      <c r="A162" s="829"/>
      <c r="B162" s="485">
        <v>46139</v>
      </c>
      <c r="C162" s="492" t="s">
        <v>20</v>
      </c>
      <c r="D162" s="493"/>
      <c r="E162" s="485"/>
      <c r="F162" s="492" t="s">
        <v>242</v>
      </c>
      <c r="G162" s="482">
        <v>40</v>
      </c>
      <c r="H162" s="493" t="s">
        <v>21</v>
      </c>
      <c r="I162" s="586">
        <v>10000</v>
      </c>
      <c r="J162" s="586">
        <f>G162*I162</f>
        <v>400000</v>
      </c>
      <c r="K162" s="219" t="s">
        <v>676</v>
      </c>
      <c r="L162" s="485">
        <v>46146</v>
      </c>
      <c r="M162" s="170"/>
      <c r="N162" s="208"/>
      <c r="O162" s="196">
        <f>SUM(J162)</f>
        <v>400000</v>
      </c>
      <c r="P162" s="848" t="s">
        <v>662</v>
      </c>
      <c r="Q162" s="39"/>
    </row>
    <row r="163" spans="1:17" ht="18.75">
      <c r="A163" s="59"/>
      <c r="B163" s="485"/>
      <c r="C163" s="492"/>
      <c r="D163" s="493"/>
      <c r="E163" s="485"/>
      <c r="F163" s="492"/>
      <c r="G163" s="482"/>
      <c r="H163" s="493"/>
      <c r="I163" s="586"/>
      <c r="J163" s="586"/>
      <c r="K163" s="219"/>
      <c r="L163" s="215"/>
      <c r="M163" s="170"/>
      <c r="N163" s="208"/>
      <c r="O163" s="196"/>
      <c r="P163" s="716"/>
      <c r="Q163" s="8"/>
    </row>
    <row r="164" spans="1:17" ht="18.75">
      <c r="A164" s="829"/>
      <c r="B164" s="485">
        <v>46154</v>
      </c>
      <c r="C164" s="492" t="s">
        <v>20</v>
      </c>
      <c r="D164" s="493"/>
      <c r="E164" s="485"/>
      <c r="F164" s="492" t="s">
        <v>242</v>
      </c>
      <c r="G164" s="482">
        <v>100</v>
      </c>
      <c r="H164" s="493" t="s">
        <v>21</v>
      </c>
      <c r="I164" s="586">
        <v>10000</v>
      </c>
      <c r="J164" s="586">
        <f>G164*I164</f>
        <v>1000000</v>
      </c>
      <c r="K164" s="219" t="s">
        <v>657</v>
      </c>
      <c r="L164" s="485">
        <v>46154</v>
      </c>
      <c r="M164" s="170"/>
      <c r="N164" s="208"/>
      <c r="O164" s="196">
        <f>SUM(J164)</f>
        <v>1000000</v>
      </c>
      <c r="P164" s="716" t="s">
        <v>575</v>
      </c>
      <c r="Q164" s="8"/>
    </row>
    <row r="165" spans="1:17" ht="18.75">
      <c r="A165" s="59"/>
      <c r="B165" s="640"/>
      <c r="C165" s="636"/>
      <c r="D165" s="590"/>
      <c r="E165" s="640"/>
      <c r="F165" s="636"/>
      <c r="G165" s="482"/>
      <c r="H165" s="590"/>
      <c r="I165" s="586"/>
      <c r="J165" s="586"/>
      <c r="K165" s="219"/>
      <c r="L165" s="215"/>
      <c r="M165" s="170"/>
      <c r="N165" s="208"/>
      <c r="O165" s="196"/>
      <c r="P165" s="716"/>
      <c r="Q165" s="8"/>
    </row>
    <row r="166" spans="1:17" ht="18.75">
      <c r="A166" s="59"/>
      <c r="B166" s="485">
        <v>46146</v>
      </c>
      <c r="C166" s="492" t="s">
        <v>20</v>
      </c>
      <c r="D166" s="493"/>
      <c r="E166" s="485"/>
      <c r="F166" s="492" t="s">
        <v>242</v>
      </c>
      <c r="G166" s="482">
        <v>16</v>
      </c>
      <c r="H166" s="493" t="s">
        <v>21</v>
      </c>
      <c r="I166" s="586">
        <v>10000</v>
      </c>
      <c r="J166" s="586">
        <f>G166*I166</f>
        <v>160000</v>
      </c>
      <c r="K166" s="219" t="s">
        <v>661</v>
      </c>
      <c r="L166" s="485">
        <v>46146</v>
      </c>
      <c r="M166" s="170"/>
      <c r="N166" s="208"/>
      <c r="O166" s="196">
        <f>SUM(J166)</f>
        <v>160000</v>
      </c>
      <c r="P166" s="848" t="s">
        <v>662</v>
      </c>
      <c r="Q166" s="8"/>
    </row>
    <row r="167" spans="1:17" ht="18.75">
      <c r="A167" s="59"/>
      <c r="B167" s="485"/>
      <c r="C167" s="492"/>
      <c r="D167" s="493"/>
      <c r="E167" s="485"/>
      <c r="F167" s="492"/>
      <c r="G167" s="482"/>
      <c r="H167" s="493"/>
      <c r="I167" s="586"/>
      <c r="J167" s="586"/>
      <c r="K167" s="219"/>
      <c r="L167" s="215"/>
      <c r="M167" s="170"/>
      <c r="N167" s="208"/>
      <c r="O167" s="196"/>
      <c r="P167" s="716"/>
      <c r="Q167" s="8"/>
    </row>
    <row r="168" spans="1:17" ht="18.75">
      <c r="A168" s="59"/>
      <c r="B168" s="485"/>
      <c r="C168" s="492"/>
      <c r="D168" s="493"/>
      <c r="E168" s="485"/>
      <c r="F168" s="492"/>
      <c r="G168" s="482"/>
      <c r="H168" s="493"/>
      <c r="I168" s="586"/>
      <c r="J168" s="586"/>
      <c r="K168" s="219"/>
      <c r="L168" s="215"/>
      <c r="M168" s="170"/>
      <c r="N168" s="208"/>
      <c r="O168" s="196"/>
      <c r="P168" s="716"/>
      <c r="Q168" s="8"/>
    </row>
    <row r="169" spans="1:17" ht="18.75">
      <c r="A169" s="59"/>
      <c r="B169" s="640"/>
      <c r="C169" s="636"/>
      <c r="D169" s="590"/>
      <c r="E169" s="640"/>
      <c r="F169" s="636"/>
      <c r="G169" s="482"/>
      <c r="H169" s="590"/>
      <c r="I169" s="586"/>
      <c r="J169" s="586"/>
      <c r="K169" s="219"/>
      <c r="L169" s="215"/>
      <c r="M169" s="170"/>
      <c r="N169" s="208"/>
      <c r="O169" s="196"/>
      <c r="P169" s="716"/>
      <c r="Q169" s="8"/>
    </row>
    <row r="170" spans="1:17" ht="18.75">
      <c r="A170" s="829"/>
      <c r="B170" s="485"/>
      <c r="C170" s="492"/>
      <c r="D170" s="493"/>
      <c r="E170" s="485"/>
      <c r="F170" s="492"/>
      <c r="G170" s="482"/>
      <c r="H170" s="493"/>
      <c r="I170" s="586"/>
      <c r="J170" s="586"/>
      <c r="K170" s="219"/>
      <c r="L170" s="485"/>
      <c r="M170" s="170"/>
      <c r="N170" s="208"/>
      <c r="O170" s="196"/>
      <c r="P170" s="716"/>
      <c r="Q170" s="8"/>
    </row>
    <row r="171" spans="1:17" ht="18.75">
      <c r="A171" s="829"/>
      <c r="B171" s="876"/>
      <c r="C171" s="878"/>
      <c r="D171" s="879"/>
      <c r="E171" s="876"/>
      <c r="F171" s="878"/>
      <c r="G171" s="880"/>
      <c r="H171" s="879"/>
      <c r="I171" s="874"/>
      <c r="J171" s="874"/>
      <c r="K171" s="845"/>
      <c r="L171" s="832"/>
      <c r="M171" s="881"/>
      <c r="N171" s="208"/>
      <c r="O171" s="196"/>
      <c r="P171" s="716"/>
      <c r="Q171" s="8"/>
    </row>
    <row r="172" spans="1:17" ht="18.75">
      <c r="A172" s="829"/>
      <c r="B172" s="485"/>
      <c r="C172" s="492"/>
      <c r="D172" s="493"/>
      <c r="E172" s="485"/>
      <c r="F172" s="492"/>
      <c r="G172" s="482"/>
      <c r="H172" s="493"/>
      <c r="I172" s="586"/>
      <c r="J172" s="586"/>
      <c r="K172" s="219"/>
      <c r="L172" s="485"/>
      <c r="M172" s="170"/>
      <c r="N172" s="208"/>
      <c r="O172" s="196"/>
      <c r="P172" s="716"/>
      <c r="Q172" s="8"/>
    </row>
    <row r="173" spans="1:17" ht="18.75">
      <c r="A173" s="829"/>
      <c r="B173" s="485"/>
      <c r="C173" s="492"/>
      <c r="D173" s="493"/>
      <c r="E173" s="485"/>
      <c r="F173" s="492"/>
      <c r="G173" s="482"/>
      <c r="H173" s="493"/>
      <c r="I173" s="586"/>
      <c r="J173" s="586"/>
      <c r="K173" s="219"/>
      <c r="L173" s="215"/>
      <c r="M173" s="881"/>
      <c r="N173" s="208"/>
      <c r="O173" s="196"/>
      <c r="P173" s="716"/>
      <c r="Q173" s="8"/>
    </row>
    <row r="174" spans="1:17" ht="18.75">
      <c r="A174" s="59"/>
      <c r="B174" s="485"/>
      <c r="C174" s="492"/>
      <c r="D174" s="493"/>
      <c r="E174" s="485"/>
      <c r="F174" s="492"/>
      <c r="G174" s="482"/>
      <c r="H174" s="493"/>
      <c r="I174" s="586"/>
      <c r="J174" s="586"/>
      <c r="K174" s="219"/>
      <c r="L174" s="215"/>
      <c r="M174" s="170"/>
      <c r="N174" s="208"/>
      <c r="O174" s="196"/>
      <c r="P174" s="716"/>
      <c r="Q174" s="8"/>
    </row>
    <row r="175" spans="1:17" ht="18.75">
      <c r="A175" s="829"/>
      <c r="B175" s="485"/>
      <c r="C175" s="492"/>
      <c r="D175" s="493"/>
      <c r="E175" s="485"/>
      <c r="F175" s="492"/>
      <c r="G175" s="482"/>
      <c r="H175" s="493"/>
      <c r="I175" s="586"/>
      <c r="J175" s="586"/>
      <c r="K175" s="845"/>
      <c r="L175" s="832"/>
      <c r="M175" s="881"/>
      <c r="N175" s="208"/>
      <c r="O175" s="196"/>
      <c r="P175" s="716"/>
      <c r="Q175" s="8"/>
    </row>
    <row r="176" spans="1:17" ht="18.75">
      <c r="A176" s="59"/>
      <c r="B176" s="485"/>
      <c r="C176" s="492"/>
      <c r="D176" s="493"/>
      <c r="E176" s="485"/>
      <c r="F176" s="492"/>
      <c r="G176" s="482"/>
      <c r="H176" s="493"/>
      <c r="I176" s="586"/>
      <c r="J176" s="586"/>
      <c r="K176" s="133"/>
      <c r="L176" s="115"/>
      <c r="M176" s="59"/>
      <c r="N176" s="36"/>
      <c r="O176" s="176"/>
      <c r="P176" s="8"/>
      <c r="Q176" s="8"/>
    </row>
    <row r="177" spans="1:17" ht="18.75">
      <c r="A177" s="59"/>
      <c r="B177" s="485"/>
      <c r="C177" s="492"/>
      <c r="D177" s="493"/>
      <c r="E177" s="485"/>
      <c r="F177" s="492"/>
      <c r="G177" s="482"/>
      <c r="H177" s="493"/>
      <c r="I177" s="586"/>
      <c r="J177" s="586"/>
      <c r="K177" s="219"/>
      <c r="L177" s="215"/>
      <c r="M177" s="170"/>
      <c r="N177" s="208"/>
      <c r="O177" s="196"/>
      <c r="P177" s="847"/>
      <c r="Q177" s="8"/>
    </row>
    <row r="178" spans="1:17" ht="18.75">
      <c r="A178" s="829"/>
      <c r="B178" s="876"/>
      <c r="C178" s="878"/>
      <c r="D178" s="879"/>
      <c r="E178" s="876"/>
      <c r="F178" s="878"/>
      <c r="G178" s="880"/>
      <c r="H178" s="879"/>
      <c r="I178" s="874"/>
      <c r="J178" s="874"/>
      <c r="K178" s="845"/>
      <c r="L178" s="832"/>
      <c r="M178" s="881"/>
      <c r="N178" s="208"/>
      <c r="O178" s="196"/>
      <c r="P178" s="847"/>
      <c r="Q178" s="8"/>
    </row>
    <row r="179" spans="1:17" ht="15.75">
      <c r="A179" s="59"/>
      <c r="B179" s="177"/>
      <c r="C179" s="170"/>
      <c r="D179" s="133"/>
      <c r="E179" s="169"/>
      <c r="F179" s="170"/>
      <c r="G179" s="193"/>
      <c r="H179" s="170"/>
      <c r="I179" s="202"/>
      <c r="J179" s="202"/>
      <c r="K179" s="207"/>
      <c r="L179" s="206"/>
      <c r="M179" s="170"/>
      <c r="N179" s="208"/>
      <c r="O179" s="196"/>
      <c r="P179" s="179"/>
      <c r="Q179" s="39"/>
    </row>
    <row r="180" spans="1:17" ht="18.75">
      <c r="A180" s="1129" t="s">
        <v>402</v>
      </c>
      <c r="B180" s="1129"/>
      <c r="C180" s="1129"/>
      <c r="D180" s="1129"/>
      <c r="E180" s="1129"/>
      <c r="F180" s="1129"/>
      <c r="G180" s="1129"/>
      <c r="H180" s="1129"/>
      <c r="I180" s="1129"/>
      <c r="J180" s="1129"/>
      <c r="K180" s="1129"/>
      <c r="L180" s="1129"/>
      <c r="M180" s="1129"/>
      <c r="N180" s="36"/>
      <c r="O180" s="176">
        <f>SUM(O163:O177)</f>
        <v>1160000</v>
      </c>
      <c r="P180" s="136"/>
      <c r="Q180" s="39"/>
    </row>
    <row r="181" spans="1:17" ht="18" customHeight="1">
      <c r="A181" s="26"/>
      <c r="B181" s="477"/>
      <c r="C181" s="170"/>
      <c r="D181" s="26"/>
      <c r="E181" s="752"/>
      <c r="F181" s="753"/>
      <c r="G181" s="754"/>
      <c r="H181" s="755"/>
      <c r="I181" s="756"/>
      <c r="J181" s="748"/>
      <c r="K181" s="749"/>
      <c r="L181" s="750"/>
      <c r="M181" s="26"/>
      <c r="N181" s="34"/>
      <c r="O181" s="84"/>
      <c r="P181" s="136"/>
      <c r="Q181" s="39"/>
    </row>
    <row r="182" spans="1:17" ht="18" customHeight="1">
      <c r="A182" s="26"/>
      <c r="B182" s="215"/>
      <c r="C182" s="757"/>
      <c r="D182" s="217"/>
      <c r="E182" s="217"/>
      <c r="F182" s="728"/>
      <c r="G182" s="710"/>
      <c r="H182" s="610"/>
      <c r="I182" s="711"/>
      <c r="J182" s="611"/>
      <c r="K182" s="219"/>
      <c r="L182" s="215"/>
      <c r="M182" s="26"/>
      <c r="N182" s="34"/>
      <c r="O182" s="227"/>
      <c r="P182" s="635"/>
      <c r="Q182" s="39"/>
    </row>
    <row r="183" spans="1:17" ht="18" customHeight="1">
      <c r="A183" s="26"/>
      <c r="B183" s="217"/>
      <c r="C183" s="217"/>
      <c r="D183" s="217"/>
      <c r="E183" s="217"/>
      <c r="F183" s="728"/>
      <c r="G183" s="710"/>
      <c r="H183" s="610"/>
      <c r="I183" s="711"/>
      <c r="J183" s="611"/>
      <c r="K183" s="450"/>
      <c r="L183" s="450"/>
      <c r="M183" s="26"/>
      <c r="N183" s="34"/>
      <c r="O183" s="227"/>
      <c r="P183" s="635"/>
      <c r="Q183" s="39"/>
    </row>
    <row r="184" spans="1:17" ht="18" customHeight="1">
      <c r="A184" s="883"/>
      <c r="B184" s="831"/>
      <c r="C184" s="831"/>
      <c r="D184" s="831"/>
      <c r="E184" s="831"/>
      <c r="F184" s="728"/>
      <c r="G184" s="710"/>
      <c r="H184" s="610"/>
      <c r="I184" s="711"/>
      <c r="J184" s="611"/>
      <c r="K184" s="889"/>
      <c r="L184" s="889"/>
      <c r="M184" s="883"/>
      <c r="N184" s="34"/>
      <c r="O184" s="227"/>
      <c r="P184" s="635"/>
      <c r="Q184" s="39"/>
    </row>
    <row r="185" spans="1:17" ht="18" customHeight="1">
      <c r="A185" s="26"/>
      <c r="B185" s="217"/>
      <c r="C185" s="217"/>
      <c r="D185" s="217"/>
      <c r="E185" s="217"/>
      <c r="F185" s="728"/>
      <c r="G185" s="710"/>
      <c r="H185" s="610"/>
      <c r="I185" s="711"/>
      <c r="J185" s="611"/>
      <c r="K185" s="450"/>
      <c r="L185" s="450"/>
      <c r="M185" s="26"/>
      <c r="N185" s="34"/>
      <c r="O185" s="227"/>
      <c r="P185" s="635"/>
      <c r="Q185" s="39"/>
    </row>
    <row r="186" spans="1:17" ht="18" customHeight="1">
      <c r="A186" s="26"/>
      <c r="B186" s="217"/>
      <c r="C186" s="217"/>
      <c r="D186" s="217"/>
      <c r="E186" s="217"/>
      <c r="F186" s="728"/>
      <c r="G186" s="710"/>
      <c r="H186" s="610"/>
      <c r="I186" s="711"/>
      <c r="J186" s="611"/>
      <c r="K186" s="450"/>
      <c r="L186" s="450"/>
      <c r="M186" s="26"/>
      <c r="N186" s="34"/>
      <c r="O186" s="227"/>
      <c r="P186" s="635"/>
      <c r="Q186" s="39"/>
    </row>
    <row r="187" spans="1:17" ht="18" customHeight="1">
      <c r="A187" s="26"/>
      <c r="B187" s="217"/>
      <c r="C187" s="217"/>
      <c r="D187" s="217"/>
      <c r="E187" s="217"/>
      <c r="F187" s="728"/>
      <c r="G187" s="710"/>
      <c r="H187" s="610"/>
      <c r="I187" s="711"/>
      <c r="J187" s="611"/>
      <c r="K187" s="450"/>
      <c r="L187" s="450"/>
      <c r="M187" s="26"/>
      <c r="N187" s="34"/>
      <c r="O187" s="227"/>
      <c r="P187" s="635"/>
      <c r="Q187" s="39"/>
    </row>
    <row r="188" spans="1:17" ht="18" customHeight="1">
      <c r="A188" s="883"/>
      <c r="B188" s="831"/>
      <c r="C188" s="831"/>
      <c r="D188" s="831"/>
      <c r="E188" s="831"/>
      <c r="F188" s="728"/>
      <c r="G188" s="710"/>
      <c r="H188" s="610"/>
      <c r="I188" s="711"/>
      <c r="J188" s="611"/>
      <c r="K188" s="889"/>
      <c r="L188" s="889"/>
      <c r="M188" s="883"/>
      <c r="N188" s="34"/>
      <c r="O188" s="227"/>
      <c r="P188" s="635"/>
      <c r="Q188" s="39"/>
    </row>
    <row r="189" spans="1:17" ht="18" customHeight="1">
      <c r="A189" s="883"/>
      <c r="B189" s="831"/>
      <c r="C189" s="831"/>
      <c r="D189" s="831"/>
      <c r="E189" s="831"/>
      <c r="F189" s="728"/>
      <c r="G189" s="710"/>
      <c r="H189" s="610"/>
      <c r="I189" s="711"/>
      <c r="J189" s="611"/>
      <c r="K189" s="889"/>
      <c r="L189" s="889"/>
      <c r="M189" s="883"/>
      <c r="N189" s="34"/>
      <c r="O189" s="227"/>
      <c r="P189" s="635"/>
      <c r="Q189" s="39"/>
    </row>
    <row r="190" spans="1:17" ht="18" customHeight="1">
      <c r="A190" s="26"/>
      <c r="B190" s="217"/>
      <c r="C190" s="217"/>
      <c r="D190" s="217"/>
      <c r="E190" s="217"/>
      <c r="F190" s="728"/>
      <c r="G190" s="710"/>
      <c r="H190" s="610"/>
      <c r="I190" s="711"/>
      <c r="J190" s="611"/>
      <c r="K190" s="450"/>
      <c r="L190" s="450"/>
      <c r="M190" s="26"/>
      <c r="N190" s="34"/>
      <c r="O190" s="227"/>
      <c r="P190" s="635"/>
      <c r="Q190" s="39"/>
    </row>
    <row r="191" spans="1:17" ht="18" customHeight="1">
      <c r="A191" s="883"/>
      <c r="B191" s="831"/>
      <c r="C191" s="831"/>
      <c r="D191" s="831"/>
      <c r="E191" s="831"/>
      <c r="F191" s="728"/>
      <c r="G191" s="710"/>
      <c r="H191" s="610"/>
      <c r="I191" s="711"/>
      <c r="J191" s="611"/>
      <c r="K191" s="889"/>
      <c r="L191" s="889"/>
      <c r="M191" s="883"/>
      <c r="N191" s="34"/>
      <c r="O191" s="227"/>
      <c r="P191" s="635"/>
      <c r="Q191" s="39"/>
    </row>
    <row r="192" spans="1:17" ht="18" customHeight="1">
      <c r="A192" s="26"/>
      <c r="B192" s="217"/>
      <c r="C192" s="217"/>
      <c r="D192" s="217"/>
      <c r="E192" s="217"/>
      <c r="F192" s="728"/>
      <c r="G192" s="710"/>
      <c r="H192" s="610"/>
      <c r="I192" s="711"/>
      <c r="J192" s="611"/>
      <c r="K192" s="450"/>
      <c r="L192" s="450"/>
      <c r="M192" s="26"/>
      <c r="N192" s="34"/>
      <c r="O192" s="227"/>
      <c r="P192" s="635"/>
      <c r="Q192" s="39"/>
    </row>
    <row r="193" spans="1:17" ht="18" customHeight="1">
      <c r="A193" s="26"/>
      <c r="B193" s="217"/>
      <c r="C193" s="217"/>
      <c r="D193" s="217"/>
      <c r="E193" s="217"/>
      <c r="F193" s="728"/>
      <c r="G193" s="710"/>
      <c r="H193" s="610"/>
      <c r="I193" s="711"/>
      <c r="J193" s="611"/>
      <c r="K193" s="450"/>
      <c r="L193" s="450"/>
      <c r="M193" s="26"/>
      <c r="N193" s="34"/>
      <c r="O193" s="227"/>
      <c r="P193" s="635"/>
      <c r="Q193" s="39"/>
    </row>
    <row r="194" spans="1:17" ht="18" customHeight="1">
      <c r="A194" s="26"/>
      <c r="B194" s="217"/>
      <c r="C194" s="217"/>
      <c r="D194" s="217"/>
      <c r="E194" s="217"/>
      <c r="F194" s="728"/>
      <c r="G194" s="710"/>
      <c r="H194" s="610"/>
      <c r="I194" s="711"/>
      <c r="J194" s="611"/>
      <c r="K194" s="450"/>
      <c r="L194" s="450"/>
      <c r="M194" s="26"/>
      <c r="N194" s="34"/>
      <c r="O194" s="227"/>
      <c r="P194" s="635"/>
      <c r="Q194" s="39"/>
    </row>
    <row r="195" spans="1:17" ht="18" customHeight="1">
      <c r="A195" s="26"/>
      <c r="B195" s="217"/>
      <c r="C195" s="217"/>
      <c r="D195" s="217"/>
      <c r="E195" s="217"/>
      <c r="F195" s="728"/>
      <c r="G195" s="710"/>
      <c r="H195" s="610"/>
      <c r="I195" s="711"/>
      <c r="J195" s="611"/>
      <c r="K195" s="450"/>
      <c r="L195" s="450"/>
      <c r="M195" s="26"/>
      <c r="N195" s="34"/>
      <c r="O195" s="227"/>
      <c r="P195" s="635"/>
      <c r="Q195" s="39"/>
    </row>
    <row r="196" spans="1:17" ht="18" customHeight="1">
      <c r="A196" s="26"/>
      <c r="B196" s="217"/>
      <c r="C196" s="217"/>
      <c r="D196" s="217"/>
      <c r="E196" s="217"/>
      <c r="F196" s="728"/>
      <c r="G196" s="710"/>
      <c r="H196" s="610"/>
      <c r="I196" s="711"/>
      <c r="J196" s="611"/>
      <c r="K196" s="450"/>
      <c r="L196" s="450"/>
      <c r="M196" s="26"/>
      <c r="N196" s="34"/>
      <c r="O196" s="227"/>
      <c r="P196" s="635"/>
      <c r="Q196" s="39"/>
    </row>
    <row r="197" spans="1:17" ht="18" customHeight="1">
      <c r="A197" s="26"/>
      <c r="B197" s="217"/>
      <c r="C197" s="217"/>
      <c r="D197" s="217"/>
      <c r="E197" s="217"/>
      <c r="F197" s="728"/>
      <c r="G197" s="710"/>
      <c r="H197" s="610"/>
      <c r="I197" s="711"/>
      <c r="J197" s="611"/>
      <c r="K197" s="450"/>
      <c r="L197" s="450"/>
      <c r="M197" s="26"/>
      <c r="N197" s="34"/>
      <c r="O197" s="227"/>
      <c r="P197" s="635"/>
      <c r="Q197" s="39"/>
    </row>
    <row r="198" spans="1:17" ht="18" customHeight="1">
      <c r="A198" s="26"/>
      <c r="B198" s="217"/>
      <c r="C198" s="217"/>
      <c r="D198" s="217"/>
      <c r="E198" s="217"/>
      <c r="F198" s="728"/>
      <c r="G198" s="710"/>
      <c r="H198" s="610"/>
      <c r="I198" s="711"/>
      <c r="J198" s="611"/>
      <c r="K198" s="450"/>
      <c r="L198" s="450"/>
      <c r="M198" s="26"/>
      <c r="N198" s="34"/>
      <c r="O198" s="227"/>
      <c r="P198" s="635"/>
      <c r="Q198" s="39"/>
    </row>
    <row r="199" spans="1:17" ht="18" customHeight="1">
      <c r="A199" s="883"/>
      <c r="B199" s="454"/>
      <c r="C199" s="831"/>
      <c r="D199" s="831"/>
      <c r="E199" s="831"/>
      <c r="F199" s="688"/>
      <c r="G199" s="689"/>
      <c r="H199" s="690"/>
      <c r="I199" s="712"/>
      <c r="J199" s="611"/>
      <c r="K199" s="889"/>
      <c r="L199" s="889"/>
      <c r="M199" s="883"/>
      <c r="N199" s="34"/>
      <c r="O199" s="227"/>
      <c r="P199" s="635"/>
      <c r="Q199" s="39"/>
    </row>
    <row r="200" spans="1:17" ht="18" customHeight="1">
      <c r="A200" s="26"/>
      <c r="B200" s="691"/>
      <c r="C200" s="216"/>
      <c r="D200" s="217"/>
      <c r="E200" s="217"/>
      <c r="F200" s="688"/>
      <c r="G200" s="689"/>
      <c r="H200" s="690"/>
      <c r="I200" s="712"/>
      <c r="J200" s="611"/>
      <c r="K200" s="450"/>
      <c r="L200" s="450"/>
      <c r="M200" s="26"/>
      <c r="N200" s="34"/>
      <c r="O200" s="227"/>
      <c r="P200" s="635"/>
      <c r="Q200" s="39"/>
    </row>
    <row r="201" spans="1:17" ht="18" customHeight="1">
      <c r="A201" s="883"/>
      <c r="B201" s="731"/>
      <c r="C201" s="839"/>
      <c r="D201" s="831"/>
      <c r="E201" s="831"/>
      <c r="F201" s="995"/>
      <c r="G201" s="996"/>
      <c r="H201" s="997"/>
      <c r="I201" s="998"/>
      <c r="J201" s="892"/>
      <c r="K201" s="889"/>
      <c r="L201" s="889"/>
      <c r="M201" s="883"/>
      <c r="N201" s="34"/>
      <c r="O201" s="227"/>
      <c r="P201" s="635"/>
      <c r="Q201" s="39"/>
    </row>
    <row r="202" spans="1:17" ht="18" customHeight="1">
      <c r="A202" s="883"/>
      <c r="B202" s="731"/>
      <c r="C202" s="839"/>
      <c r="D202" s="831"/>
      <c r="E202" s="831"/>
      <c r="F202" s="884"/>
      <c r="G202" s="885"/>
      <c r="H202" s="886"/>
      <c r="I202" s="887"/>
      <c r="J202" s="892"/>
      <c r="K202" s="889"/>
      <c r="L202" s="889"/>
      <c r="M202" s="883"/>
      <c r="N202" s="34"/>
      <c r="O202" s="227"/>
      <c r="P202" s="635"/>
      <c r="Q202" s="39"/>
    </row>
    <row r="203" spans="1:17" ht="18" customHeight="1">
      <c r="A203" s="883"/>
      <c r="B203" s="758">
        <v>45793</v>
      </c>
      <c r="C203" s="216" t="s">
        <v>569</v>
      </c>
      <c r="D203" s="740"/>
      <c r="E203" s="740"/>
      <c r="F203" s="890" t="s">
        <v>570</v>
      </c>
      <c r="G203" s="896">
        <v>2</v>
      </c>
      <c r="H203" s="897" t="s">
        <v>17</v>
      </c>
      <c r="I203" s="898">
        <v>44400</v>
      </c>
      <c r="J203" s="899">
        <f>G203*I203</f>
        <v>88800</v>
      </c>
      <c r="K203" s="745" t="s">
        <v>568</v>
      </c>
      <c r="L203" s="215">
        <v>45793</v>
      </c>
      <c r="M203" s="883"/>
      <c r="N203" s="34"/>
      <c r="O203" s="227"/>
      <c r="P203" s="635"/>
      <c r="Q203" s="39"/>
    </row>
    <row r="204" spans="1:17" ht="18" customHeight="1">
      <c r="A204" s="883"/>
      <c r="B204" s="759"/>
      <c r="C204" s="746"/>
      <c r="D204" s="740"/>
      <c r="E204" s="740"/>
      <c r="F204" s="890" t="s">
        <v>571</v>
      </c>
      <c r="G204" s="896">
        <v>2</v>
      </c>
      <c r="H204" s="897" t="s">
        <v>17</v>
      </c>
      <c r="I204" s="898">
        <v>38850</v>
      </c>
      <c r="J204" s="899">
        <f t="shared" ref="J204:J207" si="30">G204*I204</f>
        <v>77700</v>
      </c>
      <c r="K204" s="746"/>
      <c r="L204" s="747"/>
      <c r="M204" s="883"/>
      <c r="N204" s="34"/>
      <c r="O204" s="227"/>
      <c r="P204" s="635"/>
      <c r="Q204" s="39"/>
    </row>
    <row r="205" spans="1:17" ht="18" customHeight="1">
      <c r="A205" s="883"/>
      <c r="B205" s="759"/>
      <c r="C205" s="746"/>
      <c r="D205" s="740"/>
      <c r="E205" s="740"/>
      <c r="F205" s="890" t="s">
        <v>572</v>
      </c>
      <c r="G205" s="896">
        <v>9</v>
      </c>
      <c r="H205" s="897" t="s">
        <v>17</v>
      </c>
      <c r="I205" s="898">
        <v>16001</v>
      </c>
      <c r="J205" s="899">
        <f t="shared" si="30"/>
        <v>144009</v>
      </c>
      <c r="K205" s="746"/>
      <c r="L205" s="747"/>
      <c r="M205" s="883"/>
      <c r="N205" s="34"/>
      <c r="O205" s="227"/>
      <c r="P205" s="635"/>
      <c r="Q205" s="39"/>
    </row>
    <row r="206" spans="1:17" ht="18" customHeight="1">
      <c r="A206" s="883"/>
      <c r="B206" s="759"/>
      <c r="C206" s="746"/>
      <c r="D206" s="740"/>
      <c r="E206" s="740"/>
      <c r="F206" s="890" t="s">
        <v>506</v>
      </c>
      <c r="G206" s="896">
        <v>5</v>
      </c>
      <c r="H206" s="897" t="s">
        <v>18</v>
      </c>
      <c r="I206" s="898">
        <v>33000</v>
      </c>
      <c r="J206" s="899">
        <f t="shared" si="30"/>
        <v>165000</v>
      </c>
      <c r="K206" s="746"/>
      <c r="L206" s="747"/>
      <c r="M206" s="883"/>
      <c r="N206" s="34"/>
      <c r="O206" s="227"/>
      <c r="P206" s="635"/>
      <c r="Q206" s="39"/>
    </row>
    <row r="207" spans="1:17" ht="18" customHeight="1">
      <c r="A207" s="883"/>
      <c r="B207" s="759"/>
      <c r="C207" s="746"/>
      <c r="D207" s="740"/>
      <c r="E207" s="740"/>
      <c r="F207" s="890" t="s">
        <v>573</v>
      </c>
      <c r="G207" s="896">
        <v>3</v>
      </c>
      <c r="H207" s="897" t="s">
        <v>17</v>
      </c>
      <c r="I207" s="898">
        <v>22200</v>
      </c>
      <c r="J207" s="899">
        <f t="shared" si="30"/>
        <v>66600</v>
      </c>
      <c r="K207" s="746"/>
      <c r="L207" s="747"/>
      <c r="M207" s="883"/>
      <c r="N207" s="34"/>
      <c r="O207" s="227">
        <f>SUM(J203:J207)</f>
        <v>542109</v>
      </c>
      <c r="P207" s="635"/>
      <c r="Q207" s="39"/>
    </row>
    <row r="208" spans="1:17" ht="18" customHeight="1">
      <c r="A208" s="883"/>
      <c r="B208" s="759"/>
      <c r="C208" s="746"/>
      <c r="D208" s="740"/>
      <c r="E208" s="740"/>
      <c r="F208" s="890"/>
      <c r="G208" s="896"/>
      <c r="H208" s="897"/>
      <c r="I208" s="898"/>
      <c r="J208" s="899"/>
      <c r="K208" s="746"/>
      <c r="L208" s="747"/>
      <c r="M208" s="883"/>
      <c r="N208" s="34"/>
      <c r="O208" s="227"/>
      <c r="P208" s="635"/>
      <c r="Q208" s="39"/>
    </row>
    <row r="209" spans="1:18" ht="18" customHeight="1">
      <c r="A209" s="883"/>
      <c r="B209" s="826"/>
      <c r="C209" s="972"/>
      <c r="D209" s="973"/>
      <c r="E209" s="973"/>
      <c r="F209" s="890"/>
      <c r="G209" s="896"/>
      <c r="H209" s="897"/>
      <c r="I209" s="898"/>
      <c r="J209" s="899"/>
      <c r="K209" s="972"/>
      <c r="L209" s="827"/>
      <c r="M209" s="883"/>
      <c r="N209" s="34"/>
      <c r="O209" s="227"/>
      <c r="P209" s="635"/>
      <c r="Q209" s="39"/>
    </row>
    <row r="210" spans="1:18" ht="18" customHeight="1">
      <c r="A210" s="883"/>
      <c r="B210" s="215">
        <v>46154</v>
      </c>
      <c r="C210" s="757" t="s">
        <v>399</v>
      </c>
      <c r="D210" s="217"/>
      <c r="E210" s="217"/>
      <c r="F210" s="728" t="s">
        <v>692</v>
      </c>
      <c r="G210" s="710">
        <v>22</v>
      </c>
      <c r="H210" s="610" t="s">
        <v>256</v>
      </c>
      <c r="I210" s="711">
        <v>13320</v>
      </c>
      <c r="J210" s="611">
        <f>SUM(G210*I210)</f>
        <v>293040</v>
      </c>
      <c r="K210" s="219" t="s">
        <v>691</v>
      </c>
      <c r="L210" s="215">
        <v>46154</v>
      </c>
      <c r="M210" s="883"/>
      <c r="N210" s="34"/>
      <c r="O210" s="227"/>
      <c r="P210" s="1088"/>
      <c r="Q210" s="39"/>
      <c r="R210" s="978"/>
    </row>
    <row r="211" spans="1:18" ht="18" customHeight="1">
      <c r="A211" s="883"/>
      <c r="B211" s="217"/>
      <c r="C211" s="217"/>
      <c r="D211" s="217"/>
      <c r="E211" s="217"/>
      <c r="F211" s="728" t="s">
        <v>566</v>
      </c>
      <c r="G211" s="710">
        <v>10</v>
      </c>
      <c r="H211" s="610" t="s">
        <v>17</v>
      </c>
      <c r="I211" s="711">
        <v>33855</v>
      </c>
      <c r="J211" s="611">
        <f t="shared" ref="J211:J225" si="31">SUM(G211*I211)</f>
        <v>338550</v>
      </c>
      <c r="K211" s="450"/>
      <c r="L211" s="450"/>
      <c r="M211" s="883"/>
      <c r="N211" s="34"/>
      <c r="O211" s="227"/>
      <c r="P211" s="1088"/>
      <c r="Q211" s="39"/>
      <c r="R211" s="978"/>
    </row>
    <row r="212" spans="1:18" ht="18" customHeight="1">
      <c r="A212" s="883"/>
      <c r="B212" s="831"/>
      <c r="C212" s="831"/>
      <c r="D212" s="831"/>
      <c r="E212" s="831"/>
      <c r="F212" s="728" t="s">
        <v>693</v>
      </c>
      <c r="G212" s="710">
        <v>9</v>
      </c>
      <c r="H212" s="610" t="s">
        <v>17</v>
      </c>
      <c r="I212" s="711">
        <v>39405</v>
      </c>
      <c r="J212" s="611">
        <f t="shared" si="31"/>
        <v>354645</v>
      </c>
      <c r="K212" s="889"/>
      <c r="L212" s="889"/>
      <c r="M212" s="883"/>
      <c r="N212" s="34"/>
      <c r="O212" s="227"/>
      <c r="P212" s="1088"/>
      <c r="Q212" s="39"/>
      <c r="R212" s="978"/>
    </row>
    <row r="213" spans="1:18" ht="18" customHeight="1">
      <c r="A213" s="883"/>
      <c r="B213" s="217"/>
      <c r="C213" s="217"/>
      <c r="D213" s="217"/>
      <c r="E213" s="217"/>
      <c r="F213" s="728" t="s">
        <v>694</v>
      </c>
      <c r="G213" s="710">
        <v>3</v>
      </c>
      <c r="H213" s="610" t="s">
        <v>17</v>
      </c>
      <c r="I213" s="711">
        <v>11655</v>
      </c>
      <c r="J213" s="611">
        <f t="shared" si="31"/>
        <v>34965</v>
      </c>
      <c r="K213" s="450"/>
      <c r="L213" s="450"/>
      <c r="M213" s="883"/>
      <c r="N213" s="34"/>
      <c r="O213" s="227"/>
      <c r="P213" s="1088"/>
      <c r="Q213" s="39"/>
      <c r="R213" s="978"/>
    </row>
    <row r="214" spans="1:18" ht="18" customHeight="1">
      <c r="A214" s="883"/>
      <c r="B214" s="217"/>
      <c r="C214" s="217"/>
      <c r="D214" s="217"/>
      <c r="E214" s="217"/>
      <c r="F214" s="728" t="s">
        <v>695</v>
      </c>
      <c r="G214" s="710">
        <v>3</v>
      </c>
      <c r="H214" s="610" t="s">
        <v>17</v>
      </c>
      <c r="I214" s="711">
        <v>85470</v>
      </c>
      <c r="J214" s="611">
        <f t="shared" si="31"/>
        <v>256410</v>
      </c>
      <c r="K214" s="450"/>
      <c r="L214" s="450"/>
      <c r="M214" s="883"/>
      <c r="N214" s="34"/>
      <c r="O214" s="227"/>
      <c r="P214" s="1088"/>
      <c r="Q214" s="39"/>
      <c r="R214" s="978"/>
    </row>
    <row r="215" spans="1:18" ht="18" customHeight="1">
      <c r="A215" s="883"/>
      <c r="B215" s="217"/>
      <c r="C215" s="217"/>
      <c r="D215" s="217"/>
      <c r="E215" s="217"/>
      <c r="F215" s="728" t="s">
        <v>560</v>
      </c>
      <c r="G215" s="710">
        <v>4</v>
      </c>
      <c r="H215" s="610" t="s">
        <v>17</v>
      </c>
      <c r="I215" s="711">
        <v>18093</v>
      </c>
      <c r="J215" s="611">
        <f t="shared" si="31"/>
        <v>72372</v>
      </c>
      <c r="K215" s="450"/>
      <c r="L215" s="450"/>
      <c r="M215" s="883"/>
      <c r="N215" s="34"/>
      <c r="O215" s="227"/>
      <c r="P215" s="1088"/>
      <c r="Q215" s="39"/>
      <c r="R215" s="978"/>
    </row>
    <row r="216" spans="1:18" ht="18" customHeight="1">
      <c r="A216" s="883"/>
      <c r="B216" s="831"/>
      <c r="C216" s="831"/>
      <c r="D216" s="831"/>
      <c r="E216" s="831"/>
      <c r="F216" s="728" t="s">
        <v>696</v>
      </c>
      <c r="G216" s="710">
        <v>17</v>
      </c>
      <c r="H216" s="610" t="s">
        <v>17</v>
      </c>
      <c r="I216" s="711">
        <v>21090</v>
      </c>
      <c r="J216" s="611">
        <f t="shared" si="31"/>
        <v>358530</v>
      </c>
      <c r="K216" s="889"/>
      <c r="L216" s="889"/>
      <c r="M216" s="883"/>
      <c r="N216" s="34"/>
      <c r="O216" s="227"/>
      <c r="P216" s="1088"/>
      <c r="Q216" s="39"/>
      <c r="R216" s="978"/>
    </row>
    <row r="217" spans="1:18" ht="18" customHeight="1">
      <c r="A217" s="883"/>
      <c r="B217" s="831"/>
      <c r="C217" s="831"/>
      <c r="D217" s="831"/>
      <c r="E217" s="831"/>
      <c r="F217" s="728" t="s">
        <v>697</v>
      </c>
      <c r="G217" s="710">
        <v>3</v>
      </c>
      <c r="H217" s="610" t="s">
        <v>17</v>
      </c>
      <c r="I217" s="711">
        <v>19980</v>
      </c>
      <c r="J217" s="611">
        <f t="shared" si="31"/>
        <v>59940</v>
      </c>
      <c r="K217" s="889"/>
      <c r="L217" s="889"/>
      <c r="M217" s="883"/>
      <c r="N217" s="34"/>
      <c r="O217" s="227"/>
      <c r="P217" s="1088"/>
      <c r="Q217" s="39"/>
      <c r="R217" s="978"/>
    </row>
    <row r="218" spans="1:18" ht="18" customHeight="1">
      <c r="A218" s="883"/>
      <c r="B218" s="217"/>
      <c r="C218" s="217"/>
      <c r="D218" s="217"/>
      <c r="E218" s="217"/>
      <c r="F218" s="728" t="s">
        <v>590</v>
      </c>
      <c r="G218" s="710">
        <v>3</v>
      </c>
      <c r="H218" s="610" t="s">
        <v>17</v>
      </c>
      <c r="I218" s="711">
        <v>37740</v>
      </c>
      <c r="J218" s="611">
        <f t="shared" ref="J218" si="32">SUM(G218*I218)</f>
        <v>113220</v>
      </c>
      <c r="K218" s="450"/>
      <c r="L218" s="450"/>
      <c r="M218" s="883"/>
      <c r="N218" s="34"/>
      <c r="O218" s="227"/>
      <c r="P218" s="1088"/>
      <c r="Q218" s="39"/>
      <c r="R218" s="978"/>
    </row>
    <row r="219" spans="1:18" ht="18" customHeight="1">
      <c r="A219" s="883"/>
      <c r="B219" s="831"/>
      <c r="C219" s="831"/>
      <c r="D219" s="831"/>
      <c r="E219" s="831"/>
      <c r="F219" s="728" t="s">
        <v>698</v>
      </c>
      <c r="G219" s="710">
        <v>3</v>
      </c>
      <c r="H219" s="610" t="s">
        <v>17</v>
      </c>
      <c r="I219" s="711">
        <v>37962</v>
      </c>
      <c r="J219" s="611">
        <f t="shared" si="31"/>
        <v>113886</v>
      </c>
      <c r="K219" s="889"/>
      <c r="L219" s="889"/>
      <c r="M219" s="883"/>
      <c r="N219" s="34"/>
      <c r="O219" s="227"/>
      <c r="P219" s="1088"/>
      <c r="Q219" s="39"/>
      <c r="R219" s="978"/>
    </row>
    <row r="220" spans="1:18" ht="18" customHeight="1">
      <c r="A220" s="883"/>
      <c r="B220" s="217"/>
      <c r="C220" s="217"/>
      <c r="D220" s="217"/>
      <c r="E220" s="217"/>
      <c r="F220" s="728" t="s">
        <v>564</v>
      </c>
      <c r="G220" s="710">
        <v>20</v>
      </c>
      <c r="H220" s="610" t="s">
        <v>17</v>
      </c>
      <c r="I220" s="711">
        <v>27195</v>
      </c>
      <c r="J220" s="611">
        <f t="shared" si="31"/>
        <v>543900</v>
      </c>
      <c r="K220" s="450"/>
      <c r="L220" s="450"/>
      <c r="M220" s="883"/>
      <c r="N220" s="34"/>
      <c r="O220" s="227"/>
      <c r="P220" s="1088"/>
      <c r="Q220" s="39"/>
      <c r="R220" s="978"/>
    </row>
    <row r="221" spans="1:18" ht="18" customHeight="1">
      <c r="A221" s="883"/>
      <c r="B221" s="217"/>
      <c r="C221" s="217"/>
      <c r="D221" s="217"/>
      <c r="E221" s="217"/>
      <c r="F221" s="728" t="s">
        <v>588</v>
      </c>
      <c r="G221" s="710">
        <v>6</v>
      </c>
      <c r="H221" s="610" t="s">
        <v>17</v>
      </c>
      <c r="I221" s="711">
        <v>19980</v>
      </c>
      <c r="J221" s="611">
        <f t="shared" si="31"/>
        <v>119880</v>
      </c>
      <c r="K221" s="450"/>
      <c r="L221" s="450"/>
      <c r="M221" s="883"/>
      <c r="N221" s="34"/>
      <c r="O221" s="227"/>
      <c r="P221" s="1088"/>
      <c r="Q221" s="39"/>
      <c r="R221" s="978"/>
    </row>
    <row r="222" spans="1:18" ht="18" customHeight="1">
      <c r="A222" s="883"/>
      <c r="B222" s="217"/>
      <c r="C222" s="217"/>
      <c r="D222" s="217"/>
      <c r="E222" s="217"/>
      <c r="F222" s="728" t="s">
        <v>589</v>
      </c>
      <c r="G222" s="710">
        <v>4</v>
      </c>
      <c r="H222" s="610" t="s">
        <v>17</v>
      </c>
      <c r="I222" s="711">
        <v>34965</v>
      </c>
      <c r="J222" s="611">
        <f t="shared" ref="J222" si="33">SUM(G222*I222)</f>
        <v>139860</v>
      </c>
      <c r="K222" s="450"/>
      <c r="L222" s="450"/>
      <c r="M222" s="883"/>
      <c r="N222" s="34"/>
      <c r="O222" s="227"/>
      <c r="P222" s="1088"/>
      <c r="Q222" s="39"/>
      <c r="R222" s="978"/>
    </row>
    <row r="223" spans="1:18" ht="18" customHeight="1">
      <c r="A223" s="883"/>
      <c r="B223" s="217"/>
      <c r="C223" s="217"/>
      <c r="D223" s="217"/>
      <c r="E223" s="217"/>
      <c r="F223" s="728" t="s">
        <v>557</v>
      </c>
      <c r="G223" s="710">
        <v>6</v>
      </c>
      <c r="H223" s="610" t="s">
        <v>17</v>
      </c>
      <c r="I223" s="711">
        <v>16994.099999999999</v>
      </c>
      <c r="J223" s="611">
        <f t="shared" si="31"/>
        <v>101964.59999999999</v>
      </c>
      <c r="K223" s="450"/>
      <c r="L223" s="450"/>
      <c r="M223" s="883"/>
      <c r="N223" s="34"/>
      <c r="O223" s="227"/>
      <c r="P223" s="1088"/>
      <c r="Q223" s="39"/>
      <c r="R223" s="978"/>
    </row>
    <row r="224" spans="1:18" ht="18" customHeight="1">
      <c r="A224" s="883"/>
      <c r="B224" s="217"/>
      <c r="C224" s="217"/>
      <c r="D224" s="217"/>
      <c r="E224" s="217"/>
      <c r="F224" s="728" t="s">
        <v>699</v>
      </c>
      <c r="G224" s="710">
        <v>1</v>
      </c>
      <c r="H224" s="610" t="s">
        <v>17</v>
      </c>
      <c r="I224" s="711">
        <v>199800</v>
      </c>
      <c r="J224" s="611">
        <f t="shared" si="31"/>
        <v>199800</v>
      </c>
      <c r="K224" s="450"/>
      <c r="L224" s="450"/>
      <c r="M224" s="883"/>
      <c r="N224" s="34"/>
      <c r="O224" s="227"/>
      <c r="P224" s="1088"/>
      <c r="Q224" s="39"/>
      <c r="R224" s="978"/>
    </row>
    <row r="225" spans="1:18" ht="18" customHeight="1">
      <c r="A225" s="883"/>
      <c r="B225" s="217"/>
      <c r="C225" s="217"/>
      <c r="D225" s="217"/>
      <c r="E225" s="217"/>
      <c r="F225" s="728" t="s">
        <v>571</v>
      </c>
      <c r="G225" s="710">
        <v>3</v>
      </c>
      <c r="H225" s="610" t="s">
        <v>17</v>
      </c>
      <c r="I225" s="711">
        <v>36963</v>
      </c>
      <c r="J225" s="611">
        <f t="shared" si="31"/>
        <v>110889</v>
      </c>
      <c r="K225" s="450"/>
      <c r="L225" s="450"/>
      <c r="M225" s="883"/>
      <c r="N225" s="34"/>
      <c r="O225" s="227">
        <f>SUM(J210:J225)</f>
        <v>3211851.6</v>
      </c>
      <c r="P225" s="1089" t="s">
        <v>700</v>
      </c>
      <c r="Q225" s="39"/>
      <c r="R225" s="978"/>
    </row>
    <row r="226" spans="1:18" ht="18" customHeight="1">
      <c r="A226" s="883"/>
      <c r="B226" s="759"/>
      <c r="C226" s="746"/>
      <c r="D226" s="740"/>
      <c r="E226" s="740"/>
      <c r="F226" s="890"/>
      <c r="G226" s="896"/>
      <c r="H226" s="897"/>
      <c r="I226" s="898"/>
      <c r="J226" s="899"/>
      <c r="K226" s="746"/>
      <c r="L226" s="747"/>
      <c r="M226" s="883"/>
      <c r="N226" s="34"/>
      <c r="O226" s="227"/>
      <c r="P226" s="635"/>
      <c r="Q226" s="39"/>
    </row>
    <row r="227" spans="1:18" ht="18" customHeight="1">
      <c r="A227" s="883"/>
      <c r="B227" s="759"/>
      <c r="C227" s="746"/>
      <c r="D227" s="740"/>
      <c r="E227" s="740"/>
      <c r="F227" s="890"/>
      <c r="G227" s="896"/>
      <c r="H227" s="897"/>
      <c r="I227" s="898"/>
      <c r="J227" s="899"/>
      <c r="K227" s="746"/>
      <c r="L227" s="747"/>
      <c r="M227" s="883"/>
      <c r="N227" s="34"/>
      <c r="O227" s="227"/>
      <c r="P227" s="635"/>
      <c r="Q227" s="39"/>
    </row>
    <row r="228" spans="1:18" ht="18" customHeight="1">
      <c r="A228" s="883"/>
      <c r="B228" s="759"/>
      <c r="C228" s="746"/>
      <c r="D228" s="740"/>
      <c r="E228" s="740"/>
      <c r="F228" s="890"/>
      <c r="G228" s="896"/>
      <c r="H228" s="897"/>
      <c r="I228" s="898"/>
      <c r="J228" s="899"/>
      <c r="K228" s="746"/>
      <c r="L228" s="747"/>
      <c r="M228" s="883"/>
      <c r="N228" s="34"/>
      <c r="O228" s="227"/>
      <c r="P228" s="635"/>
      <c r="Q228" s="39"/>
    </row>
    <row r="229" spans="1:18" ht="18" customHeight="1">
      <c r="A229" s="883"/>
      <c r="B229" s="759"/>
      <c r="C229" s="746"/>
      <c r="D229" s="740"/>
      <c r="E229" s="740"/>
      <c r="F229" s="891"/>
      <c r="G229" s="893"/>
      <c r="H229" s="738"/>
      <c r="I229" s="894"/>
      <c r="J229" s="895"/>
      <c r="K229" s="746"/>
      <c r="L229" s="747"/>
      <c r="M229" s="883"/>
      <c r="N229" s="34"/>
      <c r="O229" s="227"/>
      <c r="P229" s="635"/>
      <c r="Q229" s="39"/>
    </row>
    <row r="230" spans="1:18" ht="18" customHeight="1">
      <c r="A230" s="883"/>
      <c r="B230" s="759"/>
      <c r="C230" s="746"/>
      <c r="D230" s="740"/>
      <c r="E230" s="740"/>
      <c r="F230" s="741"/>
      <c r="G230" s="742"/>
      <c r="H230" s="427"/>
      <c r="I230" s="743"/>
      <c r="J230" s="744"/>
      <c r="K230" s="746"/>
      <c r="L230" s="747"/>
      <c r="M230" s="883"/>
      <c r="N230" s="34"/>
      <c r="O230" s="227"/>
      <c r="P230" s="635"/>
      <c r="Q230" s="39"/>
    </row>
    <row r="231" spans="1:18" ht="18" customHeight="1">
      <c r="A231" s="883"/>
      <c r="B231" s="731"/>
      <c r="C231" s="839"/>
      <c r="D231" s="831"/>
      <c r="E231" s="831"/>
      <c r="F231" s="884"/>
      <c r="G231" s="885"/>
      <c r="H231" s="886"/>
      <c r="I231" s="887"/>
      <c r="J231" s="888"/>
      <c r="K231" s="889"/>
      <c r="L231" s="889"/>
      <c r="M231" s="883"/>
      <c r="N231" s="34"/>
      <c r="O231" s="227"/>
      <c r="P231" s="635"/>
      <c r="Q231" s="39"/>
    </row>
    <row r="232" spans="1:18" ht="18" customHeight="1">
      <c r="A232" s="883"/>
      <c r="B232" s="731"/>
      <c r="C232" s="839"/>
      <c r="D232" s="831"/>
      <c r="E232" s="831"/>
      <c r="F232" s="884"/>
      <c r="G232" s="885"/>
      <c r="H232" s="886"/>
      <c r="I232" s="887"/>
      <c r="J232" s="888"/>
      <c r="K232" s="889"/>
      <c r="L232" s="889"/>
      <c r="M232" s="883"/>
      <c r="N232" s="34"/>
      <c r="O232" s="227"/>
      <c r="P232" s="635"/>
      <c r="Q232" s="39"/>
    </row>
    <row r="233" spans="1:18" ht="18" customHeight="1">
      <c r="A233" s="883"/>
      <c r="B233" s="731"/>
      <c r="C233" s="839"/>
      <c r="D233" s="831"/>
      <c r="E233" s="831"/>
      <c r="F233" s="884"/>
      <c r="G233" s="885"/>
      <c r="H233" s="886"/>
      <c r="I233" s="887"/>
      <c r="J233" s="888"/>
      <c r="K233" s="889"/>
      <c r="L233" s="889"/>
      <c r="M233" s="883"/>
      <c r="N233" s="34"/>
      <c r="O233" s="227"/>
      <c r="P233" s="635"/>
      <c r="Q233" s="39"/>
    </row>
    <row r="234" spans="1:18" ht="18" customHeight="1">
      <c r="A234" s="883"/>
      <c r="B234" s="731"/>
      <c r="C234" s="839"/>
      <c r="D234" s="831"/>
      <c r="E234" s="831"/>
      <c r="F234" s="884"/>
      <c r="G234" s="885"/>
      <c r="H234" s="886"/>
      <c r="I234" s="887"/>
      <c r="J234" s="888"/>
      <c r="K234" s="889"/>
      <c r="L234" s="889"/>
      <c r="M234" s="883"/>
      <c r="N234" s="34"/>
      <c r="O234" s="227"/>
      <c r="P234" s="635"/>
      <c r="Q234" s="39"/>
    </row>
    <row r="235" spans="1:18" ht="18" customHeight="1">
      <c r="A235" s="26"/>
      <c r="B235" s="731"/>
      <c r="C235" s="216"/>
      <c r="D235" s="217"/>
      <c r="E235" s="217"/>
      <c r="F235" s="688"/>
      <c r="G235" s="689"/>
      <c r="H235" s="690"/>
      <c r="I235" s="712"/>
      <c r="J235" s="611"/>
      <c r="K235" s="450"/>
      <c r="L235" s="450"/>
      <c r="M235" s="26"/>
      <c r="N235" s="34"/>
      <c r="O235" s="227"/>
      <c r="P235" s="635"/>
      <c r="Q235" s="39"/>
    </row>
    <row r="236" spans="1:18" ht="15.75">
      <c r="A236" s="1146" t="s">
        <v>22</v>
      </c>
      <c r="B236" s="1147"/>
      <c r="C236" s="1147"/>
      <c r="D236" s="1147"/>
      <c r="E236" s="1147"/>
      <c r="F236" s="1147"/>
      <c r="G236" s="1147"/>
      <c r="H236" s="1147"/>
      <c r="I236" s="1147"/>
      <c r="J236" s="1147"/>
      <c r="K236" s="1147"/>
      <c r="L236" s="1147"/>
      <c r="M236" s="1148"/>
      <c r="N236" s="36"/>
      <c r="O236" s="84"/>
      <c r="P236" s="635"/>
      <c r="Q236" s="39"/>
    </row>
    <row r="237" spans="1:18" ht="15.75">
      <c r="A237" s="59"/>
      <c r="B237" s="177"/>
      <c r="C237" s="133"/>
      <c r="D237" s="59"/>
      <c r="E237" s="59"/>
      <c r="F237" s="170"/>
      <c r="G237" s="203"/>
      <c r="H237" s="204"/>
      <c r="I237" s="175"/>
      <c r="J237" s="175"/>
      <c r="K237" s="210"/>
      <c r="L237" s="177"/>
      <c r="M237" s="187"/>
      <c r="N237" s="195"/>
      <c r="O237" s="198"/>
      <c r="P237" s="635"/>
      <c r="Q237" s="39"/>
    </row>
    <row r="238" spans="1:18" ht="18.75">
      <c r="A238" s="59">
        <v>1</v>
      </c>
      <c r="B238" s="637">
        <v>44681</v>
      </c>
      <c r="C238" s="216" t="s">
        <v>367</v>
      </c>
      <c r="D238" s="632"/>
      <c r="E238" s="632"/>
      <c r="F238" s="641" t="s">
        <v>243</v>
      </c>
      <c r="G238" s="642">
        <v>44.57</v>
      </c>
      <c r="H238" s="632" t="s">
        <v>23</v>
      </c>
      <c r="I238" s="643">
        <v>12500</v>
      </c>
      <c r="J238" s="643">
        <f>I238*G238</f>
        <v>557125</v>
      </c>
      <c r="K238" s="631"/>
      <c r="L238" s="631"/>
      <c r="M238" s="187"/>
      <c r="N238" s="195"/>
      <c r="O238" s="198"/>
      <c r="P238" s="635"/>
      <c r="Q238" s="39"/>
    </row>
    <row r="239" spans="1:18" ht="18.75">
      <c r="A239" s="59"/>
      <c r="B239" s="644"/>
      <c r="C239" s="632"/>
      <c r="D239" s="632"/>
      <c r="E239" s="632"/>
      <c r="F239" s="641" t="s">
        <v>244</v>
      </c>
      <c r="G239" s="642">
        <v>44.94</v>
      </c>
      <c r="H239" s="632" t="s">
        <v>23</v>
      </c>
      <c r="I239" s="643">
        <v>12500</v>
      </c>
      <c r="J239" s="643">
        <f>I239*G239</f>
        <v>561750</v>
      </c>
      <c r="K239" s="631"/>
      <c r="L239" s="631"/>
      <c r="M239" s="187"/>
      <c r="N239" s="195"/>
      <c r="O239" s="198"/>
      <c r="P239" s="635"/>
      <c r="Q239" s="39"/>
    </row>
    <row r="240" spans="1:18" ht="18.75">
      <c r="A240" s="59"/>
      <c r="B240" s="644"/>
      <c r="C240" s="632"/>
      <c r="D240" s="632"/>
      <c r="E240" s="632"/>
      <c r="F240" s="641" t="s">
        <v>246</v>
      </c>
      <c r="G240" s="642">
        <v>20</v>
      </c>
      <c r="H240" s="632" t="s">
        <v>23</v>
      </c>
      <c r="I240" s="643">
        <v>13700</v>
      </c>
      <c r="J240" s="643">
        <f>I240*G240</f>
        <v>274000</v>
      </c>
      <c r="K240" s="631"/>
      <c r="L240" s="631"/>
      <c r="M240" s="187"/>
      <c r="N240" s="195"/>
      <c r="O240" s="198"/>
      <c r="P240" s="635"/>
      <c r="Q240" s="39"/>
    </row>
    <row r="241" spans="1:17" ht="18.75">
      <c r="A241" s="59"/>
      <c r="B241" s="644"/>
      <c r="C241" s="632"/>
      <c r="D241" s="632"/>
      <c r="E241" s="632"/>
      <c r="F241" s="641" t="s">
        <v>247</v>
      </c>
      <c r="G241" s="642">
        <v>15</v>
      </c>
      <c r="H241" s="632" t="s">
        <v>23</v>
      </c>
      <c r="I241" s="643">
        <v>13700</v>
      </c>
      <c r="J241" s="643">
        <f>I241*G241</f>
        <v>205500</v>
      </c>
      <c r="K241" s="631"/>
      <c r="L241" s="631"/>
      <c r="M241" s="187"/>
      <c r="N241" s="195"/>
      <c r="O241" s="198">
        <f>SUM(J238:J241)</f>
        <v>1598375</v>
      </c>
      <c r="P241" s="635"/>
      <c r="Q241" s="39"/>
    </row>
    <row r="242" spans="1:17" ht="18.75">
      <c r="A242" s="59"/>
      <c r="B242" s="644"/>
      <c r="C242" s="632"/>
      <c r="D242" s="632"/>
      <c r="E242" s="632"/>
      <c r="F242" s="641"/>
      <c r="G242" s="642"/>
      <c r="H242" s="632"/>
      <c r="I242" s="643"/>
      <c r="J242" s="643"/>
      <c r="K242" s="631"/>
      <c r="L242" s="631"/>
      <c r="M242" s="187"/>
      <c r="N242" s="195"/>
      <c r="O242" s="198"/>
      <c r="P242" s="635"/>
      <c r="Q242" s="39"/>
    </row>
    <row r="243" spans="1:17" ht="18.75">
      <c r="A243" s="59">
        <v>2</v>
      </c>
      <c r="B243" s="637">
        <v>45046</v>
      </c>
      <c r="C243" s="216" t="s">
        <v>367</v>
      </c>
      <c r="D243" s="217"/>
      <c r="E243" s="217"/>
      <c r="F243" s="216" t="s">
        <v>366</v>
      </c>
      <c r="G243" s="218">
        <v>198.91</v>
      </c>
      <c r="H243" s="219" t="s">
        <v>23</v>
      </c>
      <c r="I243" s="223">
        <v>12900</v>
      </c>
      <c r="J243" s="224">
        <f>G243*I243</f>
        <v>2565939</v>
      </c>
      <c r="K243" s="665"/>
      <c r="L243" s="665"/>
      <c r="M243" s="187"/>
      <c r="N243" s="195"/>
      <c r="O243" s="198"/>
      <c r="P243" s="635"/>
      <c r="Q243" s="39"/>
    </row>
    <row r="244" spans="1:17" ht="18.75">
      <c r="A244" s="59"/>
      <c r="B244" s="638"/>
      <c r="C244" s="216"/>
      <c r="D244" s="217"/>
      <c r="E244" s="440"/>
      <c r="F244" s="486" t="s">
        <v>245</v>
      </c>
      <c r="G244" s="598">
        <v>279</v>
      </c>
      <c r="H244" s="493" t="s">
        <v>23</v>
      </c>
      <c r="I244" s="223">
        <v>15400</v>
      </c>
      <c r="J244" s="599">
        <f>G244*I244</f>
        <v>4296600</v>
      </c>
      <c r="K244" s="665"/>
      <c r="L244" s="665"/>
      <c r="M244" s="187"/>
      <c r="N244" s="195"/>
      <c r="O244" s="198"/>
      <c r="P244" s="635"/>
      <c r="Q244" s="39"/>
    </row>
    <row r="245" spans="1:17" ht="18.75">
      <c r="A245" s="59"/>
      <c r="B245" s="639"/>
      <c r="C245" s="216"/>
      <c r="D245" s="217"/>
      <c r="E245" s="217"/>
      <c r="F245" s="216" t="s">
        <v>366</v>
      </c>
      <c r="G245" s="598">
        <v>18.739999999999998</v>
      </c>
      <c r="H245" s="493" t="s">
        <v>23</v>
      </c>
      <c r="I245" s="223">
        <v>12900</v>
      </c>
      <c r="J245" s="599">
        <f>G245*I245</f>
        <v>241745.99999999997</v>
      </c>
      <c r="K245" s="665"/>
      <c r="L245" s="665"/>
      <c r="M245" s="187"/>
      <c r="N245" s="195"/>
      <c r="O245" s="198">
        <f>SUM(J243:J245)</f>
        <v>7104285</v>
      </c>
      <c r="P245" s="635"/>
      <c r="Q245" s="39"/>
    </row>
    <row r="246" spans="1:17" ht="18.75">
      <c r="A246" s="59"/>
      <c r="B246" s="666"/>
      <c r="C246" s="664"/>
      <c r="D246" s="664"/>
      <c r="E246" s="664"/>
      <c r="F246" s="667"/>
      <c r="G246" s="668"/>
      <c r="H246" s="664"/>
      <c r="I246" s="669"/>
      <c r="J246" s="669"/>
      <c r="K246" s="665"/>
      <c r="L246" s="665"/>
      <c r="M246" s="187"/>
      <c r="N246" s="195"/>
      <c r="O246" s="198"/>
      <c r="P246" s="635"/>
      <c r="Q246" s="39"/>
    </row>
    <row r="247" spans="1:17" ht="18.75">
      <c r="A247" s="59"/>
      <c r="B247" s="596"/>
      <c r="C247" s="217"/>
      <c r="D247" s="217"/>
      <c r="E247" s="217"/>
      <c r="F247" s="427"/>
      <c r="G247" s="594"/>
      <c r="H247" s="217"/>
      <c r="I247" s="595"/>
      <c r="J247" s="595"/>
      <c r="K247" s="210"/>
      <c r="L247" s="177"/>
      <c r="M247" s="187"/>
      <c r="N247" s="195"/>
      <c r="O247" s="198"/>
      <c r="P247" s="635"/>
      <c r="Q247" s="39"/>
    </row>
    <row r="248" spans="1:17" ht="18.75">
      <c r="A248" s="59">
        <v>3</v>
      </c>
      <c r="B248" s="637">
        <v>45412</v>
      </c>
      <c r="C248" s="216" t="s">
        <v>367</v>
      </c>
      <c r="D248" s="217"/>
      <c r="E248" s="217"/>
      <c r="F248" s="216" t="s">
        <v>25</v>
      </c>
      <c r="G248" s="218">
        <v>498.5</v>
      </c>
      <c r="H248" s="219" t="s">
        <v>23</v>
      </c>
      <c r="I248" s="223">
        <v>12900</v>
      </c>
      <c r="J248" s="224">
        <f>G248*I248</f>
        <v>6430650</v>
      </c>
      <c r="K248" s="427"/>
      <c r="L248" s="177"/>
      <c r="M248" s="187"/>
      <c r="N248" s="195"/>
      <c r="O248" s="198"/>
      <c r="P248" s="635"/>
      <c r="Q248" s="39"/>
    </row>
    <row r="249" spans="1:17" ht="18.75">
      <c r="A249" s="59"/>
      <c r="B249" s="637"/>
      <c r="C249" s="217"/>
      <c r="D249" s="217"/>
      <c r="E249" s="217"/>
      <c r="F249" s="216" t="s">
        <v>368</v>
      </c>
      <c r="G249" s="218">
        <v>250</v>
      </c>
      <c r="H249" s="219" t="s">
        <v>23</v>
      </c>
      <c r="I249" s="223">
        <v>15100</v>
      </c>
      <c r="J249" s="224">
        <f>G249*I249</f>
        <v>3775000</v>
      </c>
      <c r="K249" s="427"/>
      <c r="L249" s="177"/>
      <c r="M249" s="187"/>
      <c r="N249" s="195"/>
      <c r="O249" s="198">
        <f>SUM(J248:J249)</f>
        <v>10205650</v>
      </c>
      <c r="P249" s="635"/>
      <c r="Q249" s="39"/>
    </row>
    <row r="250" spans="1:17" ht="18.75">
      <c r="A250" s="59"/>
      <c r="B250" s="637"/>
      <c r="C250" s="217"/>
      <c r="D250" s="217"/>
      <c r="E250" s="217"/>
      <c r="F250" s="216"/>
      <c r="G250" s="218"/>
      <c r="H250" s="219"/>
      <c r="I250" s="223"/>
      <c r="J250" s="224"/>
      <c r="K250" s="427"/>
      <c r="L250" s="177"/>
      <c r="M250" s="187"/>
      <c r="N250" s="195"/>
      <c r="O250" s="198"/>
      <c r="P250" s="635"/>
      <c r="Q250" s="39"/>
    </row>
    <row r="251" spans="1:17" ht="18.75">
      <c r="A251" s="59"/>
      <c r="B251" s="637"/>
      <c r="C251" s="217"/>
      <c r="D251" s="217"/>
      <c r="E251" s="217"/>
      <c r="F251" s="216"/>
      <c r="G251" s="218"/>
      <c r="H251" s="219"/>
      <c r="I251" s="223"/>
      <c r="J251" s="224"/>
      <c r="K251" s="427"/>
      <c r="L251" s="177"/>
      <c r="M251" s="187"/>
      <c r="N251" s="195"/>
      <c r="O251" s="198"/>
      <c r="P251" s="635"/>
      <c r="Q251" s="39"/>
    </row>
    <row r="252" spans="1:17" ht="18.75">
      <c r="A252" s="59">
        <v>4</v>
      </c>
      <c r="B252" s="637">
        <v>45076</v>
      </c>
      <c r="C252" s="216" t="s">
        <v>367</v>
      </c>
      <c r="D252" s="217"/>
      <c r="E252" s="217"/>
      <c r="F252" s="216" t="s">
        <v>366</v>
      </c>
      <c r="G252" s="218">
        <v>181</v>
      </c>
      <c r="H252" s="219" t="s">
        <v>23</v>
      </c>
      <c r="I252" s="223">
        <v>13300</v>
      </c>
      <c r="J252" s="224">
        <f>G252*I252</f>
        <v>2407300</v>
      </c>
      <c r="K252" s="631"/>
      <c r="L252" s="177"/>
      <c r="M252" s="187"/>
      <c r="N252" s="195"/>
      <c r="O252" s="198"/>
      <c r="P252" s="635"/>
      <c r="Q252" s="39"/>
    </row>
    <row r="253" spans="1:17" ht="18.75">
      <c r="A253" s="59"/>
      <c r="B253" s="638"/>
      <c r="C253" s="216"/>
      <c r="D253" s="217"/>
      <c r="E253" s="440"/>
      <c r="F253" s="486" t="s">
        <v>245</v>
      </c>
      <c r="G253" s="598">
        <v>266</v>
      </c>
      <c r="H253" s="493" t="s">
        <v>23</v>
      </c>
      <c r="I253" s="223">
        <v>14600</v>
      </c>
      <c r="J253" s="599">
        <f>G253*I253</f>
        <v>3883600</v>
      </c>
      <c r="K253" s="631"/>
      <c r="L253" s="177"/>
      <c r="M253" s="187"/>
      <c r="N253" s="195"/>
      <c r="O253" s="198"/>
      <c r="P253" s="635"/>
      <c r="Q253" s="39"/>
    </row>
    <row r="254" spans="1:17" ht="18.75">
      <c r="A254" s="59"/>
      <c r="B254" s="639"/>
      <c r="C254" s="216"/>
      <c r="D254" s="217"/>
      <c r="E254" s="217"/>
      <c r="F254" s="216" t="s">
        <v>366</v>
      </c>
      <c r="G254" s="598">
        <v>121</v>
      </c>
      <c r="H254" s="493" t="s">
        <v>23</v>
      </c>
      <c r="I254" s="223">
        <v>13300</v>
      </c>
      <c r="J254" s="599">
        <f>G254*I254</f>
        <v>1609300</v>
      </c>
      <c r="K254" s="631"/>
      <c r="L254" s="177"/>
      <c r="M254" s="187"/>
      <c r="N254" s="195"/>
      <c r="O254" s="198">
        <f>SUM(J252:J254)</f>
        <v>7900200</v>
      </c>
      <c r="P254" s="635"/>
      <c r="Q254" s="39"/>
    </row>
    <row r="255" spans="1:17" ht="18.75">
      <c r="A255" s="59"/>
      <c r="B255" s="215"/>
      <c r="C255" s="427"/>
      <c r="D255" s="217"/>
      <c r="E255" s="217"/>
      <c r="F255" s="216"/>
      <c r="G255" s="218"/>
      <c r="H255" s="219"/>
      <c r="I255" s="223"/>
      <c r="J255" s="224"/>
      <c r="K255" s="210"/>
      <c r="L255" s="177"/>
      <c r="M255" s="187"/>
      <c r="N255" s="195"/>
      <c r="O255" s="198"/>
      <c r="P255" s="635"/>
      <c r="Q255" s="39"/>
    </row>
    <row r="256" spans="1:17" ht="18.75">
      <c r="A256" s="59">
        <v>5</v>
      </c>
      <c r="B256" s="637"/>
      <c r="C256" s="216"/>
      <c r="D256" s="632"/>
      <c r="E256" s="632"/>
      <c r="F256" s="641"/>
      <c r="G256" s="642"/>
      <c r="H256" s="632"/>
      <c r="I256" s="643"/>
      <c r="J256" s="643"/>
      <c r="K256" s="631"/>
      <c r="L256" s="631"/>
      <c r="M256" s="187"/>
      <c r="N256" s="195"/>
      <c r="O256" s="198"/>
      <c r="P256" s="635"/>
      <c r="Q256" s="39"/>
    </row>
    <row r="257" spans="1:17" ht="18.75">
      <c r="A257" s="59"/>
      <c r="B257" s="644"/>
      <c r="C257" s="632"/>
      <c r="D257" s="632"/>
      <c r="E257" s="632"/>
      <c r="F257" s="641"/>
      <c r="G257" s="642"/>
      <c r="H257" s="632"/>
      <c r="I257" s="643"/>
      <c r="J257" s="643"/>
      <c r="K257" s="631"/>
      <c r="L257" s="631"/>
      <c r="M257" s="187"/>
      <c r="N257" s="195"/>
      <c r="O257" s="198"/>
      <c r="P257" s="635"/>
      <c r="Q257" s="39"/>
    </row>
    <row r="258" spans="1:17" ht="18.75">
      <c r="A258" s="59"/>
      <c r="B258" s="644"/>
      <c r="C258" s="632"/>
      <c r="D258" s="632"/>
      <c r="E258" s="632"/>
      <c r="F258" s="641"/>
      <c r="G258" s="642"/>
      <c r="H258" s="632"/>
      <c r="I258" s="643"/>
      <c r="J258" s="643"/>
      <c r="K258" s="631"/>
      <c r="L258" s="631"/>
      <c r="M258" s="187"/>
      <c r="N258" s="195"/>
      <c r="O258" s="198"/>
      <c r="P258" s="635"/>
      <c r="Q258" s="39"/>
    </row>
    <row r="259" spans="1:17" ht="18.75">
      <c r="A259" s="59"/>
      <c r="B259" s="644"/>
      <c r="C259" s="632"/>
      <c r="D259" s="632"/>
      <c r="E259" s="632"/>
      <c r="F259" s="641"/>
      <c r="G259" s="642"/>
      <c r="H259" s="632"/>
      <c r="I259" s="643"/>
      <c r="J259" s="643"/>
      <c r="K259" s="631"/>
      <c r="L259" s="631"/>
      <c r="M259" s="59"/>
      <c r="N259" s="36"/>
      <c r="O259" s="196"/>
      <c r="P259" s="635"/>
      <c r="Q259" s="39"/>
    </row>
    <row r="260" spans="1:17" ht="18.75">
      <c r="A260" s="59"/>
      <c r="B260" s="608"/>
      <c r="C260" s="216"/>
      <c r="D260" s="217"/>
      <c r="E260" s="440"/>
      <c r="F260" s="591"/>
      <c r="G260" s="592"/>
      <c r="H260" s="590"/>
      <c r="I260" s="593"/>
      <c r="J260" s="593"/>
      <c r="K260" s="133"/>
      <c r="L260" s="59"/>
      <c r="M260" s="59"/>
      <c r="N260" s="36"/>
      <c r="O260" s="213"/>
      <c r="P260" s="635"/>
      <c r="Q260" s="39"/>
    </row>
    <row r="261" spans="1:17" ht="18.75">
      <c r="A261" s="59">
        <v>6</v>
      </c>
      <c r="B261" s="637">
        <v>45442</v>
      </c>
      <c r="C261" s="216" t="s">
        <v>367</v>
      </c>
      <c r="D261" s="217"/>
      <c r="E261" s="217"/>
      <c r="F261" s="216" t="s">
        <v>25</v>
      </c>
      <c r="G261" s="218">
        <v>566.01599999999996</v>
      </c>
      <c r="H261" s="219" t="s">
        <v>23</v>
      </c>
      <c r="I261" s="223">
        <v>12900</v>
      </c>
      <c r="J261" s="224">
        <f>G261*I261</f>
        <v>7301606.3999999994</v>
      </c>
      <c r="K261" s="427"/>
      <c r="L261" s="177"/>
      <c r="M261" s="187"/>
      <c r="N261" s="195"/>
      <c r="O261" s="198"/>
      <c r="P261" s="635"/>
      <c r="Q261" s="39"/>
    </row>
    <row r="262" spans="1:17" ht="18.75">
      <c r="A262" s="59"/>
      <c r="B262" s="637"/>
      <c r="C262" s="217"/>
      <c r="D262" s="217"/>
      <c r="E262" s="217"/>
      <c r="F262" s="216" t="s">
        <v>368</v>
      </c>
      <c r="G262" s="218">
        <v>253</v>
      </c>
      <c r="H262" s="219" t="s">
        <v>23</v>
      </c>
      <c r="I262" s="223">
        <v>15100</v>
      </c>
      <c r="J262" s="224">
        <f>G262*I262</f>
        <v>3820300</v>
      </c>
      <c r="K262" s="427"/>
      <c r="L262" s="177"/>
      <c r="M262" s="187"/>
      <c r="N262" s="195"/>
      <c r="O262" s="198">
        <f>SUM(J261:J262)</f>
        <v>11121906.399999999</v>
      </c>
      <c r="P262" s="635"/>
      <c r="Q262" s="39"/>
    </row>
    <row r="263" spans="1:17" ht="18.75">
      <c r="A263" s="59"/>
      <c r="B263" s="637"/>
      <c r="C263" s="217"/>
      <c r="D263" s="217"/>
      <c r="E263" s="217"/>
      <c r="F263" s="216"/>
      <c r="G263" s="218"/>
      <c r="H263" s="219"/>
      <c r="I263" s="223"/>
      <c r="J263" s="224"/>
      <c r="K263" s="210"/>
      <c r="L263" s="177"/>
      <c r="M263" s="187"/>
      <c r="N263" s="195"/>
      <c r="O263" s="198"/>
      <c r="P263" s="635"/>
      <c r="Q263" s="39"/>
    </row>
    <row r="264" spans="1:17" ht="18.75">
      <c r="A264" s="59"/>
      <c r="B264" s="215"/>
      <c r="C264" s="217"/>
      <c r="D264" s="217"/>
      <c r="E264" s="217"/>
      <c r="F264" s="216"/>
      <c r="G264" s="218"/>
      <c r="H264" s="219"/>
      <c r="I264" s="223"/>
      <c r="J264" s="224"/>
      <c r="K264" s="210"/>
      <c r="L264" s="177"/>
      <c r="M264" s="187"/>
      <c r="N264" s="195"/>
      <c r="O264" s="198"/>
      <c r="P264" s="635"/>
      <c r="Q264" s="39"/>
    </row>
    <row r="265" spans="1:17" ht="18.75">
      <c r="A265" s="59"/>
      <c r="B265" s="215"/>
      <c r="C265" s="217"/>
      <c r="D265" s="217"/>
      <c r="E265" s="217"/>
      <c r="F265" s="216" t="s">
        <v>26</v>
      </c>
      <c r="G265" s="218">
        <v>37</v>
      </c>
      <c r="H265" s="219" t="s">
        <v>23</v>
      </c>
      <c r="I265" s="223">
        <v>7650</v>
      </c>
      <c r="J265" s="224">
        <f>G265*I265</f>
        <v>283050</v>
      </c>
      <c r="K265" s="180"/>
      <c r="L265" s="59"/>
      <c r="M265" s="59"/>
      <c r="N265" s="36"/>
      <c r="O265" s="213">
        <f>SUM(J265:J265)</f>
        <v>283050</v>
      </c>
      <c r="P265" s="635"/>
      <c r="Q265" s="39"/>
    </row>
    <row r="266" spans="1:17" ht="15.75">
      <c r="A266" s="59"/>
      <c r="B266" s="169"/>
      <c r="C266" s="59"/>
      <c r="D266" s="59"/>
      <c r="E266" s="59"/>
      <c r="F266" s="170"/>
      <c r="G266" s="205"/>
      <c r="H266" s="166"/>
      <c r="I266" s="211"/>
      <c r="J266" s="175"/>
      <c r="K266" s="133"/>
      <c r="L266" s="177"/>
      <c r="M266" s="187"/>
      <c r="N266" s="195"/>
      <c r="O266" s="196"/>
      <c r="P266" s="635"/>
      <c r="Q266" s="39"/>
    </row>
    <row r="267" spans="1:17" ht="18.75">
      <c r="A267" s="59">
        <v>7</v>
      </c>
      <c r="B267" s="637">
        <v>45107</v>
      </c>
      <c r="C267" s="216" t="s">
        <v>367</v>
      </c>
      <c r="D267" s="217"/>
      <c r="E267" s="217"/>
      <c r="F267" s="216" t="s">
        <v>366</v>
      </c>
      <c r="G267" s="218">
        <v>191</v>
      </c>
      <c r="H267" s="219" t="s">
        <v>23</v>
      </c>
      <c r="I267" s="223">
        <v>12500</v>
      </c>
      <c r="J267" s="224">
        <f>G267*I267</f>
        <v>2387500</v>
      </c>
      <c r="K267" s="631"/>
      <c r="L267" s="115"/>
      <c r="M267" s="59"/>
      <c r="N267" s="212"/>
      <c r="O267" s="213"/>
      <c r="P267" s="635"/>
      <c r="Q267" s="39"/>
    </row>
    <row r="268" spans="1:17" ht="18.75">
      <c r="A268" s="59"/>
      <c r="B268" s="638"/>
      <c r="C268" s="216"/>
      <c r="D268" s="217"/>
      <c r="E268" s="440"/>
      <c r="F268" s="486" t="s">
        <v>245</v>
      </c>
      <c r="G268" s="598">
        <v>285</v>
      </c>
      <c r="H268" s="493" t="s">
        <v>23</v>
      </c>
      <c r="I268" s="599">
        <v>13250</v>
      </c>
      <c r="J268" s="599">
        <f>G268*I268</f>
        <v>3776250</v>
      </c>
      <c r="K268" s="631" t="s">
        <v>383</v>
      </c>
      <c r="L268" s="115"/>
      <c r="M268" s="59"/>
      <c r="N268" s="212"/>
      <c r="O268" s="213"/>
      <c r="P268" s="635"/>
      <c r="Q268" s="39"/>
    </row>
    <row r="269" spans="1:17" ht="18.75">
      <c r="A269" s="59"/>
      <c r="B269" s="639"/>
      <c r="C269" s="216"/>
      <c r="D269" s="217"/>
      <c r="E269" s="217"/>
      <c r="F269" s="216" t="s">
        <v>366</v>
      </c>
      <c r="G269" s="598">
        <v>100</v>
      </c>
      <c r="H269" s="493" t="s">
        <v>23</v>
      </c>
      <c r="I269" s="599">
        <v>12500</v>
      </c>
      <c r="J269" s="599">
        <f>G269*I269</f>
        <v>1250000</v>
      </c>
      <c r="K269" s="631"/>
      <c r="L269" s="115"/>
      <c r="M269" s="59"/>
      <c r="N269" s="212"/>
      <c r="O269" s="213">
        <f>SUM(J267:J269)</f>
        <v>7413750</v>
      </c>
      <c r="P269" s="635"/>
      <c r="Q269" s="39"/>
    </row>
    <row r="270" spans="1:17" ht="18.75">
      <c r="A270" s="59"/>
      <c r="B270" s="597"/>
      <c r="C270" s="493"/>
      <c r="D270" s="493"/>
      <c r="E270" s="493"/>
      <c r="F270" s="486"/>
      <c r="G270" s="598"/>
      <c r="H270" s="493"/>
      <c r="I270" s="599"/>
      <c r="J270" s="599"/>
      <c r="K270" s="133"/>
      <c r="L270" s="115"/>
      <c r="M270" s="59"/>
      <c r="N270" s="212"/>
      <c r="O270" s="213"/>
      <c r="P270" s="635"/>
      <c r="Q270" s="39"/>
    </row>
    <row r="271" spans="1:17" ht="18.75">
      <c r="A271" s="59"/>
      <c r="B271" s="637">
        <v>45473</v>
      </c>
      <c r="C271" s="216" t="s">
        <v>367</v>
      </c>
      <c r="D271" s="217"/>
      <c r="E271" s="217"/>
      <c r="F271" s="216" t="s">
        <v>25</v>
      </c>
      <c r="G271" s="218">
        <v>542.55999999999995</v>
      </c>
      <c r="H271" s="219" t="s">
        <v>23</v>
      </c>
      <c r="I271" s="223">
        <v>12900</v>
      </c>
      <c r="J271" s="224">
        <f>G271*I271</f>
        <v>6999023.9999999991</v>
      </c>
      <c r="K271" s="427"/>
      <c r="L271" s="177"/>
      <c r="M271" s="187"/>
      <c r="N271" s="195"/>
      <c r="O271" s="198"/>
      <c r="P271" s="635"/>
      <c r="Q271" s="39"/>
    </row>
    <row r="272" spans="1:17" ht="18.75">
      <c r="A272" s="59"/>
      <c r="B272" s="637"/>
      <c r="C272" s="217"/>
      <c r="D272" s="217"/>
      <c r="E272" s="217"/>
      <c r="F272" s="216" t="s">
        <v>368</v>
      </c>
      <c r="G272" s="218">
        <v>264</v>
      </c>
      <c r="H272" s="219" t="s">
        <v>23</v>
      </c>
      <c r="I272" s="223">
        <v>15100</v>
      </c>
      <c r="J272" s="224">
        <f>G272*I272</f>
        <v>3986400</v>
      </c>
      <c r="K272" s="427"/>
      <c r="L272" s="177"/>
      <c r="M272" s="187"/>
      <c r="N272" s="195"/>
      <c r="O272" s="198">
        <f>SUM(J271:J272)</f>
        <v>10985424</v>
      </c>
      <c r="P272" s="635"/>
      <c r="Q272" s="39"/>
    </row>
    <row r="273" spans="1:17" ht="18.75">
      <c r="A273" s="59"/>
      <c r="B273" s="637"/>
      <c r="C273" s="217"/>
      <c r="D273" s="217"/>
      <c r="E273" s="217"/>
      <c r="F273" s="216"/>
      <c r="G273" s="218"/>
      <c r="H273" s="219"/>
      <c r="I273" s="223"/>
      <c r="J273" s="224"/>
      <c r="K273" s="210"/>
      <c r="L273" s="177"/>
      <c r="M273" s="187"/>
      <c r="N273" s="195"/>
      <c r="O273" s="198"/>
      <c r="P273" s="635"/>
      <c r="Q273" s="39"/>
    </row>
    <row r="274" spans="1:17" ht="18.75">
      <c r="A274" s="59"/>
      <c r="B274" s="215"/>
      <c r="C274" s="217"/>
      <c r="D274" s="217"/>
      <c r="E274" s="217"/>
      <c r="F274" s="216"/>
      <c r="G274" s="218"/>
      <c r="H274" s="219"/>
      <c r="I274" s="223"/>
      <c r="J274" s="224"/>
      <c r="K274" s="210"/>
      <c r="L274" s="177"/>
      <c r="M274" s="187"/>
      <c r="N274" s="195"/>
      <c r="O274" s="198"/>
      <c r="P274" s="635"/>
      <c r="Q274" s="39"/>
    </row>
    <row r="275" spans="1:17" ht="15.75">
      <c r="A275" s="1146" t="s">
        <v>27</v>
      </c>
      <c r="B275" s="1147"/>
      <c r="C275" s="1147"/>
      <c r="D275" s="1147"/>
      <c r="E275" s="1147"/>
      <c r="F275" s="1147"/>
      <c r="G275" s="1147"/>
      <c r="H275" s="1147"/>
      <c r="I275" s="1147"/>
      <c r="J275" s="1147"/>
      <c r="K275" s="1147"/>
      <c r="L275" s="1147"/>
      <c r="M275" s="1148"/>
      <c r="N275" s="36"/>
      <c r="O275" s="198"/>
      <c r="P275" s="635"/>
      <c r="Q275" s="39"/>
    </row>
    <row r="276" spans="1:17" ht="15.75">
      <c r="A276" s="59"/>
      <c r="B276" s="169"/>
      <c r="C276" s="170"/>
      <c r="D276" s="133"/>
      <c r="E276" s="169"/>
      <c r="F276" s="186"/>
      <c r="G276" s="220"/>
      <c r="H276" s="171"/>
      <c r="I276" s="225"/>
      <c r="J276" s="226"/>
      <c r="K276" s="133"/>
      <c r="L276" s="169"/>
      <c r="M276" s="59"/>
      <c r="N276" s="36"/>
      <c r="O276" s="84"/>
      <c r="P276" s="635"/>
      <c r="Q276" s="39"/>
    </row>
    <row r="277" spans="1:17" ht="18.75">
      <c r="A277" s="59">
        <v>1</v>
      </c>
      <c r="B277" s="429">
        <v>46139</v>
      </c>
      <c r="C277" s="216" t="s">
        <v>379</v>
      </c>
      <c r="D277" s="491"/>
      <c r="E277" s="485"/>
      <c r="F277" s="621" t="s">
        <v>483</v>
      </c>
      <c r="G277" s="584">
        <v>3000</v>
      </c>
      <c r="H277" s="585" t="s">
        <v>484</v>
      </c>
      <c r="I277" s="586">
        <v>319.68</v>
      </c>
      <c r="J277" s="587">
        <f t="shared" ref="J277" si="34">G277*I277</f>
        <v>959040</v>
      </c>
      <c r="K277" s="219" t="s">
        <v>649</v>
      </c>
      <c r="L277" s="485">
        <v>46139</v>
      </c>
      <c r="M277" s="829"/>
      <c r="N277" s="36"/>
      <c r="O277" s="227">
        <f>SUM(J277)</f>
        <v>959040</v>
      </c>
      <c r="P277" s="662" t="s">
        <v>701</v>
      </c>
      <c r="Q277" s="39"/>
    </row>
    <row r="278" spans="1:17" ht="18.75">
      <c r="A278" s="59"/>
      <c r="B278" s="640"/>
      <c r="C278" s="636"/>
      <c r="D278" s="718"/>
      <c r="E278" s="640"/>
      <c r="F278" s="621"/>
      <c r="G278" s="561"/>
      <c r="H278" s="585"/>
      <c r="I278" s="586"/>
      <c r="J278" s="587"/>
      <c r="K278" s="427"/>
      <c r="L278" s="215"/>
      <c r="M278" s="718"/>
      <c r="N278" s="36"/>
      <c r="O278" s="227"/>
      <c r="P278" s="635"/>
      <c r="Q278" s="39"/>
    </row>
    <row r="279" spans="1:17" ht="18.75">
      <c r="A279" s="59"/>
      <c r="B279" s="429">
        <v>46139</v>
      </c>
      <c r="C279" s="216" t="s">
        <v>379</v>
      </c>
      <c r="D279" s="491"/>
      <c r="E279" s="485"/>
      <c r="F279" s="621" t="s">
        <v>483</v>
      </c>
      <c r="G279" s="584">
        <v>5580</v>
      </c>
      <c r="H279" s="585" t="s">
        <v>484</v>
      </c>
      <c r="I279" s="586">
        <v>319.68</v>
      </c>
      <c r="J279" s="587">
        <f t="shared" ref="J279" si="35">G279*I279</f>
        <v>1783814.4000000001</v>
      </c>
      <c r="K279" s="219" t="s">
        <v>639</v>
      </c>
      <c r="L279" s="485">
        <v>46139</v>
      </c>
      <c r="M279" s="829"/>
      <c r="N279" s="36"/>
      <c r="O279" s="227">
        <f>SUM(J279)</f>
        <v>1783814.4000000001</v>
      </c>
      <c r="P279" s="662" t="s">
        <v>701</v>
      </c>
      <c r="Q279" s="39"/>
    </row>
    <row r="280" spans="1:17" ht="18.75">
      <c r="A280" s="59"/>
      <c r="B280" s="640"/>
      <c r="C280" s="636"/>
      <c r="D280" s="718"/>
      <c r="E280" s="640"/>
      <c r="F280" s="621"/>
      <c r="G280" s="561"/>
      <c r="H280" s="585"/>
      <c r="I280" s="586"/>
      <c r="J280" s="587"/>
      <c r="K280" s="427"/>
      <c r="L280" s="215"/>
      <c r="M280" s="718"/>
      <c r="N280" s="36"/>
      <c r="O280" s="227"/>
      <c r="P280" s="635"/>
      <c r="Q280" s="39"/>
    </row>
    <row r="281" spans="1:17" ht="18.75">
      <c r="A281" s="829"/>
      <c r="B281" s="429">
        <v>46132</v>
      </c>
      <c r="C281" s="216" t="s">
        <v>379</v>
      </c>
      <c r="D281" s="491"/>
      <c r="E281" s="485"/>
      <c r="F281" s="621" t="s">
        <v>483</v>
      </c>
      <c r="G281" s="584">
        <v>690</v>
      </c>
      <c r="H281" s="585" t="s">
        <v>484</v>
      </c>
      <c r="I281" s="586">
        <v>333</v>
      </c>
      <c r="J281" s="587">
        <f t="shared" ref="J281" si="36">G281*I281</f>
        <v>229770</v>
      </c>
      <c r="K281" s="219" t="s">
        <v>673</v>
      </c>
      <c r="L281" s="485">
        <v>46132</v>
      </c>
      <c r="M281" s="829"/>
      <c r="N281" s="36"/>
      <c r="O281" s="227"/>
      <c r="P281" s="635"/>
      <c r="Q281" s="39"/>
    </row>
    <row r="282" spans="1:17" ht="18.75">
      <c r="A282" s="829"/>
      <c r="B282" s="876"/>
      <c r="C282" s="878"/>
      <c r="D282" s="877"/>
      <c r="E282" s="876"/>
      <c r="F282" s="621" t="s">
        <v>674</v>
      </c>
      <c r="G282" s="584">
        <v>1</v>
      </c>
      <c r="H282" s="585" t="s">
        <v>675</v>
      </c>
      <c r="I282" s="586">
        <v>210928</v>
      </c>
      <c r="J282" s="587">
        <f t="shared" ref="J282" si="37">G282*I282</f>
        <v>210928</v>
      </c>
      <c r="K282" s="833"/>
      <c r="L282" s="832"/>
      <c r="M282" s="877"/>
      <c r="N282" s="36"/>
      <c r="O282" s="227">
        <f>SUM(J281:J282)</f>
        <v>440698</v>
      </c>
      <c r="P282" s="635"/>
      <c r="Q282" s="39"/>
    </row>
    <row r="283" spans="1:17" ht="18.75">
      <c r="A283" s="829"/>
      <c r="B283" s="876"/>
      <c r="C283" s="878"/>
      <c r="D283" s="877"/>
      <c r="E283" s="876"/>
      <c r="F283" s="621"/>
      <c r="G283" s="1066"/>
      <c r="H283" s="585"/>
      <c r="I283" s="874"/>
      <c r="J283" s="875"/>
      <c r="K283" s="833"/>
      <c r="L283" s="832"/>
      <c r="M283" s="877"/>
      <c r="N283" s="36"/>
      <c r="O283" s="227"/>
      <c r="P283" s="635"/>
      <c r="Q283" s="39"/>
    </row>
    <row r="284" spans="1:17" ht="18.75">
      <c r="A284" s="829"/>
      <c r="B284" s="876"/>
      <c r="C284" s="878"/>
      <c r="D284" s="877"/>
      <c r="E284" s="876"/>
      <c r="F284" s="621"/>
      <c r="G284" s="1066"/>
      <c r="H284" s="585"/>
      <c r="I284" s="874"/>
      <c r="J284" s="875"/>
      <c r="K284" s="833"/>
      <c r="L284" s="832"/>
      <c r="M284" s="877"/>
      <c r="N284" s="36"/>
      <c r="O284" s="227"/>
      <c r="P284" s="635"/>
      <c r="Q284" s="39"/>
    </row>
    <row r="285" spans="1:17" ht="18.75">
      <c r="A285" s="59"/>
      <c r="B285" s="485"/>
      <c r="C285" s="492"/>
      <c r="D285" s="491"/>
      <c r="E285" s="485"/>
      <c r="F285" s="722"/>
      <c r="G285" s="584"/>
      <c r="H285" s="585"/>
      <c r="I285" s="586"/>
      <c r="J285" s="587"/>
      <c r="K285" s="219"/>
      <c r="L285" s="215"/>
      <c r="M285" s="718"/>
      <c r="N285" s="36"/>
      <c r="O285" s="227"/>
      <c r="P285" s="635"/>
      <c r="Q285" s="39"/>
    </row>
    <row r="286" spans="1:17" ht="18.75">
      <c r="A286" s="59"/>
      <c r="B286" s="640"/>
      <c r="C286" s="636"/>
      <c r="D286" s="718"/>
      <c r="E286" s="640"/>
      <c r="F286" s="722"/>
      <c r="G286" s="584"/>
      <c r="H286" s="585"/>
      <c r="I286" s="586"/>
      <c r="J286" s="587"/>
      <c r="K286" s="219"/>
      <c r="L286" s="215"/>
      <c r="M286" s="718"/>
      <c r="N286" s="36"/>
      <c r="O286" s="227"/>
      <c r="P286" s="635"/>
      <c r="Q286" s="39"/>
    </row>
    <row r="287" spans="1:17" ht="18.75">
      <c r="A287" s="59"/>
      <c r="B287" s="640"/>
      <c r="C287" s="636"/>
      <c r="D287" s="718"/>
      <c r="E287" s="640"/>
      <c r="F287" s="621"/>
      <c r="G287" s="561"/>
      <c r="H287" s="585"/>
      <c r="I287" s="586"/>
      <c r="J287" s="587"/>
      <c r="K287" s="219"/>
      <c r="L287" s="215"/>
      <c r="M287" s="718"/>
      <c r="N287" s="36"/>
      <c r="O287" s="227"/>
      <c r="P287" s="635"/>
      <c r="Q287" s="39"/>
    </row>
    <row r="288" spans="1:17" ht="18.75">
      <c r="A288" s="59"/>
      <c r="B288" s="215"/>
      <c r="C288" s="450"/>
      <c r="D288" s="450"/>
      <c r="E288" s="215"/>
      <c r="F288" s="621"/>
      <c r="G288" s="588"/>
      <c r="H288" s="585"/>
      <c r="I288" s="589"/>
      <c r="J288" s="587"/>
      <c r="K288" s="450"/>
      <c r="L288" s="450"/>
      <c r="M288" s="450"/>
      <c r="N288" s="36"/>
      <c r="O288" s="227"/>
      <c r="P288" s="635"/>
      <c r="Q288" s="39"/>
    </row>
    <row r="289" spans="1:17" ht="15.75">
      <c r="A289" s="1146" t="s">
        <v>28</v>
      </c>
      <c r="B289" s="1147"/>
      <c r="C289" s="1147"/>
      <c r="D289" s="1147"/>
      <c r="E289" s="1147"/>
      <c r="F289" s="1147"/>
      <c r="G289" s="1147"/>
      <c r="H289" s="1147"/>
      <c r="I289" s="1147"/>
      <c r="J289" s="1147"/>
      <c r="K289" s="1147"/>
      <c r="L289" s="1147"/>
      <c r="M289" s="1148"/>
      <c r="N289" s="208"/>
      <c r="O289" s="196"/>
      <c r="P289" s="635"/>
      <c r="Q289" s="39"/>
    </row>
    <row r="290" spans="1:17" ht="15.75">
      <c r="A290" s="59"/>
      <c r="B290" s="221"/>
      <c r="C290" s="133"/>
      <c r="D290" s="133"/>
      <c r="E290" s="222"/>
      <c r="F290" s="601"/>
      <c r="G290" s="560"/>
      <c r="H290" s="197"/>
      <c r="I290" s="602"/>
      <c r="J290" s="692"/>
      <c r="K290" s="693"/>
      <c r="L290" s="221"/>
      <c r="M290" s="228"/>
      <c r="N290" s="195"/>
      <c r="O290" s="196"/>
      <c r="P290" s="635"/>
      <c r="Q290" s="39"/>
    </row>
    <row r="291" spans="1:17" ht="15.75">
      <c r="A291" s="59"/>
      <c r="B291" s="221"/>
      <c r="C291" s="133"/>
      <c r="D291" s="133"/>
      <c r="E291" s="222"/>
      <c r="F291" s="166"/>
      <c r="G291" s="203"/>
      <c r="H291" s="170"/>
      <c r="I291" s="202"/>
      <c r="J291" s="175"/>
      <c r="K291" s="133"/>
      <c r="L291" s="221"/>
      <c r="M291" s="228"/>
      <c r="N291" s="195"/>
      <c r="O291" s="196"/>
      <c r="P291" s="635"/>
      <c r="Q291" s="39"/>
    </row>
    <row r="292" spans="1:17" ht="15.75">
      <c r="A292" s="59"/>
      <c r="B292" s="221"/>
      <c r="C292" s="133"/>
      <c r="D292" s="133"/>
      <c r="E292" s="222"/>
      <c r="F292" s="166"/>
      <c r="G292" s="203"/>
      <c r="H292" s="170"/>
      <c r="I292" s="695"/>
      <c r="J292" s="175"/>
      <c r="K292" s="133"/>
      <c r="L292" s="221"/>
      <c r="M292" s="228"/>
      <c r="N292" s="195"/>
      <c r="O292" s="196"/>
      <c r="P292" s="635"/>
      <c r="Q292" s="39"/>
    </row>
    <row r="293" spans="1:17" ht="18.75">
      <c r="A293" s="59"/>
      <c r="B293" s="215">
        <v>45400</v>
      </c>
      <c r="C293" s="804" t="s">
        <v>441</v>
      </c>
      <c r="D293" s="805"/>
      <c r="E293" s="805"/>
      <c r="F293" s="813" t="s">
        <v>382</v>
      </c>
      <c r="G293" s="806">
        <v>32</v>
      </c>
      <c r="H293" s="807" t="s">
        <v>241</v>
      </c>
      <c r="I293" s="816">
        <v>321000</v>
      </c>
      <c r="J293" s="817">
        <f>G293*I293</f>
        <v>10272000</v>
      </c>
      <c r="K293" s="818" t="s">
        <v>442</v>
      </c>
      <c r="L293" s="215">
        <v>45400</v>
      </c>
      <c r="M293" s="228"/>
      <c r="N293" s="195"/>
      <c r="O293" s="196"/>
      <c r="P293" s="635"/>
      <c r="Q293" s="39"/>
    </row>
    <row r="294" spans="1:17" ht="18.75">
      <c r="A294" s="59"/>
      <c r="B294" s="812"/>
      <c r="C294" s="804"/>
      <c r="D294" s="805"/>
      <c r="E294" s="805"/>
      <c r="F294" s="813" t="s">
        <v>380</v>
      </c>
      <c r="G294" s="806">
        <v>96</v>
      </c>
      <c r="H294" s="807" t="s">
        <v>241</v>
      </c>
      <c r="I294" s="816">
        <v>179000</v>
      </c>
      <c r="J294" s="817">
        <f t="shared" ref="J294:J305" si="38">G294*I294</f>
        <v>17184000</v>
      </c>
      <c r="K294" s="810"/>
      <c r="L294" s="811"/>
      <c r="M294" s="228"/>
      <c r="N294" s="195"/>
      <c r="O294" s="196"/>
      <c r="P294" s="635"/>
      <c r="Q294" s="39"/>
    </row>
    <row r="295" spans="1:17" ht="18.75">
      <c r="A295" s="59"/>
      <c r="B295" s="812"/>
      <c r="C295" s="804"/>
      <c r="D295" s="805"/>
      <c r="E295" s="805"/>
      <c r="F295" s="813" t="s">
        <v>443</v>
      </c>
      <c r="G295" s="806">
        <v>55</v>
      </c>
      <c r="H295" s="807" t="s">
        <v>460</v>
      </c>
      <c r="I295" s="816">
        <v>71000</v>
      </c>
      <c r="J295" s="817">
        <f t="shared" si="38"/>
        <v>3905000</v>
      </c>
      <c r="K295" s="810"/>
      <c r="L295" s="811"/>
      <c r="M295" s="228"/>
      <c r="N295" s="195"/>
      <c r="O295" s="196"/>
      <c r="P295" s="635"/>
      <c r="Q295" s="39"/>
    </row>
    <row r="296" spans="1:17" ht="18.75">
      <c r="A296" s="59"/>
      <c r="B296" s="812"/>
      <c r="C296" s="804"/>
      <c r="D296" s="805"/>
      <c r="E296" s="805"/>
      <c r="F296" s="813" t="s">
        <v>444</v>
      </c>
      <c r="G296" s="806">
        <v>15</v>
      </c>
      <c r="H296" s="807" t="s">
        <v>29</v>
      </c>
      <c r="I296" s="816">
        <v>88500</v>
      </c>
      <c r="J296" s="817">
        <f t="shared" si="38"/>
        <v>1327500</v>
      </c>
      <c r="K296" s="810"/>
      <c r="L296" s="811"/>
      <c r="M296" s="228"/>
      <c r="N296" s="195"/>
      <c r="O296" s="196"/>
      <c r="P296" s="635"/>
      <c r="Q296" s="39"/>
    </row>
    <row r="297" spans="1:17" ht="18.75">
      <c r="A297" s="59"/>
      <c r="B297" s="812"/>
      <c r="C297" s="804"/>
      <c r="D297" s="805"/>
      <c r="E297" s="805"/>
      <c r="F297" s="813" t="s">
        <v>381</v>
      </c>
      <c r="G297" s="806">
        <v>1500</v>
      </c>
      <c r="H297" s="807" t="s">
        <v>461</v>
      </c>
      <c r="I297" s="816">
        <v>800</v>
      </c>
      <c r="J297" s="817">
        <f t="shared" si="38"/>
        <v>1200000</v>
      </c>
      <c r="K297" s="810"/>
      <c r="L297" s="811"/>
      <c r="M297" s="228"/>
      <c r="N297" s="195"/>
      <c r="O297" s="196"/>
      <c r="P297" s="635"/>
      <c r="Q297" s="39"/>
    </row>
    <row r="298" spans="1:17" ht="18.75">
      <c r="A298" s="59"/>
      <c r="B298" s="812"/>
      <c r="C298" s="804"/>
      <c r="D298" s="805"/>
      <c r="E298" s="805"/>
      <c r="F298" s="813" t="s">
        <v>445</v>
      </c>
      <c r="G298" s="806">
        <v>20</v>
      </c>
      <c r="H298" s="807" t="s">
        <v>17</v>
      </c>
      <c r="I298" s="816">
        <v>10000</v>
      </c>
      <c r="J298" s="817">
        <f t="shared" si="38"/>
        <v>200000</v>
      </c>
      <c r="K298" s="810"/>
      <c r="L298" s="811"/>
      <c r="M298" s="228"/>
      <c r="N298" s="195"/>
      <c r="O298" s="196"/>
      <c r="P298" s="635"/>
      <c r="Q298" s="39"/>
    </row>
    <row r="299" spans="1:17" ht="18.75">
      <c r="A299" s="59"/>
      <c r="B299" s="812"/>
      <c r="C299" s="804"/>
      <c r="D299" s="805"/>
      <c r="E299" s="805"/>
      <c r="F299" s="813" t="s">
        <v>446</v>
      </c>
      <c r="G299" s="806">
        <v>20</v>
      </c>
      <c r="H299" s="807" t="s">
        <v>17</v>
      </c>
      <c r="I299" s="816">
        <v>17000</v>
      </c>
      <c r="J299" s="817">
        <f t="shared" si="38"/>
        <v>340000</v>
      </c>
      <c r="K299" s="810"/>
      <c r="L299" s="811"/>
      <c r="M299" s="228"/>
      <c r="N299" s="195"/>
      <c r="O299" s="196"/>
      <c r="P299" s="635"/>
      <c r="Q299" s="39"/>
    </row>
    <row r="300" spans="1:17" ht="18.75">
      <c r="A300" s="59"/>
      <c r="B300" s="812"/>
      <c r="C300" s="804"/>
      <c r="D300" s="805"/>
      <c r="E300" s="805"/>
      <c r="F300" s="813" t="s">
        <v>447</v>
      </c>
      <c r="G300" s="806">
        <v>20</v>
      </c>
      <c r="H300" s="807" t="s">
        <v>17</v>
      </c>
      <c r="I300" s="816">
        <v>31000</v>
      </c>
      <c r="J300" s="817">
        <f t="shared" si="38"/>
        <v>620000</v>
      </c>
      <c r="K300" s="810"/>
      <c r="L300" s="811"/>
      <c r="M300" s="228"/>
      <c r="N300" s="195"/>
      <c r="O300" s="196"/>
      <c r="P300" s="635"/>
      <c r="Q300" s="39"/>
    </row>
    <row r="301" spans="1:17" ht="18.75">
      <c r="A301" s="59"/>
      <c r="B301" s="812"/>
      <c r="C301" s="804"/>
      <c r="D301" s="805"/>
      <c r="E301" s="805"/>
      <c r="F301" s="813" t="s">
        <v>448</v>
      </c>
      <c r="G301" s="806">
        <v>5000</v>
      </c>
      <c r="H301" s="807" t="s">
        <v>17</v>
      </c>
      <c r="I301" s="816">
        <v>4500</v>
      </c>
      <c r="J301" s="817">
        <f t="shared" si="38"/>
        <v>22500000</v>
      </c>
      <c r="K301" s="810"/>
      <c r="L301" s="811"/>
      <c r="M301" s="228"/>
      <c r="N301" s="195"/>
      <c r="O301" s="196"/>
      <c r="P301" s="635"/>
      <c r="Q301" s="39"/>
    </row>
    <row r="302" spans="1:17" ht="18.75">
      <c r="A302" s="59"/>
      <c r="B302" s="812"/>
      <c r="C302" s="804"/>
      <c r="D302" s="805"/>
      <c r="E302" s="805"/>
      <c r="F302" s="813" t="s">
        <v>449</v>
      </c>
      <c r="G302" s="806">
        <v>10</v>
      </c>
      <c r="H302" s="807" t="s">
        <v>424</v>
      </c>
      <c r="I302" s="816">
        <v>85000</v>
      </c>
      <c r="J302" s="817">
        <f t="shared" si="38"/>
        <v>850000</v>
      </c>
      <c r="K302" s="810"/>
      <c r="L302" s="811"/>
      <c r="M302" s="228"/>
      <c r="N302" s="195"/>
      <c r="O302" s="196"/>
      <c r="P302" s="635"/>
      <c r="Q302" s="39"/>
    </row>
    <row r="303" spans="1:17" ht="18.75">
      <c r="A303" s="59"/>
      <c r="B303" s="812"/>
      <c r="C303" s="804"/>
      <c r="D303" s="805"/>
      <c r="E303" s="805"/>
      <c r="F303" s="813" t="s">
        <v>450</v>
      </c>
      <c r="G303" s="806">
        <v>10</v>
      </c>
      <c r="H303" s="807" t="s">
        <v>424</v>
      </c>
      <c r="I303" s="816">
        <v>56000</v>
      </c>
      <c r="J303" s="817">
        <f t="shared" si="38"/>
        <v>560000</v>
      </c>
      <c r="K303" s="810"/>
      <c r="L303" s="811"/>
      <c r="M303" s="228"/>
      <c r="N303" s="195"/>
      <c r="O303" s="196"/>
      <c r="P303" s="635"/>
      <c r="Q303" s="39"/>
    </row>
    <row r="304" spans="1:17" ht="18.75">
      <c r="A304" s="59"/>
      <c r="B304" s="812"/>
      <c r="C304" s="804"/>
      <c r="D304" s="805"/>
      <c r="E304" s="805"/>
      <c r="F304" s="813" t="s">
        <v>451</v>
      </c>
      <c r="G304" s="806">
        <v>100</v>
      </c>
      <c r="H304" s="807" t="s">
        <v>462</v>
      </c>
      <c r="I304" s="816">
        <v>163500</v>
      </c>
      <c r="J304" s="817">
        <f t="shared" si="38"/>
        <v>16350000</v>
      </c>
      <c r="K304" s="810"/>
      <c r="L304" s="811"/>
      <c r="M304" s="228"/>
      <c r="N304" s="195"/>
      <c r="O304" s="196"/>
      <c r="P304" s="635"/>
      <c r="Q304" s="39"/>
    </row>
    <row r="305" spans="1:17" ht="18.75">
      <c r="A305" s="59"/>
      <c r="B305" s="812"/>
      <c r="C305" s="804"/>
      <c r="D305" s="805"/>
      <c r="E305" s="805"/>
      <c r="F305" s="813" t="s">
        <v>452</v>
      </c>
      <c r="G305" s="806">
        <v>2</v>
      </c>
      <c r="H305" s="807" t="s">
        <v>241</v>
      </c>
      <c r="I305" s="816">
        <v>325000</v>
      </c>
      <c r="J305" s="817">
        <f t="shared" si="38"/>
        <v>650000</v>
      </c>
      <c r="K305" s="810"/>
      <c r="L305" s="811"/>
      <c r="M305" s="228"/>
      <c r="N305" s="195"/>
      <c r="O305" s="196"/>
      <c r="P305" s="635"/>
      <c r="Q305" s="39"/>
    </row>
    <row r="306" spans="1:17" ht="18.75">
      <c r="A306" s="59"/>
      <c r="B306" s="221"/>
      <c r="C306" s="133"/>
      <c r="D306" s="133"/>
      <c r="E306" s="222"/>
      <c r="F306" s="813" t="s">
        <v>453</v>
      </c>
      <c r="G306" s="806">
        <v>3</v>
      </c>
      <c r="H306" s="807" t="s">
        <v>241</v>
      </c>
      <c r="I306" s="816">
        <v>325000</v>
      </c>
      <c r="J306" s="817">
        <f>G306*I306</f>
        <v>975000</v>
      </c>
      <c r="K306" s="133"/>
      <c r="L306" s="221"/>
      <c r="M306" s="228"/>
      <c r="N306" s="195"/>
      <c r="O306" s="196"/>
      <c r="P306" s="635"/>
      <c r="Q306" s="39"/>
    </row>
    <row r="307" spans="1:17" ht="18.75">
      <c r="A307" s="59"/>
      <c r="B307" s="221"/>
      <c r="C307" s="133"/>
      <c r="D307" s="133"/>
      <c r="E307" s="222"/>
      <c r="F307" s="813" t="s">
        <v>454</v>
      </c>
      <c r="G307" s="806">
        <v>10</v>
      </c>
      <c r="H307" s="807" t="s">
        <v>29</v>
      </c>
      <c r="I307" s="816">
        <v>45000</v>
      </c>
      <c r="J307" s="817">
        <f t="shared" ref="J307:J312" si="39">G307*I307</f>
        <v>450000</v>
      </c>
      <c r="K307" s="133"/>
      <c r="L307" s="221"/>
      <c r="M307" s="228"/>
      <c r="N307" s="195"/>
      <c r="O307" s="196"/>
      <c r="P307" s="635"/>
      <c r="Q307" s="39"/>
    </row>
    <row r="308" spans="1:17" ht="18.75">
      <c r="A308" s="59"/>
      <c r="B308" s="221"/>
      <c r="C308" s="133"/>
      <c r="D308" s="133"/>
      <c r="E308" s="222"/>
      <c r="F308" s="813" t="s">
        <v>455</v>
      </c>
      <c r="G308" s="806">
        <v>10</v>
      </c>
      <c r="H308" s="807" t="s">
        <v>29</v>
      </c>
      <c r="I308" s="816">
        <v>20000</v>
      </c>
      <c r="J308" s="817">
        <f t="shared" si="39"/>
        <v>200000</v>
      </c>
      <c r="K308" s="133"/>
      <c r="L308" s="221"/>
      <c r="M308" s="228"/>
      <c r="N308" s="195"/>
      <c r="O308" s="196"/>
      <c r="P308" s="635"/>
      <c r="Q308" s="39"/>
    </row>
    <row r="309" spans="1:17" ht="18.75">
      <c r="A309" s="59"/>
      <c r="B309" s="221"/>
      <c r="C309" s="133"/>
      <c r="D309" s="133"/>
      <c r="E309" s="222"/>
      <c r="F309" s="813" t="s">
        <v>456</v>
      </c>
      <c r="G309" s="806">
        <v>25</v>
      </c>
      <c r="H309" s="807" t="s">
        <v>463</v>
      </c>
      <c r="I309" s="816">
        <v>10000</v>
      </c>
      <c r="J309" s="817">
        <f t="shared" si="39"/>
        <v>250000</v>
      </c>
      <c r="K309" s="133"/>
      <c r="L309" s="221"/>
      <c r="M309" s="228"/>
      <c r="N309" s="195"/>
      <c r="O309" s="196"/>
      <c r="P309" s="635"/>
      <c r="Q309" s="39"/>
    </row>
    <row r="310" spans="1:17" ht="18.75">
      <c r="A310" s="59"/>
      <c r="B310" s="221"/>
      <c r="C310" s="133"/>
      <c r="D310" s="133"/>
      <c r="E310" s="222"/>
      <c r="F310" s="813" t="s">
        <v>457</v>
      </c>
      <c r="G310" s="806">
        <v>60</v>
      </c>
      <c r="H310" s="807" t="s">
        <v>17</v>
      </c>
      <c r="I310" s="816">
        <v>4500</v>
      </c>
      <c r="J310" s="817">
        <f t="shared" si="39"/>
        <v>270000</v>
      </c>
      <c r="K310" s="133"/>
      <c r="L310" s="221"/>
      <c r="M310" s="228"/>
      <c r="N310" s="195"/>
      <c r="O310" s="196"/>
      <c r="P310" s="635"/>
      <c r="Q310" s="39"/>
    </row>
    <row r="311" spans="1:17" ht="18.75">
      <c r="A311" s="59"/>
      <c r="B311" s="221"/>
      <c r="C311" s="133"/>
      <c r="D311" s="133"/>
      <c r="E311" s="222"/>
      <c r="F311" s="813" t="s">
        <v>458</v>
      </c>
      <c r="G311" s="806">
        <v>300</v>
      </c>
      <c r="H311" s="807" t="s">
        <v>30</v>
      </c>
      <c r="I311" s="816">
        <v>72000</v>
      </c>
      <c r="J311" s="817">
        <f t="shared" si="39"/>
        <v>21600000</v>
      </c>
      <c r="K311" s="133"/>
      <c r="L311" s="221"/>
      <c r="M311" s="228"/>
      <c r="N311" s="195"/>
      <c r="O311" s="196"/>
      <c r="P311" s="635"/>
      <c r="Q311" s="39"/>
    </row>
    <row r="312" spans="1:17" ht="18.75">
      <c r="A312" s="59"/>
      <c r="B312" s="221"/>
      <c r="C312" s="133"/>
      <c r="D312" s="133"/>
      <c r="E312" s="222"/>
      <c r="F312" s="813" t="s">
        <v>459</v>
      </c>
      <c r="G312" s="806">
        <v>10</v>
      </c>
      <c r="H312" s="807" t="s">
        <v>23</v>
      </c>
      <c r="I312" s="816">
        <v>27000</v>
      </c>
      <c r="J312" s="817">
        <f t="shared" si="39"/>
        <v>270000</v>
      </c>
      <c r="K312" s="133"/>
      <c r="L312" s="221"/>
      <c r="M312" s="228"/>
      <c r="N312" s="195"/>
      <c r="O312" s="196"/>
      <c r="P312" s="635"/>
      <c r="Q312" s="39"/>
    </row>
    <row r="313" spans="1:17" ht="18.75">
      <c r="A313" s="59"/>
      <c r="B313" s="221"/>
      <c r="C313" s="133"/>
      <c r="D313" s="133"/>
      <c r="E313" s="222"/>
      <c r="F313" s="697"/>
      <c r="G313" s="694"/>
      <c r="H313" s="216"/>
      <c r="I313" s="696"/>
      <c r="J313" s="224"/>
      <c r="K313" s="133"/>
      <c r="L313" s="221"/>
      <c r="M313" s="228"/>
      <c r="N313" s="195"/>
      <c r="O313" s="196">
        <f>SUM(J293:J312)</f>
        <v>99973500</v>
      </c>
      <c r="P313" s="635"/>
      <c r="Q313" s="39"/>
    </row>
    <row r="314" spans="1:17" ht="18.75">
      <c r="A314" s="59">
        <v>2</v>
      </c>
      <c r="B314" s="215">
        <v>45453</v>
      </c>
      <c r="C314" s="804" t="s">
        <v>376</v>
      </c>
      <c r="D314" s="805"/>
      <c r="E314" s="805"/>
      <c r="F314" s="813" t="s">
        <v>426</v>
      </c>
      <c r="G314" s="806">
        <v>230</v>
      </c>
      <c r="H314" s="807" t="s">
        <v>373</v>
      </c>
      <c r="I314" s="816">
        <v>5200</v>
      </c>
      <c r="J314" s="817">
        <f>G314*I314</f>
        <v>1196000</v>
      </c>
      <c r="K314" s="818" t="s">
        <v>421</v>
      </c>
      <c r="L314" s="811" t="s">
        <v>422</v>
      </c>
      <c r="M314" s="228"/>
      <c r="N314" s="195"/>
      <c r="O314" s="196"/>
      <c r="P314" s="635"/>
      <c r="Q314" s="39"/>
    </row>
    <row r="315" spans="1:17" ht="18.75">
      <c r="A315" s="59"/>
      <c r="B315" s="812"/>
      <c r="C315" s="804"/>
      <c r="D315" s="805"/>
      <c r="E315" s="805"/>
      <c r="F315" s="813" t="s">
        <v>427</v>
      </c>
      <c r="G315" s="806">
        <v>150</v>
      </c>
      <c r="H315" s="807" t="s">
        <v>373</v>
      </c>
      <c r="I315" s="816">
        <v>17000</v>
      </c>
      <c r="J315" s="817">
        <f t="shared" ref="J315:J326" si="40">G315*I315</f>
        <v>2550000</v>
      </c>
      <c r="K315" s="810"/>
      <c r="L315" s="811"/>
      <c r="M315" s="228"/>
      <c r="N315" s="195"/>
      <c r="O315" s="196"/>
      <c r="P315" s="635"/>
      <c r="Q315" s="39"/>
    </row>
    <row r="316" spans="1:17" ht="18.75">
      <c r="A316" s="59"/>
      <c r="B316" s="812"/>
      <c r="C316" s="804"/>
      <c r="D316" s="805"/>
      <c r="E316" s="805"/>
      <c r="F316" s="813" t="s">
        <v>428</v>
      </c>
      <c r="G316" s="806">
        <v>6</v>
      </c>
      <c r="H316" s="807" t="s">
        <v>21</v>
      </c>
      <c r="I316" s="816">
        <v>225000</v>
      </c>
      <c r="J316" s="817">
        <f t="shared" si="40"/>
        <v>1350000</v>
      </c>
      <c r="K316" s="810"/>
      <c r="L316" s="811"/>
      <c r="M316" s="228"/>
      <c r="N316" s="195"/>
      <c r="O316" s="196"/>
      <c r="P316" s="635"/>
      <c r="Q316" s="39"/>
    </row>
    <row r="317" spans="1:17" ht="21">
      <c r="A317" s="59"/>
      <c r="B317" s="812"/>
      <c r="C317" s="804"/>
      <c r="D317" s="805"/>
      <c r="E317" s="805"/>
      <c r="F317" s="813" t="s">
        <v>429</v>
      </c>
      <c r="G317" s="806">
        <v>30</v>
      </c>
      <c r="H317" s="807" t="s">
        <v>425</v>
      </c>
      <c r="I317" s="816">
        <v>62500</v>
      </c>
      <c r="J317" s="817">
        <f t="shared" si="40"/>
        <v>1875000</v>
      </c>
      <c r="K317" s="810"/>
      <c r="L317" s="811"/>
      <c r="M317" s="228"/>
      <c r="N317" s="195"/>
      <c r="O317" s="196"/>
      <c r="P317" s="635"/>
      <c r="Q317" s="39"/>
    </row>
    <row r="318" spans="1:17" ht="18.75">
      <c r="A318" s="59"/>
      <c r="B318" s="812"/>
      <c r="C318" s="804"/>
      <c r="D318" s="805"/>
      <c r="E318" s="805"/>
      <c r="F318" s="813" t="s">
        <v>430</v>
      </c>
      <c r="G318" s="806">
        <v>50</v>
      </c>
      <c r="H318" s="807" t="s">
        <v>423</v>
      </c>
      <c r="I318" s="816">
        <v>70875</v>
      </c>
      <c r="J318" s="817">
        <f t="shared" si="40"/>
        <v>3543750</v>
      </c>
      <c r="K318" s="810"/>
      <c r="L318" s="811"/>
      <c r="M318" s="228"/>
      <c r="N318" s="195"/>
      <c r="O318" s="196"/>
      <c r="P318" s="635"/>
      <c r="Q318" s="39"/>
    </row>
    <row r="319" spans="1:17" ht="18.75">
      <c r="A319" s="59"/>
      <c r="B319" s="812"/>
      <c r="C319" s="804"/>
      <c r="D319" s="805"/>
      <c r="E319" s="805"/>
      <c r="F319" s="813" t="s">
        <v>431</v>
      </c>
      <c r="G319" s="806">
        <v>500</v>
      </c>
      <c r="H319" s="807" t="s">
        <v>17</v>
      </c>
      <c r="I319" s="816">
        <v>850</v>
      </c>
      <c r="J319" s="817">
        <f t="shared" si="40"/>
        <v>425000</v>
      </c>
      <c r="K319" s="810"/>
      <c r="L319" s="811"/>
      <c r="M319" s="228"/>
      <c r="N319" s="195"/>
      <c r="O319" s="196"/>
      <c r="P319" s="137"/>
      <c r="Q319" s="39"/>
    </row>
    <row r="320" spans="1:17" ht="18.75">
      <c r="A320" s="59"/>
      <c r="B320" s="812"/>
      <c r="C320" s="804"/>
      <c r="D320" s="805"/>
      <c r="E320" s="805"/>
      <c r="F320" s="813" t="s">
        <v>432</v>
      </c>
      <c r="G320" s="806">
        <v>10</v>
      </c>
      <c r="H320" s="807" t="s">
        <v>424</v>
      </c>
      <c r="I320" s="816">
        <v>89859.38</v>
      </c>
      <c r="J320" s="817">
        <f t="shared" si="40"/>
        <v>898593.8</v>
      </c>
      <c r="K320" s="810"/>
      <c r="L320" s="811"/>
      <c r="M320" s="228"/>
      <c r="N320" s="195"/>
      <c r="O320" s="196"/>
      <c r="P320" s="137"/>
      <c r="Q320" s="39"/>
    </row>
    <row r="321" spans="1:17" ht="18.75">
      <c r="A321" s="59"/>
      <c r="B321" s="812"/>
      <c r="C321" s="804"/>
      <c r="D321" s="805"/>
      <c r="E321" s="805"/>
      <c r="F321" s="813" t="s">
        <v>433</v>
      </c>
      <c r="G321" s="806">
        <v>50</v>
      </c>
      <c r="H321" s="807" t="s">
        <v>29</v>
      </c>
      <c r="I321" s="816">
        <v>85000</v>
      </c>
      <c r="J321" s="817">
        <f t="shared" si="40"/>
        <v>4250000</v>
      </c>
      <c r="K321" s="810"/>
      <c r="L321" s="811"/>
      <c r="M321" s="228"/>
      <c r="N321" s="195"/>
      <c r="O321" s="196"/>
      <c r="P321" s="137"/>
      <c r="Q321" s="39"/>
    </row>
    <row r="322" spans="1:17" ht="18.75">
      <c r="A322" s="59"/>
      <c r="B322" s="812"/>
      <c r="C322" s="804"/>
      <c r="D322" s="805"/>
      <c r="E322" s="805"/>
      <c r="F322" s="813" t="s">
        <v>434</v>
      </c>
      <c r="G322" s="806">
        <v>10</v>
      </c>
      <c r="H322" s="807" t="s">
        <v>21</v>
      </c>
      <c r="I322" s="816">
        <v>62000</v>
      </c>
      <c r="J322" s="817">
        <f t="shared" si="40"/>
        <v>620000</v>
      </c>
      <c r="K322" s="810"/>
      <c r="L322" s="811"/>
      <c r="M322" s="228"/>
      <c r="N322" s="195"/>
      <c r="O322" s="196"/>
      <c r="P322" s="137"/>
      <c r="Q322" s="39"/>
    </row>
    <row r="323" spans="1:17" ht="18.75">
      <c r="A323" s="59"/>
      <c r="B323" s="812"/>
      <c r="C323" s="804"/>
      <c r="D323" s="805"/>
      <c r="E323" s="805"/>
      <c r="F323" s="813" t="s">
        <v>435</v>
      </c>
      <c r="G323" s="806">
        <v>15</v>
      </c>
      <c r="H323" s="807" t="s">
        <v>17</v>
      </c>
      <c r="I323" s="816">
        <v>5600</v>
      </c>
      <c r="J323" s="817">
        <f t="shared" si="40"/>
        <v>84000</v>
      </c>
      <c r="K323" s="810"/>
      <c r="L323" s="811"/>
      <c r="M323" s="228"/>
      <c r="N323" s="195"/>
      <c r="O323" s="196"/>
      <c r="P323" s="137"/>
      <c r="Q323" s="39"/>
    </row>
    <row r="324" spans="1:17" ht="21">
      <c r="A324" s="59"/>
      <c r="B324" s="812"/>
      <c r="C324" s="804"/>
      <c r="D324" s="805"/>
      <c r="E324" s="805"/>
      <c r="F324" s="813" t="s">
        <v>436</v>
      </c>
      <c r="G324" s="806">
        <v>80</v>
      </c>
      <c r="H324" s="807" t="s">
        <v>425</v>
      </c>
      <c r="I324" s="816">
        <v>73659.38</v>
      </c>
      <c r="J324" s="817">
        <f t="shared" si="40"/>
        <v>5892750.4000000004</v>
      </c>
      <c r="K324" s="810"/>
      <c r="L324" s="811"/>
      <c r="M324" s="228"/>
      <c r="N324" s="195"/>
      <c r="O324" s="196"/>
      <c r="P324" s="137"/>
      <c r="Q324" s="39"/>
    </row>
    <row r="325" spans="1:17" ht="21">
      <c r="A325" s="59"/>
      <c r="B325" s="812"/>
      <c r="C325" s="804"/>
      <c r="D325" s="805"/>
      <c r="E325" s="805"/>
      <c r="F325" s="813" t="s">
        <v>437</v>
      </c>
      <c r="G325" s="806">
        <v>50</v>
      </c>
      <c r="H325" s="807" t="s">
        <v>425</v>
      </c>
      <c r="I325" s="816">
        <v>58471.88</v>
      </c>
      <c r="J325" s="817">
        <f t="shared" si="40"/>
        <v>2923594</v>
      </c>
      <c r="K325" s="810"/>
      <c r="L325" s="811"/>
      <c r="M325" s="228"/>
      <c r="N325" s="195"/>
      <c r="O325" s="196"/>
      <c r="P325" s="137"/>
      <c r="Q325" s="39"/>
    </row>
    <row r="326" spans="1:17" ht="18.75">
      <c r="A326" s="59"/>
      <c r="B326" s="812"/>
      <c r="C326" s="804"/>
      <c r="D326" s="805"/>
      <c r="E326" s="805"/>
      <c r="F326" s="813" t="s">
        <v>438</v>
      </c>
      <c r="G326" s="806">
        <v>20</v>
      </c>
      <c r="H326" s="807" t="s">
        <v>424</v>
      </c>
      <c r="I326" s="816">
        <v>108464.06</v>
      </c>
      <c r="J326" s="817">
        <f t="shared" si="40"/>
        <v>2169281.2000000002</v>
      </c>
      <c r="K326" s="810"/>
      <c r="L326" s="811"/>
      <c r="M326" s="228"/>
      <c r="N326" s="195"/>
      <c r="O326" s="196">
        <f>SUM(J314:J326)</f>
        <v>27777969.400000002</v>
      </c>
      <c r="P326" s="569" t="s">
        <v>439</v>
      </c>
      <c r="Q326" s="39"/>
    </row>
    <row r="327" spans="1:17" ht="18.75">
      <c r="A327" s="59"/>
      <c r="B327" s="221"/>
      <c r="C327" s="131"/>
      <c r="D327" s="131"/>
      <c r="E327" s="222"/>
      <c r="F327" s="814"/>
      <c r="G327" s="561"/>
      <c r="H327" s="562"/>
      <c r="I327" s="815"/>
      <c r="J327" s="739"/>
      <c r="K327" s="131"/>
      <c r="L327" s="221"/>
      <c r="M327" s="228"/>
      <c r="N327" s="195"/>
      <c r="O327" s="196"/>
      <c r="P327" s="137"/>
      <c r="Q327" s="39"/>
    </row>
    <row r="328" spans="1:17" ht="15.75">
      <c r="A328" s="1146" t="s">
        <v>31</v>
      </c>
      <c r="B328" s="1147"/>
      <c r="C328" s="1147"/>
      <c r="D328" s="1147"/>
      <c r="E328" s="1147"/>
      <c r="F328" s="1147"/>
      <c r="G328" s="1147"/>
      <c r="H328" s="1147"/>
      <c r="I328" s="1147"/>
      <c r="J328" s="1147"/>
      <c r="K328" s="1147"/>
      <c r="L328" s="1147"/>
      <c r="M328" s="1148"/>
      <c r="N328" s="195"/>
      <c r="O328" s="196"/>
      <c r="P328" s="138"/>
      <c r="Q328" s="39"/>
    </row>
    <row r="329" spans="1:17" ht="15.75">
      <c r="A329" s="59"/>
      <c r="B329" s="177"/>
      <c r="C329" s="166"/>
      <c r="D329" s="133"/>
      <c r="E329" s="169"/>
      <c r="F329" s="166"/>
      <c r="G329" s="205"/>
      <c r="H329" s="166"/>
      <c r="I329" s="211"/>
      <c r="J329" s="175"/>
      <c r="K329" s="187"/>
      <c r="L329" s="177"/>
      <c r="M329" s="633"/>
      <c r="N329" s="195"/>
      <c r="O329" s="196"/>
      <c r="P329" s="138"/>
      <c r="Q329" s="39"/>
    </row>
    <row r="330" spans="1:17" ht="18.75">
      <c r="A330" s="59"/>
      <c r="B330" s="177"/>
      <c r="C330" s="166"/>
      <c r="D330" s="133"/>
      <c r="E330" s="169"/>
      <c r="F330" s="216"/>
      <c r="G330" s="441"/>
      <c r="H330" s="427"/>
      <c r="I330" s="442"/>
      <c r="J330" s="445"/>
      <c r="K330" s="187"/>
      <c r="L330" s="177"/>
      <c r="M330" s="633"/>
      <c r="N330" s="195"/>
      <c r="O330" s="196"/>
      <c r="P330" s="138"/>
      <c r="Q330" s="39"/>
    </row>
    <row r="331" spans="1:17" ht="18.75">
      <c r="A331" s="59"/>
      <c r="B331" s="177"/>
      <c r="C331" s="166"/>
      <c r="D331" s="133"/>
      <c r="E331" s="169"/>
      <c r="F331" s="216"/>
      <c r="G331" s="441"/>
      <c r="H331" s="427"/>
      <c r="I331" s="442"/>
      <c r="J331" s="445"/>
      <c r="K331" s="187"/>
      <c r="L331" s="177"/>
      <c r="M331" s="633"/>
      <c r="N331" s="195"/>
      <c r="O331" s="196"/>
      <c r="P331" s="138"/>
      <c r="Q331" s="39"/>
    </row>
    <row r="332" spans="1:17" ht="18.75">
      <c r="A332" s="59"/>
      <c r="B332" s="177"/>
      <c r="C332" s="166"/>
      <c r="D332" s="133"/>
      <c r="E332" s="169"/>
      <c r="F332" s="216"/>
      <c r="G332" s="441"/>
      <c r="H332" s="427"/>
      <c r="I332" s="442"/>
      <c r="J332" s="445"/>
      <c r="K332" s="187"/>
      <c r="L332" s="177"/>
      <c r="M332" s="633"/>
      <c r="N332" s="195"/>
      <c r="O332" s="196">
        <f>SUM(J330:J332)</f>
        <v>0</v>
      </c>
      <c r="P332" s="178" t="s">
        <v>372</v>
      </c>
      <c r="Q332" s="39"/>
    </row>
    <row r="333" spans="1:17" ht="18.75">
      <c r="A333" s="59"/>
      <c r="B333" s="177"/>
      <c r="C333" s="166"/>
      <c r="D333" s="133"/>
      <c r="E333" s="169"/>
      <c r="F333" s="216"/>
      <c r="G333" s="441"/>
      <c r="H333" s="427"/>
      <c r="I333" s="442"/>
      <c r="J333" s="445"/>
      <c r="K333" s="187"/>
      <c r="L333" s="177"/>
      <c r="M333" s="633"/>
      <c r="N333" s="195"/>
      <c r="O333" s="196"/>
      <c r="P333" s="138"/>
      <c r="Q333" s="39"/>
    </row>
    <row r="334" spans="1:17" ht="15.75">
      <c r="A334" s="230"/>
      <c r="B334" s="230"/>
      <c r="C334" s="230"/>
      <c r="D334" s="230"/>
      <c r="E334" s="230"/>
      <c r="F334" s="230"/>
      <c r="G334" s="230"/>
      <c r="H334" s="231"/>
      <c r="I334" s="230"/>
      <c r="J334" s="230"/>
      <c r="K334" s="230"/>
      <c r="L334" s="230"/>
      <c r="M334" s="230"/>
      <c r="N334" s="34"/>
      <c r="O334" s="234"/>
      <c r="P334" s="39"/>
    </row>
    <row r="335" spans="1:17" ht="15.75">
      <c r="A335" s="34"/>
      <c r="B335" s="34"/>
      <c r="C335" s="34"/>
      <c r="D335" s="34"/>
      <c r="E335" s="34"/>
      <c r="F335" s="34"/>
      <c r="G335" s="34"/>
      <c r="H335" s="35"/>
      <c r="I335" s="34"/>
      <c r="J335" s="34"/>
      <c r="K335" s="34"/>
      <c r="L335" s="34"/>
      <c r="M335" s="34"/>
      <c r="N335" s="34"/>
      <c r="O335" s="234"/>
      <c r="P335" s="39"/>
    </row>
    <row r="336" spans="1:17">
      <c r="A336" s="34"/>
      <c r="B336" s="34"/>
      <c r="C336" s="34"/>
      <c r="D336" s="34"/>
      <c r="E336" s="34"/>
      <c r="F336" s="34"/>
      <c r="G336" s="34"/>
      <c r="H336" s="35"/>
      <c r="I336" s="34"/>
      <c r="K336" s="36" t="s">
        <v>466</v>
      </c>
      <c r="L336" s="34"/>
      <c r="M336" s="34"/>
      <c r="N336" s="34"/>
      <c r="O336" s="235"/>
      <c r="P336" s="39"/>
    </row>
    <row r="337" spans="1:16">
      <c r="A337" s="34"/>
      <c r="B337" s="34"/>
      <c r="C337" s="34"/>
      <c r="D337" s="34"/>
      <c r="E337" s="34"/>
      <c r="F337" s="34"/>
      <c r="G337" s="34"/>
      <c r="H337" s="35"/>
      <c r="I337" s="34"/>
      <c r="K337" s="36"/>
      <c r="L337" s="34"/>
      <c r="M337" s="34"/>
      <c r="N337" s="34"/>
      <c r="O337" s="235"/>
      <c r="P337" s="39"/>
    </row>
    <row r="338" spans="1:16">
      <c r="A338" s="34"/>
      <c r="B338" s="34"/>
      <c r="C338" s="36" t="s">
        <v>32</v>
      </c>
      <c r="D338" s="34"/>
      <c r="E338" s="34"/>
      <c r="F338" s="34"/>
      <c r="G338" s="34"/>
      <c r="H338" s="35"/>
      <c r="I338" s="34"/>
      <c r="K338" s="36" t="s">
        <v>362</v>
      </c>
      <c r="L338" s="34"/>
      <c r="M338" s="34"/>
      <c r="N338" s="34"/>
      <c r="O338" s="235"/>
      <c r="P338" s="39"/>
    </row>
    <row r="339" spans="1:16">
      <c r="A339" s="34"/>
      <c r="B339" s="34"/>
      <c r="C339" s="36"/>
      <c r="D339" s="34"/>
      <c r="E339" s="34"/>
      <c r="F339" s="34"/>
      <c r="G339" s="34"/>
      <c r="H339" s="35"/>
      <c r="I339" s="34"/>
      <c r="K339" s="36"/>
      <c r="L339" s="34"/>
      <c r="M339" s="34"/>
      <c r="N339" s="34"/>
      <c r="O339" s="235"/>
      <c r="P339" s="39"/>
    </row>
    <row r="340" spans="1:16" ht="15" customHeight="1">
      <c r="A340" s="34"/>
      <c r="B340" s="34"/>
      <c r="C340" s="36"/>
      <c r="D340" s="34"/>
      <c r="E340" s="34"/>
      <c r="F340" s="34"/>
      <c r="G340" s="34"/>
      <c r="H340" s="35"/>
      <c r="I340" s="34"/>
      <c r="K340" s="36"/>
      <c r="L340" s="34"/>
      <c r="M340" s="34"/>
      <c r="N340" s="34"/>
      <c r="O340" s="235"/>
      <c r="P340" s="39"/>
    </row>
    <row r="341" spans="1:16">
      <c r="A341" s="34"/>
      <c r="B341" s="34"/>
      <c r="C341" s="36"/>
      <c r="D341" s="34"/>
      <c r="E341" s="34"/>
      <c r="F341" s="34"/>
      <c r="G341" s="34"/>
      <c r="H341" s="35"/>
      <c r="I341" s="34"/>
      <c r="K341" s="36"/>
      <c r="L341" s="34"/>
      <c r="M341" s="34"/>
      <c r="N341" s="34"/>
      <c r="O341" s="235"/>
      <c r="P341" s="39"/>
    </row>
    <row r="342" spans="1:16" ht="18.75">
      <c r="A342" s="34"/>
      <c r="B342" s="34"/>
      <c r="C342" s="455" t="s">
        <v>464</v>
      </c>
      <c r="D342" s="38"/>
      <c r="E342" s="232"/>
      <c r="F342" s="232"/>
      <c r="G342" s="232"/>
      <c r="H342" s="233"/>
      <c r="I342" s="232"/>
      <c r="K342" s="37" t="s">
        <v>360</v>
      </c>
      <c r="L342" s="38"/>
      <c r="M342" s="34"/>
      <c r="N342" s="34"/>
      <c r="O342" s="235"/>
    </row>
    <row r="343" spans="1:16" ht="15.75" customHeight="1">
      <c r="A343" s="92"/>
      <c r="B343" s="92"/>
      <c r="C343" s="454" t="s">
        <v>465</v>
      </c>
      <c r="D343" s="92"/>
      <c r="E343" s="92"/>
      <c r="F343" s="92"/>
      <c r="G343" s="92"/>
      <c r="H343" s="93"/>
      <c r="I343" s="92"/>
      <c r="K343" s="36" t="s">
        <v>361</v>
      </c>
      <c r="L343" s="92"/>
      <c r="M343" s="92"/>
      <c r="N343" s="92"/>
      <c r="O343" s="236"/>
    </row>
  </sheetData>
  <mergeCells count="23">
    <mergeCell ref="A2:M2"/>
    <mergeCell ref="K5:L5"/>
    <mergeCell ref="K6:L6"/>
    <mergeCell ref="G8:H8"/>
    <mergeCell ref="D5:E6"/>
    <mergeCell ref="J5:J7"/>
    <mergeCell ref="M5:M7"/>
    <mergeCell ref="F5:F7"/>
    <mergeCell ref="I5:I7"/>
    <mergeCell ref="G5:H7"/>
    <mergeCell ref="C5:C7"/>
    <mergeCell ref="A5:A7"/>
    <mergeCell ref="B5:B7"/>
    <mergeCell ref="A10:M10"/>
    <mergeCell ref="A328:M328"/>
    <mergeCell ref="A160:M160"/>
    <mergeCell ref="A139:M139"/>
    <mergeCell ref="A275:M275"/>
    <mergeCell ref="A289:M289"/>
    <mergeCell ref="A236:M236"/>
    <mergeCell ref="A180:M180"/>
    <mergeCell ref="A79:M79"/>
    <mergeCell ref="A99:M99"/>
  </mergeCells>
  <phoneticPr fontId="120" type="noConversion"/>
  <printOptions horizontalCentered="1"/>
  <pageMargins left="0.5" right="0.5" top="0.5" bottom="0.5" header="0.31496062992126" footer="0.31496062992126"/>
  <pageSetup paperSize="9" scale="38" orientation="landscape" horizontalDpi="300" verticalDpi="300" r:id="rId1"/>
  <headerFooter alignWithMargins="0"/>
  <rowBreaks count="2" manualBreakCount="2">
    <brk id="73" max="19" man="1"/>
    <brk id="158" max="16383" man="1"/>
  </rowBreaks>
  <colBreaks count="1" manualBreakCount="1">
    <brk id="1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AD451"/>
  <sheetViews>
    <sheetView view="pageBreakPreview" topLeftCell="A73" zoomScale="80" workbookViewId="0">
      <selection activeCell="H47" sqref="H47"/>
    </sheetView>
  </sheetViews>
  <sheetFormatPr defaultColWidth="9" defaultRowHeight="15"/>
  <cols>
    <col min="1" max="1" width="5.7109375" customWidth="1"/>
    <col min="2" max="2" width="15" customWidth="1"/>
    <col min="3" max="3" width="10.7109375" customWidth="1"/>
    <col min="4" max="4" width="43.140625" customWidth="1"/>
    <col min="5" max="5" width="11.5703125" customWidth="1"/>
    <col min="6" max="6" width="8" style="41" customWidth="1"/>
    <col min="7" max="8" width="15.7109375" customWidth="1"/>
    <col min="9" max="9" width="31" customWidth="1"/>
    <col min="10" max="10" width="15" customWidth="1"/>
    <col min="11" max="11" width="18.42578125" customWidth="1"/>
    <col min="12" max="12" width="7.28515625" customWidth="1"/>
    <col min="13" max="13" width="9" customWidth="1"/>
  </cols>
  <sheetData>
    <row r="1" spans="1:30" ht="15.75">
      <c r="A1" s="8"/>
      <c r="B1" s="103"/>
      <c r="C1" s="8"/>
      <c r="D1" s="8"/>
      <c r="E1" s="8"/>
      <c r="F1" s="43"/>
      <c r="G1" s="103"/>
      <c r="I1" s="8"/>
      <c r="J1" s="8"/>
      <c r="K1" s="120" t="s">
        <v>36</v>
      </c>
      <c r="L1" s="121"/>
      <c r="M1" s="121"/>
      <c r="N1" s="121"/>
      <c r="O1" s="121"/>
      <c r="P1" s="122"/>
      <c r="Q1" s="122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</row>
    <row r="2" spans="1:30" ht="15.75">
      <c r="A2" s="8"/>
      <c r="B2" s="103"/>
      <c r="C2" s="8"/>
      <c r="D2" s="8"/>
      <c r="E2" s="8"/>
      <c r="F2" s="43"/>
      <c r="G2" s="103"/>
      <c r="H2" s="103"/>
      <c r="I2" s="8"/>
      <c r="J2" s="8"/>
      <c r="K2" s="8"/>
      <c r="L2" s="121"/>
      <c r="M2" s="121"/>
      <c r="N2" s="121"/>
      <c r="O2" s="121"/>
      <c r="P2" s="122"/>
      <c r="Q2" s="122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</row>
    <row r="3" spans="1:30" ht="18.75">
      <c r="A3" s="1152" t="s">
        <v>37</v>
      </c>
      <c r="B3" s="1152"/>
      <c r="C3" s="1152"/>
      <c r="D3" s="1152"/>
      <c r="E3" s="1152"/>
      <c r="F3" s="1152"/>
      <c r="G3" s="1152"/>
      <c r="H3" s="1152"/>
      <c r="I3" s="1152"/>
      <c r="J3" s="1152"/>
      <c r="K3" s="1152"/>
      <c r="L3" s="123"/>
      <c r="M3" s="123"/>
      <c r="N3" s="124"/>
      <c r="O3" s="124"/>
      <c r="P3" s="124"/>
      <c r="Q3" s="141"/>
      <c r="R3" s="124"/>
      <c r="S3" s="124"/>
      <c r="T3" s="141"/>
      <c r="U3" s="124"/>
      <c r="V3" s="124"/>
      <c r="W3" s="141"/>
      <c r="X3" s="124"/>
      <c r="Y3" s="124"/>
      <c r="Z3" s="141"/>
      <c r="AA3" s="124"/>
      <c r="AB3" s="124"/>
      <c r="AC3" s="141"/>
      <c r="AD3" s="141"/>
    </row>
    <row r="4" spans="1:30" ht="16.5" customHeight="1">
      <c r="A4" s="8"/>
      <c r="B4" s="103"/>
      <c r="C4" s="103"/>
      <c r="D4" s="8"/>
      <c r="E4" s="8"/>
      <c r="F4" s="43"/>
      <c r="G4" s="103"/>
      <c r="H4" s="103"/>
      <c r="I4" s="103"/>
      <c r="J4" s="8"/>
      <c r="K4" s="125"/>
      <c r="L4" s="126"/>
      <c r="M4" s="121"/>
      <c r="N4" s="121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</row>
    <row r="5" spans="1:30" ht="15.75">
      <c r="A5" s="8"/>
      <c r="B5" s="103"/>
      <c r="C5" s="103"/>
      <c r="D5" s="8"/>
      <c r="E5" s="8"/>
      <c r="F5" s="43"/>
      <c r="G5" s="103"/>
      <c r="H5" s="103"/>
      <c r="I5" s="103"/>
      <c r="J5" s="8"/>
      <c r="K5" s="125"/>
      <c r="L5" s="126"/>
      <c r="M5" s="1143"/>
      <c r="N5" s="1143"/>
      <c r="O5" s="1144"/>
      <c r="P5" s="1144"/>
      <c r="Q5" s="1144"/>
      <c r="R5" s="1144"/>
      <c r="S5" s="1144"/>
      <c r="T5" s="1144"/>
      <c r="U5" s="1144"/>
      <c r="V5" s="1144"/>
      <c r="W5" s="1144"/>
      <c r="X5" s="1144"/>
      <c r="Y5" s="1144"/>
      <c r="Z5" s="1144"/>
      <c r="AA5" s="1144"/>
      <c r="AB5" s="1144"/>
      <c r="AC5" s="1144"/>
      <c r="AD5" s="1144"/>
    </row>
    <row r="6" spans="1:30" ht="15.75">
      <c r="A6" s="1153" t="s">
        <v>38</v>
      </c>
      <c r="B6" s="1153" t="s">
        <v>3</v>
      </c>
      <c r="C6" s="1155" t="s">
        <v>39</v>
      </c>
      <c r="D6" s="1153" t="s">
        <v>40</v>
      </c>
      <c r="E6" s="1157" t="s">
        <v>7</v>
      </c>
      <c r="F6" s="1157"/>
      <c r="G6" s="1155" t="s">
        <v>41</v>
      </c>
      <c r="H6" s="1155" t="s">
        <v>42</v>
      </c>
      <c r="I6" s="1153" t="s">
        <v>43</v>
      </c>
      <c r="J6" s="1155" t="s">
        <v>44</v>
      </c>
      <c r="K6" s="1155" t="s">
        <v>45</v>
      </c>
      <c r="L6" s="1144"/>
      <c r="M6" s="1144"/>
      <c r="N6" s="1144"/>
      <c r="O6" s="1144"/>
      <c r="P6" s="1144"/>
      <c r="Q6" s="1144"/>
      <c r="R6" s="1144"/>
      <c r="S6" s="1144"/>
      <c r="T6" s="1144"/>
      <c r="U6" s="1144"/>
      <c r="V6" s="1144"/>
      <c r="W6" s="1144"/>
      <c r="X6" s="1144"/>
      <c r="Y6" s="1144"/>
      <c r="Z6" s="1144"/>
      <c r="AA6" s="1144"/>
      <c r="AB6" s="1144"/>
      <c r="AC6" s="1144"/>
      <c r="AD6" s="1144"/>
    </row>
    <row r="7" spans="1:30" ht="15.75">
      <c r="A7" s="1154"/>
      <c r="B7" s="1154"/>
      <c r="C7" s="1156"/>
      <c r="D7" s="1154"/>
      <c r="E7" s="1157"/>
      <c r="F7" s="1157"/>
      <c r="G7" s="1156"/>
      <c r="H7" s="1156"/>
      <c r="I7" s="1154"/>
      <c r="J7" s="1156"/>
      <c r="K7" s="1156"/>
      <c r="L7" s="1144"/>
      <c r="M7" s="1144"/>
      <c r="N7" s="1144"/>
      <c r="O7" s="1144"/>
      <c r="P7" s="1144"/>
      <c r="Q7" s="1144"/>
      <c r="R7" s="1144"/>
      <c r="S7" s="1144"/>
      <c r="T7" s="1144"/>
      <c r="U7" s="1144"/>
      <c r="V7" s="1144"/>
      <c r="W7" s="1144"/>
      <c r="X7" s="1144"/>
      <c r="Y7" s="1144"/>
      <c r="Z7" s="1144"/>
      <c r="AA7" s="1144"/>
      <c r="AB7" s="1144"/>
      <c r="AC7" s="1144"/>
      <c r="AD7" s="1144"/>
    </row>
    <row r="8" spans="1:30" ht="15.75">
      <c r="A8" s="104">
        <v>1</v>
      </c>
      <c r="B8" s="104">
        <v>2</v>
      </c>
      <c r="C8" s="104">
        <v>3</v>
      </c>
      <c r="D8" s="104">
        <v>4</v>
      </c>
      <c r="E8" s="1158">
        <v>5</v>
      </c>
      <c r="F8" s="1158"/>
      <c r="G8" s="104">
        <v>6</v>
      </c>
      <c r="H8" s="104">
        <v>7</v>
      </c>
      <c r="I8" s="104">
        <v>8</v>
      </c>
      <c r="J8" s="104">
        <v>9</v>
      </c>
      <c r="K8" s="128">
        <v>10</v>
      </c>
      <c r="L8" s="1144"/>
      <c r="M8" s="1144"/>
      <c r="N8" s="1144"/>
      <c r="O8" s="1144"/>
      <c r="P8" s="1144"/>
      <c r="Q8" s="1144"/>
      <c r="R8" s="1144"/>
      <c r="S8" s="1144"/>
      <c r="T8" s="1144"/>
      <c r="U8" s="1144"/>
      <c r="V8" s="1144"/>
      <c r="W8" s="1144"/>
      <c r="X8" s="1144"/>
      <c r="Y8" s="1144"/>
      <c r="Z8" s="1144"/>
      <c r="AA8" s="1144"/>
      <c r="AB8" s="1144"/>
      <c r="AC8" s="1144"/>
      <c r="AD8" s="1144"/>
    </row>
    <row r="9" spans="1:30" ht="6.95" customHeight="1">
      <c r="A9" s="49"/>
      <c r="B9" s="105"/>
      <c r="C9" s="106"/>
      <c r="D9" s="71"/>
      <c r="E9" s="107"/>
      <c r="F9" s="52"/>
      <c r="G9" s="108"/>
      <c r="H9" s="109"/>
      <c r="I9" s="23"/>
      <c r="J9" s="70"/>
      <c r="K9" s="129"/>
      <c r="L9" s="1144"/>
      <c r="M9" s="1144"/>
      <c r="N9" s="1144"/>
      <c r="O9" s="1144"/>
      <c r="P9" s="1144"/>
      <c r="Q9" s="1144"/>
      <c r="R9" s="1144"/>
      <c r="S9" s="1144"/>
      <c r="T9" s="1144"/>
      <c r="U9" s="1144"/>
      <c r="V9" s="1144"/>
      <c r="W9" s="1144"/>
      <c r="X9" s="1144"/>
      <c r="Y9" s="1144"/>
      <c r="Z9" s="1144"/>
      <c r="AA9" s="1144"/>
      <c r="AB9" s="1144"/>
      <c r="AC9" s="1144"/>
      <c r="AD9" s="1144"/>
    </row>
    <row r="10" spans="1:30" ht="15.75" customHeight="1">
      <c r="A10" s="1146" t="str">
        <f>'LAMP.8 (II)'!A10:M10</f>
        <v>1. Alat Tulis Kantor</v>
      </c>
      <c r="B10" s="1147"/>
      <c r="C10" s="1147"/>
      <c r="D10" s="1147"/>
      <c r="E10" s="1147"/>
      <c r="F10" s="1147"/>
      <c r="G10" s="1147"/>
      <c r="H10" s="1147"/>
      <c r="I10" s="1147"/>
      <c r="J10" s="1147"/>
      <c r="K10" s="1148"/>
      <c r="L10" s="130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</row>
    <row r="11" spans="1:30" ht="15.75" customHeight="1">
      <c r="A11" s="53"/>
      <c r="B11" s="110"/>
      <c r="C11" s="111"/>
      <c r="D11" s="74"/>
      <c r="E11" s="112"/>
      <c r="F11" s="113"/>
      <c r="G11" s="114"/>
      <c r="H11" s="114"/>
      <c r="I11" s="131"/>
      <c r="J11" s="76"/>
      <c r="K11" s="132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</row>
    <row r="12" spans="1:30" ht="15.75" customHeight="1">
      <c r="A12" s="59"/>
      <c r="B12" s="115"/>
      <c r="C12" s="116"/>
      <c r="D12" s="27"/>
      <c r="E12" s="117"/>
      <c r="F12" s="118"/>
      <c r="G12" s="119"/>
      <c r="H12" s="119"/>
      <c r="I12" s="133"/>
      <c r="J12" s="80"/>
      <c r="K12" s="134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</row>
    <row r="13" spans="1:30" ht="15.75" customHeight="1">
      <c r="A13" s="59"/>
      <c r="B13" s="115"/>
      <c r="C13" s="116"/>
      <c r="D13" s="27"/>
      <c r="E13" s="117"/>
      <c r="F13" s="118"/>
      <c r="G13" s="119"/>
      <c r="H13" s="119"/>
      <c r="I13" s="133"/>
      <c r="J13" s="80"/>
      <c r="K13" s="134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</row>
    <row r="14" spans="1:30" ht="15.75" customHeight="1">
      <c r="A14" s="59"/>
      <c r="B14" s="115"/>
      <c r="C14" s="116"/>
      <c r="D14" s="27"/>
      <c r="E14" s="117"/>
      <c r="F14" s="118"/>
      <c r="G14" s="119"/>
      <c r="H14" s="119"/>
      <c r="I14" s="133"/>
      <c r="J14" s="80"/>
      <c r="K14" s="134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</row>
    <row r="15" spans="1:30" ht="15.75" customHeight="1">
      <c r="A15" s="59"/>
      <c r="B15" s="115"/>
      <c r="C15" s="116"/>
      <c r="D15" s="27"/>
      <c r="E15" s="117"/>
      <c r="F15" s="118"/>
      <c r="G15" s="119"/>
      <c r="H15" s="119"/>
      <c r="I15" s="133"/>
      <c r="J15" s="80"/>
      <c r="K15" s="134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</row>
    <row r="16" spans="1:30" ht="15.75" customHeight="1">
      <c r="A16" s="59"/>
      <c r="B16" s="115"/>
      <c r="C16" s="116"/>
      <c r="D16" s="27"/>
      <c r="E16" s="117"/>
      <c r="F16" s="118"/>
      <c r="G16" s="119"/>
      <c r="H16" s="119"/>
      <c r="I16" s="133"/>
      <c r="J16" s="80"/>
      <c r="K16" s="134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</row>
    <row r="17" spans="1:30" ht="15.75" customHeight="1">
      <c r="A17" s="59"/>
      <c r="B17" s="115"/>
      <c r="C17" s="116"/>
      <c r="D17" s="27"/>
      <c r="E17" s="117"/>
      <c r="F17" s="118"/>
      <c r="G17" s="119"/>
      <c r="H17" s="119"/>
      <c r="I17" s="133"/>
      <c r="J17" s="80"/>
      <c r="K17" s="134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</row>
    <row r="18" spans="1:30" ht="15.75" customHeight="1">
      <c r="A18" s="59"/>
      <c r="B18" s="115"/>
      <c r="C18" s="116"/>
      <c r="D18" s="27"/>
      <c r="E18" s="117"/>
      <c r="F18" s="118"/>
      <c r="G18" s="119"/>
      <c r="H18" s="119"/>
      <c r="I18" s="133"/>
      <c r="J18" s="80"/>
      <c r="K18" s="134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</row>
    <row r="19" spans="1:30" ht="15.75" customHeight="1">
      <c r="A19" s="59"/>
      <c r="B19" s="115"/>
      <c r="C19" s="116"/>
      <c r="D19" s="27"/>
      <c r="E19" s="117"/>
      <c r="F19" s="118"/>
      <c r="G19" s="119"/>
      <c r="H19" s="119"/>
      <c r="I19" s="133"/>
      <c r="J19" s="80"/>
      <c r="K19" s="134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</row>
    <row r="20" spans="1:30" ht="15.75" customHeight="1">
      <c r="A20" s="59"/>
      <c r="B20" s="115"/>
      <c r="C20" s="116"/>
      <c r="D20" s="27"/>
      <c r="E20" s="117"/>
      <c r="F20" s="118"/>
      <c r="G20" s="119"/>
      <c r="H20" s="119"/>
      <c r="I20" s="133"/>
      <c r="J20" s="80"/>
      <c r="K20" s="134"/>
      <c r="L20" s="135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</row>
    <row r="21" spans="1:30" ht="15.75" customHeight="1">
      <c r="A21" s="59"/>
      <c r="B21" s="115"/>
      <c r="C21" s="116"/>
      <c r="D21" s="27"/>
      <c r="E21" s="117"/>
      <c r="F21" s="118"/>
      <c r="G21" s="119"/>
      <c r="H21" s="119"/>
      <c r="I21" s="133"/>
      <c r="J21" s="80"/>
      <c r="K21" s="134"/>
      <c r="L21" s="136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</row>
    <row r="22" spans="1:30" ht="15.75" customHeight="1">
      <c r="A22" s="59"/>
      <c r="B22" s="115"/>
      <c r="C22" s="116"/>
      <c r="D22" s="27"/>
      <c r="E22" s="117"/>
      <c r="F22" s="118"/>
      <c r="G22" s="119"/>
      <c r="H22" s="119"/>
      <c r="I22" s="27"/>
      <c r="J22" s="80"/>
      <c r="K22" s="134"/>
      <c r="L22" s="136"/>
      <c r="M22" s="135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</row>
    <row r="23" spans="1:30" ht="15.75" customHeight="1">
      <c r="A23" s="59"/>
      <c r="B23" s="115"/>
      <c r="C23" s="116"/>
      <c r="D23" s="27"/>
      <c r="E23" s="117"/>
      <c r="F23" s="118"/>
      <c r="G23" s="119"/>
      <c r="H23" s="119"/>
      <c r="I23" s="133"/>
      <c r="J23" s="80"/>
      <c r="K23" s="134"/>
      <c r="L23" s="136"/>
      <c r="M23" s="136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</row>
    <row r="24" spans="1:30" ht="15.75" customHeight="1">
      <c r="A24" s="59"/>
      <c r="B24" s="115"/>
      <c r="C24" s="116"/>
      <c r="D24" s="27"/>
      <c r="E24" s="117"/>
      <c r="F24" s="118"/>
      <c r="G24" s="119"/>
      <c r="H24" s="119"/>
      <c r="I24" s="133"/>
      <c r="J24" s="80"/>
      <c r="K24" s="134"/>
      <c r="L24" s="136"/>
      <c r="M24" s="13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</row>
    <row r="25" spans="1:30" ht="15.75" customHeight="1">
      <c r="A25" s="59"/>
      <c r="B25" s="115"/>
      <c r="C25" s="116"/>
      <c r="D25" s="27"/>
      <c r="E25" s="117"/>
      <c r="F25" s="118"/>
      <c r="G25" s="119"/>
      <c r="H25" s="119"/>
      <c r="I25" s="133"/>
      <c r="J25" s="80"/>
      <c r="K25" s="134"/>
      <c r="L25" s="136"/>
      <c r="M25" s="138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</row>
    <row r="26" spans="1:30" ht="15.75" customHeight="1">
      <c r="A26" s="59"/>
      <c r="B26" s="115"/>
      <c r="C26" s="116"/>
      <c r="D26" s="27"/>
      <c r="E26" s="117"/>
      <c r="F26" s="118"/>
      <c r="G26" s="119"/>
      <c r="H26" s="119"/>
      <c r="I26" s="133"/>
      <c r="J26" s="80"/>
      <c r="K26" s="134"/>
      <c r="L26" s="136"/>
      <c r="M26" s="136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</row>
    <row r="27" spans="1:30" ht="15.75" customHeight="1">
      <c r="A27" s="59"/>
      <c r="B27" s="115"/>
      <c r="C27" s="116"/>
      <c r="D27" s="27"/>
      <c r="E27" s="117"/>
      <c r="F27" s="118"/>
      <c r="G27" s="119"/>
      <c r="H27" s="119"/>
      <c r="I27" s="133"/>
      <c r="J27" s="80"/>
      <c r="K27" s="134"/>
      <c r="L27" s="136"/>
      <c r="M27" s="136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</row>
    <row r="28" spans="1:30" ht="15.75" customHeight="1">
      <c r="A28" s="59"/>
      <c r="B28" s="115"/>
      <c r="C28" s="116"/>
      <c r="D28" s="27"/>
      <c r="E28" s="117"/>
      <c r="F28" s="118"/>
      <c r="G28" s="119"/>
      <c r="H28" s="119"/>
      <c r="I28" s="133"/>
      <c r="J28" s="80"/>
      <c r="K28" s="134"/>
      <c r="L28" s="136"/>
      <c r="M28" s="136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</row>
    <row r="29" spans="1:30" ht="15.75" customHeight="1">
      <c r="A29" s="59"/>
      <c r="B29" s="115"/>
      <c r="C29" s="116"/>
      <c r="D29" s="27"/>
      <c r="E29" s="117"/>
      <c r="F29" s="118"/>
      <c r="G29" s="119"/>
      <c r="H29" s="119"/>
      <c r="I29" s="133"/>
      <c r="J29" s="80"/>
      <c r="K29" s="134"/>
      <c r="L29" s="136"/>
      <c r="M29" s="136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</row>
    <row r="30" spans="1:30" ht="15.75" customHeight="1">
      <c r="A30" s="59"/>
      <c r="B30" s="115"/>
      <c r="C30" s="116"/>
      <c r="D30" s="27"/>
      <c r="E30" s="117"/>
      <c r="F30" s="118"/>
      <c r="G30" s="119"/>
      <c r="H30" s="119"/>
      <c r="I30" s="133"/>
      <c r="J30" s="80"/>
      <c r="K30" s="134"/>
      <c r="L30" s="136"/>
      <c r="M30" s="136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</row>
    <row r="31" spans="1:30" ht="15.75" customHeight="1">
      <c r="A31" s="59"/>
      <c r="B31" s="115"/>
      <c r="C31" s="116"/>
      <c r="D31" s="27"/>
      <c r="E31" s="117"/>
      <c r="F31" s="118"/>
      <c r="G31" s="119"/>
      <c r="H31" s="119"/>
      <c r="I31" s="133"/>
      <c r="J31" s="80"/>
      <c r="K31" s="134"/>
      <c r="L31" s="136"/>
      <c r="M31" s="136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</row>
    <row r="32" spans="1:30" ht="15.75" customHeight="1">
      <c r="A32" s="59"/>
      <c r="B32" s="115"/>
      <c r="C32" s="116"/>
      <c r="D32" s="27"/>
      <c r="E32" s="117"/>
      <c r="F32" s="118"/>
      <c r="G32" s="119"/>
      <c r="H32" s="119"/>
      <c r="I32" s="133"/>
      <c r="J32" s="80"/>
      <c r="K32" s="134"/>
      <c r="L32" s="136"/>
      <c r="M32" s="136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</row>
    <row r="33" spans="1:30" ht="15.75" customHeight="1">
      <c r="A33" s="59"/>
      <c r="B33" s="115"/>
      <c r="C33" s="116"/>
      <c r="D33" s="27"/>
      <c r="E33" s="117"/>
      <c r="F33" s="118"/>
      <c r="G33" s="119"/>
      <c r="H33" s="119"/>
      <c r="I33" s="133"/>
      <c r="J33" s="80"/>
      <c r="K33" s="134"/>
      <c r="L33" s="136"/>
      <c r="M33" s="13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</row>
    <row r="34" spans="1:30" ht="15.75" customHeight="1">
      <c r="A34" s="59"/>
      <c r="B34" s="115"/>
      <c r="C34" s="116"/>
      <c r="D34" s="27"/>
      <c r="E34" s="117"/>
      <c r="F34" s="118"/>
      <c r="G34" s="119"/>
      <c r="H34" s="119"/>
      <c r="I34" s="133"/>
      <c r="J34" s="80"/>
      <c r="K34" s="134"/>
      <c r="L34" s="136"/>
      <c r="M34" s="138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</row>
    <row r="35" spans="1:30" ht="15.75" customHeight="1">
      <c r="A35" s="59"/>
      <c r="B35" s="115"/>
      <c r="C35" s="116"/>
      <c r="D35" s="27"/>
      <c r="E35" s="117"/>
      <c r="F35" s="118"/>
      <c r="G35" s="119"/>
      <c r="H35" s="119"/>
      <c r="I35" s="133"/>
      <c r="J35" s="80"/>
      <c r="K35" s="134"/>
      <c r="L35" s="136"/>
      <c r="M35" s="13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</row>
    <row r="36" spans="1:30" ht="15.75" customHeight="1">
      <c r="A36" s="59"/>
      <c r="B36" s="115"/>
      <c r="C36" s="116"/>
      <c r="D36" s="27"/>
      <c r="E36" s="117"/>
      <c r="F36" s="118"/>
      <c r="G36" s="119"/>
      <c r="H36" s="119"/>
      <c r="I36" s="133"/>
      <c r="J36" s="80"/>
      <c r="K36" s="134"/>
      <c r="L36" s="136"/>
      <c r="M36" s="13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</row>
    <row r="37" spans="1:30" ht="15.75" customHeight="1">
      <c r="A37" s="59"/>
      <c r="B37" s="115"/>
      <c r="C37" s="116"/>
      <c r="D37" s="27"/>
      <c r="E37" s="117"/>
      <c r="F37" s="118"/>
      <c r="G37" s="119"/>
      <c r="H37" s="119"/>
      <c r="I37" s="133"/>
      <c r="J37" s="80"/>
      <c r="K37" s="134"/>
      <c r="L37" s="136"/>
      <c r="M37" s="13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</row>
    <row r="38" spans="1:30" ht="15.75" customHeight="1">
      <c r="A38" s="59"/>
      <c r="B38" s="115"/>
      <c r="C38" s="116"/>
      <c r="D38" s="27"/>
      <c r="E38" s="117"/>
      <c r="F38" s="118"/>
      <c r="G38" s="119"/>
      <c r="H38" s="119"/>
      <c r="I38" s="133"/>
      <c r="J38" s="80"/>
      <c r="K38" s="134"/>
      <c r="L38" s="136"/>
      <c r="M38" s="13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</row>
    <row r="39" spans="1:30" ht="15.75" customHeight="1">
      <c r="A39" s="59"/>
      <c r="B39" s="115"/>
      <c r="C39" s="116"/>
      <c r="D39" s="27"/>
      <c r="E39" s="117"/>
      <c r="F39" s="118"/>
      <c r="G39" s="119"/>
      <c r="H39" s="119"/>
      <c r="I39" s="133"/>
      <c r="J39" s="80"/>
      <c r="K39" s="134"/>
      <c r="L39" s="136"/>
      <c r="M39" s="13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</row>
    <row r="40" spans="1:30" ht="15.75" customHeight="1">
      <c r="A40" s="59"/>
      <c r="B40" s="115"/>
      <c r="C40" s="116"/>
      <c r="D40" s="27"/>
      <c r="E40" s="117"/>
      <c r="F40" s="118"/>
      <c r="G40" s="119"/>
      <c r="H40" s="119"/>
      <c r="I40" s="133"/>
      <c r="J40" s="80"/>
      <c r="K40" s="134"/>
      <c r="L40" s="139"/>
      <c r="M40" s="13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</row>
    <row r="41" spans="1:30" ht="15.75" customHeight="1">
      <c r="A41" s="59"/>
      <c r="B41" s="115"/>
      <c r="C41" s="116"/>
      <c r="D41" s="27"/>
      <c r="E41" s="117"/>
      <c r="F41" s="118"/>
      <c r="G41" s="119"/>
      <c r="H41" s="119"/>
      <c r="I41" s="133"/>
      <c r="J41" s="80"/>
      <c r="K41" s="134"/>
      <c r="L41" s="136"/>
      <c r="M41" s="13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</row>
    <row r="42" spans="1:30" ht="15.75" customHeight="1">
      <c r="A42" s="59"/>
      <c r="B42" s="115"/>
      <c r="C42" s="116"/>
      <c r="D42" s="27"/>
      <c r="E42" s="117"/>
      <c r="F42" s="118"/>
      <c r="G42" s="119"/>
      <c r="H42" s="119"/>
      <c r="I42" s="133"/>
      <c r="J42" s="80"/>
      <c r="K42" s="134"/>
      <c r="L42" s="136"/>
      <c r="M42" s="13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</row>
    <row r="43" spans="1:30" ht="15.75" customHeight="1">
      <c r="A43" s="59"/>
      <c r="B43" s="115"/>
      <c r="C43" s="116"/>
      <c r="D43" s="27"/>
      <c r="E43" s="117"/>
      <c r="F43" s="118"/>
      <c r="G43" s="119"/>
      <c r="H43" s="119"/>
      <c r="I43" s="133"/>
      <c r="J43" s="80"/>
      <c r="K43" s="134"/>
      <c r="L43" s="136"/>
      <c r="M43" s="13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</row>
    <row r="44" spans="1:30" ht="15.75" customHeight="1">
      <c r="A44" s="59"/>
      <c r="B44" s="115"/>
      <c r="C44" s="116"/>
      <c r="D44" s="27"/>
      <c r="E44" s="117"/>
      <c r="F44" s="118"/>
      <c r="G44" s="119"/>
      <c r="H44" s="119"/>
      <c r="I44" s="133"/>
      <c r="J44" s="80"/>
      <c r="K44" s="134"/>
      <c r="L44" s="136"/>
      <c r="M44" s="13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</row>
    <row r="45" spans="1:30" ht="15.75" customHeight="1">
      <c r="A45" s="59"/>
      <c r="B45" s="115"/>
      <c r="C45" s="116"/>
      <c r="D45" s="27"/>
      <c r="E45" s="117"/>
      <c r="F45" s="118"/>
      <c r="G45" s="119"/>
      <c r="H45" s="119"/>
      <c r="I45" s="133"/>
      <c r="J45" s="80"/>
      <c r="K45" s="134"/>
      <c r="L45" s="136"/>
      <c r="M45" s="13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</row>
    <row r="46" spans="1:30" ht="15.75" customHeight="1">
      <c r="A46" s="59"/>
      <c r="B46" s="115"/>
      <c r="C46" s="116"/>
      <c r="D46" s="27"/>
      <c r="E46" s="117"/>
      <c r="F46" s="118"/>
      <c r="G46" s="119"/>
      <c r="H46" s="119"/>
      <c r="I46" s="133"/>
      <c r="J46" s="80"/>
      <c r="K46" s="134"/>
      <c r="L46" s="136"/>
      <c r="M46" s="135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</row>
    <row r="47" spans="1:30" ht="15.75" customHeight="1">
      <c r="A47" s="59"/>
      <c r="B47" s="115"/>
      <c r="C47" s="116"/>
      <c r="D47" s="27"/>
      <c r="E47" s="117"/>
      <c r="F47" s="118"/>
      <c r="G47" s="119"/>
      <c r="H47" s="119"/>
      <c r="I47" s="133"/>
      <c r="J47" s="80"/>
      <c r="K47" s="134"/>
      <c r="L47" s="136"/>
      <c r="M47" s="136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</row>
    <row r="48" spans="1:30" ht="15.75" customHeight="1">
      <c r="A48" s="59"/>
      <c r="B48" s="115"/>
      <c r="C48" s="116"/>
      <c r="D48" s="27"/>
      <c r="E48" s="117"/>
      <c r="F48" s="118"/>
      <c r="G48" s="119"/>
      <c r="H48" s="119"/>
      <c r="I48" s="133"/>
      <c r="J48" s="80"/>
      <c r="K48" s="134"/>
      <c r="L48" s="139"/>
      <c r="M48" s="136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</row>
    <row r="49" spans="1:30" ht="15.75" customHeight="1">
      <c r="A49" s="59"/>
      <c r="B49" s="115"/>
      <c r="C49" s="116"/>
      <c r="D49" s="27"/>
      <c r="E49" s="117"/>
      <c r="F49" s="118"/>
      <c r="G49" s="119"/>
      <c r="H49" s="119"/>
      <c r="I49" s="133"/>
      <c r="J49" s="80"/>
      <c r="K49" s="134"/>
      <c r="L49" s="136"/>
      <c r="M49" s="136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</row>
    <row r="50" spans="1:30" ht="15.75" customHeight="1">
      <c r="A50" s="59"/>
      <c r="B50" s="115"/>
      <c r="C50" s="116"/>
      <c r="D50" s="27"/>
      <c r="E50" s="117"/>
      <c r="F50" s="118"/>
      <c r="G50" s="119"/>
      <c r="H50" s="119"/>
      <c r="I50" s="133"/>
      <c r="J50" s="80"/>
      <c r="K50" s="134"/>
      <c r="L50" s="136"/>
      <c r="M50" s="136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</row>
    <row r="51" spans="1:30" ht="15.75" customHeight="1">
      <c r="A51" s="59"/>
      <c r="B51" s="115"/>
      <c r="C51" s="116"/>
      <c r="D51" s="27"/>
      <c r="E51" s="117"/>
      <c r="F51" s="118"/>
      <c r="G51" s="119"/>
      <c r="H51" s="119"/>
      <c r="I51" s="133"/>
      <c r="J51" s="80"/>
      <c r="K51" s="134"/>
      <c r="L51" s="136"/>
      <c r="M51" s="136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</row>
    <row r="52" spans="1:30" ht="15.75" customHeight="1">
      <c r="A52" s="59"/>
      <c r="B52" s="115"/>
      <c r="C52" s="116"/>
      <c r="D52" s="27"/>
      <c r="E52" s="117"/>
      <c r="F52" s="118"/>
      <c r="G52" s="119"/>
      <c r="H52" s="119"/>
      <c r="I52" s="133"/>
      <c r="J52" s="80"/>
      <c r="K52" s="134"/>
      <c r="L52" s="136"/>
      <c r="M52" s="136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</row>
    <row r="53" spans="1:30" ht="15.75" customHeight="1">
      <c r="A53" s="59"/>
      <c r="B53" s="115"/>
      <c r="C53" s="116"/>
      <c r="D53" s="27"/>
      <c r="E53" s="117"/>
      <c r="F53" s="118"/>
      <c r="G53" s="119"/>
      <c r="H53" s="119"/>
      <c r="I53" s="133"/>
      <c r="J53" s="80"/>
      <c r="K53" s="134"/>
      <c r="L53" s="136"/>
      <c r="M53" s="140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</row>
    <row r="54" spans="1:30" ht="15.75" customHeight="1">
      <c r="A54" s="59"/>
      <c r="B54" s="115"/>
      <c r="C54" s="116"/>
      <c r="D54" s="27"/>
      <c r="E54" s="117"/>
      <c r="F54" s="118"/>
      <c r="G54" s="119"/>
      <c r="H54" s="119"/>
      <c r="I54" s="133"/>
      <c r="J54" s="80"/>
      <c r="K54" s="134"/>
      <c r="L54" s="136"/>
      <c r="M54" s="136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</row>
    <row r="55" spans="1:30" ht="15.75" customHeight="1">
      <c r="A55" s="59"/>
      <c r="B55" s="115"/>
      <c r="C55" s="116"/>
      <c r="D55" s="27"/>
      <c r="E55" s="117"/>
      <c r="F55" s="118"/>
      <c r="G55" s="119"/>
      <c r="H55" s="119"/>
      <c r="I55" s="133"/>
      <c r="J55" s="80"/>
      <c r="K55" s="134"/>
      <c r="L55" s="136"/>
      <c r="M55" s="139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</row>
    <row r="56" spans="1:30" ht="15.75" customHeight="1">
      <c r="A56" s="59"/>
      <c r="B56" s="115"/>
      <c r="C56" s="116"/>
      <c r="D56" s="27"/>
      <c r="E56" s="117"/>
      <c r="F56" s="118"/>
      <c r="G56" s="119"/>
      <c r="H56" s="119"/>
      <c r="I56" s="133"/>
      <c r="J56" s="80"/>
      <c r="K56" s="134"/>
      <c r="L56" s="136"/>
      <c r="M56" s="139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</row>
    <row r="57" spans="1:30" ht="15.75" customHeight="1">
      <c r="A57" s="59"/>
      <c r="B57" s="115"/>
      <c r="C57" s="116"/>
      <c r="D57" s="27"/>
      <c r="E57" s="117"/>
      <c r="F57" s="118"/>
      <c r="G57" s="119"/>
      <c r="H57" s="119"/>
      <c r="I57" s="133"/>
      <c r="J57" s="80"/>
      <c r="K57" s="134"/>
      <c r="L57" s="136"/>
      <c r="M57" s="139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</row>
    <row r="58" spans="1:30" ht="15.75" customHeight="1">
      <c r="A58" s="59"/>
      <c r="B58" s="115"/>
      <c r="C58" s="116"/>
      <c r="D58" s="27"/>
      <c r="E58" s="117"/>
      <c r="F58" s="118"/>
      <c r="G58" s="119"/>
      <c r="H58" s="119"/>
      <c r="I58" s="133"/>
      <c r="J58" s="80"/>
      <c r="K58" s="134"/>
      <c r="L58" s="136"/>
      <c r="M58" s="136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</row>
    <row r="59" spans="1:30" ht="15.75" customHeight="1">
      <c r="A59" s="59"/>
      <c r="B59" s="115"/>
      <c r="C59" s="116"/>
      <c r="D59" s="27"/>
      <c r="E59" s="117"/>
      <c r="F59" s="118"/>
      <c r="G59" s="119"/>
      <c r="H59" s="119"/>
      <c r="I59" s="133"/>
      <c r="J59" s="80"/>
      <c r="K59" s="134"/>
      <c r="L59" s="136"/>
      <c r="M59" s="136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</row>
    <row r="60" spans="1:30" ht="15.75" customHeight="1">
      <c r="A60" s="59"/>
      <c r="B60" s="115"/>
      <c r="C60" s="116"/>
      <c r="D60" s="27"/>
      <c r="E60" s="117"/>
      <c r="F60" s="118"/>
      <c r="G60" s="119"/>
      <c r="H60" s="119"/>
      <c r="I60" s="133"/>
      <c r="J60" s="80"/>
      <c r="K60" s="134"/>
      <c r="L60" s="136"/>
      <c r="M60" s="136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</row>
    <row r="61" spans="1:30" ht="15.75" customHeight="1">
      <c r="A61" s="59"/>
      <c r="B61" s="115"/>
      <c r="C61" s="116"/>
      <c r="D61" s="27"/>
      <c r="E61" s="117"/>
      <c r="F61" s="118"/>
      <c r="G61" s="119"/>
      <c r="H61" s="119"/>
      <c r="I61" s="133"/>
      <c r="J61" s="80"/>
      <c r="K61" s="134"/>
      <c r="L61" s="136"/>
      <c r="M61" s="136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</row>
    <row r="62" spans="1:30" ht="15.75" customHeight="1">
      <c r="A62" s="59"/>
      <c r="B62" s="115"/>
      <c r="C62" s="116"/>
      <c r="D62" s="27"/>
      <c r="E62" s="117"/>
      <c r="F62" s="118"/>
      <c r="G62" s="119"/>
      <c r="H62" s="119"/>
      <c r="I62" s="133"/>
      <c r="J62" s="80"/>
      <c r="K62" s="134"/>
      <c r="L62" s="136"/>
      <c r="M62" s="136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</row>
    <row r="63" spans="1:30" ht="15.75" customHeight="1">
      <c r="A63" s="59"/>
      <c r="B63" s="115"/>
      <c r="C63" s="116"/>
      <c r="D63" s="27"/>
      <c r="E63" s="117"/>
      <c r="F63" s="118"/>
      <c r="G63" s="119"/>
      <c r="H63" s="119"/>
      <c r="I63" s="133"/>
      <c r="J63" s="80"/>
      <c r="K63" s="134"/>
      <c r="L63" s="139"/>
      <c r="M63" s="136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</row>
    <row r="64" spans="1:30" ht="15.75" customHeight="1">
      <c r="A64" s="59"/>
      <c r="B64" s="115"/>
      <c r="C64" s="116"/>
      <c r="D64" s="27"/>
      <c r="E64" s="117"/>
      <c r="F64" s="118"/>
      <c r="G64" s="119"/>
      <c r="H64" s="119"/>
      <c r="I64" s="133"/>
      <c r="J64" s="80"/>
      <c r="K64" s="134"/>
      <c r="L64" s="139"/>
      <c r="M64" s="136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</row>
    <row r="65" spans="1:30" ht="15.75" customHeight="1">
      <c r="A65" s="59"/>
      <c r="B65" s="115"/>
      <c r="C65" s="116"/>
      <c r="D65" s="27"/>
      <c r="E65" s="117"/>
      <c r="F65" s="118"/>
      <c r="G65" s="119"/>
      <c r="H65" s="119"/>
      <c r="I65" s="133"/>
      <c r="J65" s="80"/>
      <c r="K65" s="134"/>
      <c r="L65" s="136"/>
      <c r="M65" s="136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</row>
    <row r="66" spans="1:30" ht="15.75" customHeight="1">
      <c r="A66" s="59"/>
      <c r="B66" s="115"/>
      <c r="C66" s="116"/>
      <c r="D66" s="27"/>
      <c r="E66" s="117"/>
      <c r="F66" s="118"/>
      <c r="G66" s="119"/>
      <c r="H66" s="119"/>
      <c r="I66" s="133"/>
      <c r="J66" s="80"/>
      <c r="K66" s="134"/>
      <c r="L66" s="136"/>
      <c r="M66" s="136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</row>
    <row r="67" spans="1:30" ht="15.75" customHeight="1">
      <c r="A67" s="59"/>
      <c r="B67" s="115"/>
      <c r="C67" s="116"/>
      <c r="D67" s="27"/>
      <c r="E67" s="117"/>
      <c r="F67" s="118"/>
      <c r="G67" s="119"/>
      <c r="H67" s="119"/>
      <c r="I67" s="133"/>
      <c r="J67" s="80"/>
      <c r="K67" s="134"/>
      <c r="L67" s="136"/>
      <c r="M67" s="136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</row>
    <row r="68" spans="1:30" ht="15.75" customHeight="1">
      <c r="A68" s="59"/>
      <c r="B68" s="115"/>
      <c r="C68" s="116"/>
      <c r="D68" s="27"/>
      <c r="E68" s="117"/>
      <c r="F68" s="118"/>
      <c r="G68" s="119"/>
      <c r="H68" s="119"/>
      <c r="I68" s="133"/>
      <c r="J68" s="80"/>
      <c r="K68" s="134"/>
      <c r="L68" s="136"/>
      <c r="M68" s="136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</row>
    <row r="69" spans="1:30" ht="15.75" customHeight="1">
      <c r="A69" s="59"/>
      <c r="B69" s="115"/>
      <c r="C69" s="116"/>
      <c r="D69" s="27"/>
      <c r="E69" s="117"/>
      <c r="F69" s="118"/>
      <c r="G69" s="119"/>
      <c r="H69" s="119"/>
      <c r="I69" s="133"/>
      <c r="J69" s="80"/>
      <c r="K69" s="134"/>
      <c r="L69" s="136"/>
      <c r="M69" s="136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</row>
    <row r="70" spans="1:30" ht="15.75" customHeight="1">
      <c r="A70" s="59"/>
      <c r="B70" s="115"/>
      <c r="C70" s="116"/>
      <c r="D70" s="27"/>
      <c r="E70" s="117"/>
      <c r="F70" s="118"/>
      <c r="G70" s="119"/>
      <c r="H70" s="119"/>
      <c r="I70" s="133"/>
      <c r="J70" s="80"/>
      <c r="K70" s="134"/>
      <c r="L70" s="136"/>
      <c r="M70" s="136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</row>
    <row r="71" spans="1:30" ht="15.75" customHeight="1">
      <c r="A71" s="59"/>
      <c r="B71" s="115"/>
      <c r="C71" s="116"/>
      <c r="D71" s="27"/>
      <c r="E71" s="117"/>
      <c r="F71" s="118"/>
      <c r="G71" s="119"/>
      <c r="H71" s="119"/>
      <c r="I71" s="133"/>
      <c r="J71" s="80"/>
      <c r="K71" s="134"/>
      <c r="L71" s="136"/>
      <c r="M71" s="140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</row>
    <row r="72" spans="1:30" ht="15.75" customHeight="1">
      <c r="A72" s="59"/>
      <c r="B72" s="115"/>
      <c r="C72" s="116"/>
      <c r="D72" s="27"/>
      <c r="E72" s="117"/>
      <c r="F72" s="118"/>
      <c r="G72" s="119"/>
      <c r="H72" s="119"/>
      <c r="I72" s="133"/>
      <c r="J72" s="80"/>
      <c r="K72" s="134"/>
      <c r="L72" s="136"/>
      <c r="M72" s="136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</row>
    <row r="73" spans="1:30" ht="15.75" customHeight="1">
      <c r="A73" s="59"/>
      <c r="B73" s="115"/>
      <c r="C73" s="116"/>
      <c r="D73" s="27"/>
      <c r="E73" s="117"/>
      <c r="F73" s="118"/>
      <c r="G73" s="119"/>
      <c r="H73" s="119"/>
      <c r="I73" s="133"/>
      <c r="J73" s="80"/>
      <c r="K73" s="134"/>
      <c r="L73" s="136"/>
      <c r="M73" s="136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</row>
    <row r="74" spans="1:30" ht="15.75" customHeight="1">
      <c r="A74" s="59"/>
      <c r="B74" s="115"/>
      <c r="C74" s="116"/>
      <c r="D74" s="27"/>
      <c r="E74" s="117"/>
      <c r="F74" s="118"/>
      <c r="G74" s="119"/>
      <c r="H74" s="119"/>
      <c r="I74" s="133"/>
      <c r="J74" s="80"/>
      <c r="K74" s="134"/>
      <c r="L74" s="136"/>
      <c r="M74" s="136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</row>
    <row r="75" spans="1:30" ht="15.75" customHeight="1">
      <c r="A75" s="59"/>
      <c r="B75" s="115"/>
      <c r="C75" s="116"/>
      <c r="D75" s="27"/>
      <c r="E75" s="117"/>
      <c r="F75" s="118"/>
      <c r="G75" s="119"/>
      <c r="H75" s="119"/>
      <c r="I75" s="133"/>
      <c r="J75" s="80"/>
      <c r="K75" s="134"/>
      <c r="L75" s="136"/>
      <c r="M75" s="136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</row>
    <row r="76" spans="1:30" ht="15.75" customHeight="1">
      <c r="A76" s="59"/>
      <c r="B76" s="115"/>
      <c r="C76" s="116"/>
      <c r="D76" s="27"/>
      <c r="E76" s="117"/>
      <c r="F76" s="118"/>
      <c r="G76" s="119"/>
      <c r="H76" s="119"/>
      <c r="I76" s="133"/>
      <c r="J76" s="80"/>
      <c r="K76" s="134"/>
      <c r="L76" s="142"/>
      <c r="M76" s="136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</row>
    <row r="77" spans="1:30" ht="15.75" customHeight="1">
      <c r="A77" s="59"/>
      <c r="B77" s="115"/>
      <c r="C77" s="116"/>
      <c r="D77" s="27"/>
      <c r="E77" s="117"/>
      <c r="F77" s="118"/>
      <c r="G77" s="119"/>
      <c r="H77" s="119"/>
      <c r="I77" s="133"/>
      <c r="J77" s="80"/>
      <c r="K77" s="134"/>
      <c r="L77" s="136"/>
      <c r="M77" s="136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</row>
    <row r="78" spans="1:30" ht="15.75" customHeight="1">
      <c r="A78" s="59"/>
      <c r="B78" s="115"/>
      <c r="C78" s="116"/>
      <c r="D78" s="27"/>
      <c r="E78" s="117"/>
      <c r="F78" s="118"/>
      <c r="G78" s="119"/>
      <c r="H78" s="119"/>
      <c r="I78" s="133"/>
      <c r="J78" s="80"/>
      <c r="K78" s="134"/>
      <c r="L78" s="136"/>
      <c r="M78" s="136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</row>
    <row r="79" spans="1:30" ht="15.75" customHeight="1">
      <c r="A79" s="59"/>
      <c r="B79" s="115"/>
      <c r="C79" s="116"/>
      <c r="D79" s="27"/>
      <c r="E79" s="117"/>
      <c r="F79" s="118"/>
      <c r="G79" s="119"/>
      <c r="H79" s="119"/>
      <c r="I79" s="133"/>
      <c r="J79" s="80"/>
      <c r="K79" s="134"/>
      <c r="L79" s="136"/>
      <c r="M79" s="136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</row>
    <row r="80" spans="1:30" ht="15.75" customHeight="1">
      <c r="A80" s="59"/>
      <c r="B80" s="115"/>
      <c r="C80" s="116"/>
      <c r="D80" s="27"/>
      <c r="E80" s="117"/>
      <c r="F80" s="118"/>
      <c r="G80" s="119"/>
      <c r="H80" s="119"/>
      <c r="I80" s="133"/>
      <c r="J80" s="80"/>
      <c r="K80" s="134"/>
      <c r="L80" s="136"/>
      <c r="M80" s="136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</row>
    <row r="81" spans="1:30" ht="15.75" customHeight="1">
      <c r="A81" s="59"/>
      <c r="B81" s="115"/>
      <c r="C81" s="116"/>
      <c r="D81" s="27"/>
      <c r="E81" s="117"/>
      <c r="F81" s="118"/>
      <c r="G81" s="119"/>
      <c r="H81" s="119"/>
      <c r="I81" s="133"/>
      <c r="J81" s="80"/>
      <c r="K81" s="134"/>
      <c r="L81" s="136"/>
      <c r="M81" s="136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</row>
    <row r="82" spans="1:30" ht="15.75" customHeight="1">
      <c r="A82" s="59"/>
      <c r="B82" s="115"/>
      <c r="C82" s="116"/>
      <c r="D82" s="27"/>
      <c r="E82" s="117"/>
      <c r="F82" s="118"/>
      <c r="G82" s="119"/>
      <c r="H82" s="119"/>
      <c r="I82" s="133"/>
      <c r="J82" s="80"/>
      <c r="K82" s="134"/>
      <c r="L82" s="136"/>
      <c r="M82" s="13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</row>
    <row r="83" spans="1:30" ht="15.75" customHeight="1">
      <c r="A83" s="59"/>
      <c r="B83" s="115"/>
      <c r="C83" s="116"/>
      <c r="D83" s="27"/>
      <c r="E83" s="117"/>
      <c r="F83" s="118"/>
      <c r="G83" s="119"/>
      <c r="H83" s="119"/>
      <c r="I83" s="133"/>
      <c r="J83" s="80"/>
      <c r="K83" s="134"/>
      <c r="L83" s="136"/>
      <c r="M83" s="136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</row>
    <row r="84" spans="1:30" ht="15.75" customHeight="1">
      <c r="A84" s="59"/>
      <c r="B84" s="115"/>
      <c r="C84" s="116"/>
      <c r="D84" s="27"/>
      <c r="E84" s="117"/>
      <c r="F84" s="118"/>
      <c r="G84" s="119"/>
      <c r="H84" s="119"/>
      <c r="I84" s="133"/>
      <c r="J84" s="80"/>
      <c r="K84" s="134"/>
      <c r="L84" s="136"/>
      <c r="M84" s="136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</row>
    <row r="85" spans="1:30" ht="15.75" customHeight="1">
      <c r="A85" s="59"/>
      <c r="B85" s="115"/>
      <c r="C85" s="116"/>
      <c r="D85" s="27"/>
      <c r="E85" s="117"/>
      <c r="F85" s="118"/>
      <c r="G85" s="119"/>
      <c r="H85" s="119"/>
      <c r="I85" s="133"/>
      <c r="J85" s="80"/>
      <c r="K85" s="134"/>
      <c r="L85" s="136"/>
      <c r="M85" s="136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</row>
    <row r="86" spans="1:30" ht="15.75" customHeight="1">
      <c r="A86" s="59"/>
      <c r="B86" s="115"/>
      <c r="C86" s="116"/>
      <c r="D86" s="27"/>
      <c r="E86" s="117"/>
      <c r="F86" s="118"/>
      <c r="G86" s="119"/>
      <c r="H86" s="119"/>
      <c r="I86" s="133"/>
      <c r="J86" s="80"/>
      <c r="K86" s="134"/>
      <c r="L86" s="40"/>
      <c r="M86" s="13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</row>
    <row r="87" spans="1:30" ht="15.75" customHeight="1">
      <c r="A87" s="59"/>
      <c r="B87" s="115"/>
      <c r="C87" s="116"/>
      <c r="D87" s="27"/>
      <c r="E87" s="117"/>
      <c r="F87" s="118"/>
      <c r="G87" s="119"/>
      <c r="H87" s="119"/>
      <c r="I87" s="133"/>
      <c r="J87" s="80"/>
      <c r="K87" s="134"/>
      <c r="L87" s="136"/>
      <c r="M87" s="13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</row>
    <row r="88" spans="1:30" ht="15.75" customHeight="1">
      <c r="A88" s="59"/>
      <c r="B88" s="115"/>
      <c r="C88" s="116"/>
      <c r="D88" s="27"/>
      <c r="E88" s="117"/>
      <c r="F88" s="118"/>
      <c r="G88" s="119"/>
      <c r="H88" s="119"/>
      <c r="I88" s="133"/>
      <c r="J88" s="80"/>
      <c r="K88" s="134"/>
      <c r="L88" s="138"/>
      <c r="M88" s="136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</row>
    <row r="89" spans="1:30" ht="15.75" customHeight="1">
      <c r="A89" s="59"/>
      <c r="B89" s="115"/>
      <c r="C89" s="116"/>
      <c r="D89" s="27"/>
      <c r="E89" s="117"/>
      <c r="F89" s="118"/>
      <c r="G89" s="119"/>
      <c r="H89" s="119"/>
      <c r="I89" s="133"/>
      <c r="J89" s="80"/>
      <c r="K89" s="134"/>
      <c r="L89" s="138"/>
      <c r="M89" s="136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</row>
    <row r="90" spans="1:30" ht="15.75" customHeight="1">
      <c r="A90" s="59"/>
      <c r="B90" s="115"/>
      <c r="C90" s="116"/>
      <c r="D90" s="27"/>
      <c r="E90" s="117"/>
      <c r="F90" s="118"/>
      <c r="G90" s="119"/>
      <c r="H90" s="119"/>
      <c r="I90" s="133"/>
      <c r="J90" s="80"/>
      <c r="K90" s="134"/>
      <c r="L90" s="138"/>
      <c r="M90" s="136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</row>
    <row r="91" spans="1:30" ht="15.75" customHeight="1">
      <c r="A91" s="59"/>
      <c r="B91" s="115"/>
      <c r="C91" s="116"/>
      <c r="D91" s="27"/>
      <c r="E91" s="117"/>
      <c r="F91" s="118"/>
      <c r="G91" s="119"/>
      <c r="H91" s="119"/>
      <c r="I91" s="133"/>
      <c r="J91" s="80"/>
      <c r="K91" s="134"/>
      <c r="L91" s="138"/>
      <c r="M91" s="136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</row>
    <row r="92" spans="1:30" ht="15.75" customHeight="1">
      <c r="A92" s="59"/>
      <c r="B92" s="115"/>
      <c r="C92" s="116"/>
      <c r="D92" s="27"/>
      <c r="E92" s="117"/>
      <c r="F92" s="118"/>
      <c r="G92" s="119"/>
      <c r="H92" s="119"/>
      <c r="I92" s="133"/>
      <c r="J92" s="80"/>
      <c r="K92" s="134"/>
      <c r="L92" s="138"/>
      <c r="M92" s="136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</row>
    <row r="93" spans="1:30" ht="15.75" customHeight="1">
      <c r="A93" s="59"/>
      <c r="B93" s="115"/>
      <c r="C93" s="116"/>
      <c r="D93" s="27"/>
      <c r="E93" s="117"/>
      <c r="F93" s="118"/>
      <c r="G93" s="119"/>
      <c r="H93" s="119"/>
      <c r="I93" s="133"/>
      <c r="J93" s="80"/>
      <c r="K93" s="134"/>
      <c r="L93" s="138"/>
      <c r="M93" s="136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</row>
    <row r="94" spans="1:30" ht="15.75" customHeight="1">
      <c r="A94" s="59"/>
      <c r="B94" s="115"/>
      <c r="C94" s="116"/>
      <c r="D94" s="27"/>
      <c r="E94" s="117"/>
      <c r="F94" s="118"/>
      <c r="G94" s="119"/>
      <c r="H94" s="119"/>
      <c r="I94" s="133"/>
      <c r="J94" s="80"/>
      <c r="K94" s="134"/>
      <c r="L94" s="138"/>
      <c r="M94" s="140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</row>
    <row r="95" spans="1:30" ht="15.75" customHeight="1">
      <c r="A95" s="59"/>
      <c r="B95" s="115"/>
      <c r="C95" s="116"/>
      <c r="D95" s="27"/>
      <c r="E95" s="117"/>
      <c r="F95" s="118"/>
      <c r="G95" s="119"/>
      <c r="H95" s="119"/>
      <c r="I95" s="133"/>
      <c r="J95" s="80"/>
      <c r="K95" s="134"/>
      <c r="L95" s="138"/>
      <c r="M95" s="140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</row>
    <row r="96" spans="1:30" ht="15.75" customHeight="1">
      <c r="A96" s="59"/>
      <c r="B96" s="115"/>
      <c r="C96" s="116"/>
      <c r="D96" s="27"/>
      <c r="E96" s="117"/>
      <c r="F96" s="118"/>
      <c r="G96" s="119"/>
      <c r="H96" s="119"/>
      <c r="I96" s="133"/>
      <c r="J96" s="80"/>
      <c r="K96" s="134"/>
      <c r="L96" s="138"/>
      <c r="M96" s="140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</row>
    <row r="97" spans="1:30" ht="15.75" customHeight="1">
      <c r="A97" s="59"/>
      <c r="B97" s="115"/>
      <c r="C97" s="116"/>
      <c r="D97" s="27"/>
      <c r="E97" s="117"/>
      <c r="F97" s="118"/>
      <c r="G97" s="119"/>
      <c r="H97" s="119"/>
      <c r="I97" s="133"/>
      <c r="J97" s="80"/>
      <c r="K97" s="134"/>
      <c r="L97" s="138"/>
      <c r="M97" s="140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</row>
    <row r="98" spans="1:30" ht="15.75" customHeight="1">
      <c r="A98" s="59"/>
      <c r="B98" s="115"/>
      <c r="C98" s="116"/>
      <c r="D98" s="27"/>
      <c r="E98" s="117"/>
      <c r="F98" s="118"/>
      <c r="G98" s="119"/>
      <c r="H98" s="119"/>
      <c r="I98" s="133"/>
      <c r="J98" s="80"/>
      <c r="K98" s="134"/>
      <c r="L98" s="138"/>
      <c r="M98" s="135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</row>
    <row r="99" spans="1:30" ht="15.75" customHeight="1">
      <c r="A99" s="59"/>
      <c r="B99" s="115"/>
      <c r="C99" s="116"/>
      <c r="D99" s="27"/>
      <c r="E99" s="117"/>
      <c r="F99" s="118"/>
      <c r="G99" s="119"/>
      <c r="H99" s="119"/>
      <c r="I99" s="133"/>
      <c r="J99" s="80"/>
      <c r="K99" s="134"/>
      <c r="L99" s="138"/>
      <c r="M99" s="140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</row>
    <row r="100" spans="1:30" ht="15.75" customHeight="1">
      <c r="A100" s="59"/>
      <c r="B100" s="115"/>
      <c r="C100" s="116"/>
      <c r="D100" s="27"/>
      <c r="E100" s="117"/>
      <c r="F100" s="118"/>
      <c r="G100" s="119"/>
      <c r="H100" s="119"/>
      <c r="I100" s="133"/>
      <c r="J100" s="80"/>
      <c r="K100" s="134"/>
      <c r="L100" s="138"/>
      <c r="M100" s="140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</row>
    <row r="101" spans="1:30" ht="15.75" customHeight="1">
      <c r="A101" s="59"/>
      <c r="B101" s="115"/>
      <c r="C101" s="116"/>
      <c r="D101" s="27"/>
      <c r="E101" s="117"/>
      <c r="F101" s="118"/>
      <c r="G101" s="119"/>
      <c r="H101" s="119"/>
      <c r="I101" s="133"/>
      <c r="J101" s="80"/>
      <c r="K101" s="134"/>
      <c r="L101" s="138"/>
      <c r="M101" s="140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</row>
    <row r="102" spans="1:30" ht="15.75" customHeight="1">
      <c r="A102" s="59"/>
      <c r="B102" s="115"/>
      <c r="C102" s="116"/>
      <c r="D102" s="27"/>
      <c r="E102" s="117"/>
      <c r="F102" s="118"/>
      <c r="G102" s="119"/>
      <c r="H102" s="119"/>
      <c r="I102" s="133"/>
      <c r="J102" s="80"/>
      <c r="K102" s="134"/>
      <c r="L102" s="138"/>
      <c r="M102" s="140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</row>
    <row r="103" spans="1:30" ht="15.75" customHeight="1">
      <c r="A103" s="59"/>
      <c r="B103" s="115"/>
      <c r="C103" s="116"/>
      <c r="D103" s="27"/>
      <c r="E103" s="117"/>
      <c r="F103" s="118"/>
      <c r="G103" s="119"/>
      <c r="H103" s="119"/>
      <c r="I103" s="133"/>
      <c r="J103" s="80"/>
      <c r="K103" s="134"/>
      <c r="L103" s="138"/>
      <c r="M103" s="140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</row>
    <row r="104" spans="1:30" ht="15.75" customHeight="1">
      <c r="A104" s="59"/>
      <c r="B104" s="115"/>
      <c r="C104" s="116"/>
      <c r="D104" s="27"/>
      <c r="E104" s="117"/>
      <c r="F104" s="118"/>
      <c r="G104" s="119"/>
      <c r="H104" s="119"/>
      <c r="I104" s="133"/>
      <c r="J104" s="80"/>
      <c r="K104" s="134"/>
      <c r="L104" s="138"/>
      <c r="M104" s="140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</row>
    <row r="105" spans="1:30" ht="15.75" customHeight="1">
      <c r="A105" s="59"/>
      <c r="B105" s="115"/>
      <c r="C105" s="116"/>
      <c r="D105" s="27"/>
      <c r="E105" s="117"/>
      <c r="F105" s="118"/>
      <c r="G105" s="119"/>
      <c r="H105" s="119"/>
      <c r="I105" s="133"/>
      <c r="J105" s="80"/>
      <c r="K105" s="134"/>
      <c r="L105" s="137"/>
      <c r="M105" s="140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</row>
    <row r="106" spans="1:30" ht="15.75" customHeight="1">
      <c r="A106" s="59"/>
      <c r="B106" s="115"/>
      <c r="C106" s="116"/>
      <c r="D106" s="27"/>
      <c r="E106" s="117"/>
      <c r="F106" s="118"/>
      <c r="G106" s="119"/>
      <c r="H106" s="119"/>
      <c r="I106" s="133"/>
      <c r="J106" s="80"/>
      <c r="K106" s="134"/>
      <c r="L106" s="138"/>
      <c r="M106" s="140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</row>
    <row r="107" spans="1:30" ht="15.75" customHeight="1">
      <c r="A107" s="59"/>
      <c r="B107" s="115"/>
      <c r="C107" s="116"/>
      <c r="D107" s="27"/>
      <c r="E107" s="117"/>
      <c r="F107" s="118"/>
      <c r="G107" s="119"/>
      <c r="H107" s="119"/>
      <c r="I107" s="133"/>
      <c r="J107" s="80"/>
      <c r="K107" s="134"/>
      <c r="L107" s="138"/>
      <c r="M107" s="140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</row>
    <row r="108" spans="1:30" ht="15.75" customHeight="1">
      <c r="A108" s="59"/>
      <c r="B108" s="115"/>
      <c r="C108" s="116"/>
      <c r="D108" s="27"/>
      <c r="E108" s="117"/>
      <c r="F108" s="118"/>
      <c r="G108" s="119"/>
      <c r="H108" s="119"/>
      <c r="I108" s="133"/>
      <c r="J108" s="80"/>
      <c r="K108" s="134"/>
      <c r="L108" s="138"/>
      <c r="M108" s="140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</row>
    <row r="109" spans="1:30" ht="15.75" customHeight="1">
      <c r="A109" s="59"/>
      <c r="B109" s="115"/>
      <c r="C109" s="116"/>
      <c r="D109" s="27"/>
      <c r="E109" s="117"/>
      <c r="F109" s="118"/>
      <c r="G109" s="119"/>
      <c r="H109" s="119"/>
      <c r="I109" s="133"/>
      <c r="J109" s="80"/>
      <c r="K109" s="134"/>
      <c r="L109" s="138"/>
      <c r="M109" s="140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</row>
    <row r="110" spans="1:30" ht="15.75" customHeight="1">
      <c r="A110" s="59"/>
      <c r="B110" s="115"/>
      <c r="C110" s="116"/>
      <c r="D110" s="27"/>
      <c r="E110" s="117"/>
      <c r="F110" s="118"/>
      <c r="G110" s="119"/>
      <c r="H110" s="119"/>
      <c r="I110" s="133"/>
      <c r="J110" s="80"/>
      <c r="K110" s="134"/>
      <c r="L110" s="138"/>
      <c r="M110" s="140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</row>
    <row r="111" spans="1:30" ht="15.75" customHeight="1">
      <c r="A111" s="59"/>
      <c r="B111" s="115"/>
      <c r="C111" s="116"/>
      <c r="D111" s="27"/>
      <c r="E111" s="117"/>
      <c r="F111" s="118"/>
      <c r="G111" s="119"/>
      <c r="H111" s="119"/>
      <c r="I111" s="133"/>
      <c r="J111" s="80"/>
      <c r="K111" s="134"/>
      <c r="L111" s="138"/>
      <c r="M111" s="140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</row>
    <row r="112" spans="1:30" ht="15.75" customHeight="1">
      <c r="A112" s="59"/>
      <c r="B112" s="115"/>
      <c r="C112" s="116"/>
      <c r="D112" s="27"/>
      <c r="E112" s="117"/>
      <c r="F112" s="118"/>
      <c r="G112" s="119"/>
      <c r="H112" s="119"/>
      <c r="I112" s="133"/>
      <c r="J112" s="80"/>
      <c r="K112" s="134"/>
      <c r="L112" s="143"/>
      <c r="M112" s="140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</row>
    <row r="113" spans="1:30" ht="15.75" customHeight="1">
      <c r="A113" s="59"/>
      <c r="B113" s="115"/>
      <c r="C113" s="116"/>
      <c r="D113" s="27"/>
      <c r="E113" s="117"/>
      <c r="F113" s="118"/>
      <c r="G113" s="119"/>
      <c r="H113" s="119"/>
      <c r="I113" s="133"/>
      <c r="J113" s="80"/>
      <c r="K113" s="134"/>
      <c r="L113" s="138"/>
      <c r="M113" s="136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</row>
    <row r="114" spans="1:30" ht="15.75" customHeight="1">
      <c r="A114" s="59"/>
      <c r="B114" s="115"/>
      <c r="C114" s="116"/>
      <c r="D114" s="27"/>
      <c r="E114" s="117"/>
      <c r="F114" s="118"/>
      <c r="G114" s="119"/>
      <c r="H114" s="119"/>
      <c r="I114" s="133"/>
      <c r="J114" s="80"/>
      <c r="K114" s="134"/>
      <c r="L114" s="138"/>
      <c r="M114" s="136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</row>
    <row r="115" spans="1:30" ht="15.75" customHeight="1">
      <c r="A115" s="59"/>
      <c r="B115" s="115"/>
      <c r="C115" s="116"/>
      <c r="D115" s="27"/>
      <c r="E115" s="117"/>
      <c r="F115" s="118"/>
      <c r="G115" s="119"/>
      <c r="H115" s="119"/>
      <c r="I115" s="133"/>
      <c r="J115" s="80"/>
      <c r="K115" s="134"/>
      <c r="L115" s="138"/>
      <c r="M115" s="136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</row>
    <row r="116" spans="1:30" ht="15.75" customHeight="1">
      <c r="A116" s="59"/>
      <c r="B116" s="115"/>
      <c r="C116" s="116"/>
      <c r="D116" s="27"/>
      <c r="E116" s="117"/>
      <c r="F116" s="118"/>
      <c r="G116" s="119"/>
      <c r="H116" s="119"/>
      <c r="I116" s="133"/>
      <c r="J116" s="80"/>
      <c r="K116" s="134"/>
      <c r="L116" s="138"/>
      <c r="M116" s="136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</row>
    <row r="117" spans="1:30" ht="15.75" customHeight="1">
      <c r="A117" s="59"/>
      <c r="B117" s="115"/>
      <c r="C117" s="116"/>
      <c r="D117" s="27"/>
      <c r="E117" s="117"/>
      <c r="F117" s="118"/>
      <c r="G117" s="119"/>
      <c r="H117" s="119"/>
      <c r="I117" s="133"/>
      <c r="J117" s="80"/>
      <c r="K117" s="134"/>
      <c r="L117" s="138"/>
      <c r="M117" s="136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</row>
    <row r="118" spans="1:30" ht="15.75" customHeight="1">
      <c r="A118" s="59"/>
      <c r="B118" s="115"/>
      <c r="C118" s="116"/>
      <c r="D118" s="27"/>
      <c r="E118" s="117"/>
      <c r="F118" s="118"/>
      <c r="G118" s="119"/>
      <c r="H118" s="119"/>
      <c r="I118" s="133"/>
      <c r="J118" s="80"/>
      <c r="K118" s="134"/>
      <c r="L118" s="138"/>
      <c r="M118" s="136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</row>
    <row r="119" spans="1:30" ht="15.75" customHeight="1">
      <c r="A119" s="59"/>
      <c r="B119" s="115"/>
      <c r="C119" s="116"/>
      <c r="D119" s="27"/>
      <c r="E119" s="117"/>
      <c r="F119" s="118"/>
      <c r="G119" s="119"/>
      <c r="H119" s="119"/>
      <c r="I119" s="133"/>
      <c r="J119" s="80"/>
      <c r="K119" s="134"/>
      <c r="L119" s="138"/>
      <c r="M119" s="136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</row>
    <row r="120" spans="1:30" ht="15.75" customHeight="1">
      <c r="A120" s="59"/>
      <c r="B120" s="115"/>
      <c r="C120" s="116"/>
      <c r="D120" s="27"/>
      <c r="E120" s="117"/>
      <c r="F120" s="118"/>
      <c r="G120" s="119"/>
      <c r="H120" s="119"/>
      <c r="I120" s="133"/>
      <c r="J120" s="80"/>
      <c r="K120" s="134"/>
      <c r="L120" s="138"/>
      <c r="M120" s="136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</row>
    <row r="121" spans="1:30" ht="15.75" customHeight="1">
      <c r="A121" s="59"/>
      <c r="B121" s="115"/>
      <c r="C121" s="116"/>
      <c r="D121" s="27"/>
      <c r="E121" s="117"/>
      <c r="F121" s="118"/>
      <c r="G121" s="119"/>
      <c r="H121" s="119"/>
      <c r="I121" s="133"/>
      <c r="J121" s="80"/>
      <c r="K121" s="134"/>
      <c r="L121" s="138"/>
      <c r="M121" s="136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</row>
    <row r="122" spans="1:30" ht="15.75" customHeight="1">
      <c r="A122" s="59"/>
      <c r="B122" s="115"/>
      <c r="C122" s="116"/>
      <c r="D122" s="27"/>
      <c r="E122" s="117"/>
      <c r="F122" s="118"/>
      <c r="G122" s="119"/>
      <c r="H122" s="119"/>
      <c r="I122" s="133"/>
      <c r="J122" s="80"/>
      <c r="K122" s="134"/>
      <c r="L122" s="138"/>
      <c r="M122" s="136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</row>
    <row r="123" spans="1:30" ht="15.75" customHeight="1">
      <c r="A123" s="59"/>
      <c r="B123" s="115"/>
      <c r="C123" s="116"/>
      <c r="D123" s="27"/>
      <c r="E123" s="117"/>
      <c r="F123" s="118"/>
      <c r="G123" s="119"/>
      <c r="H123" s="119"/>
      <c r="I123" s="133"/>
      <c r="J123" s="80"/>
      <c r="K123" s="134"/>
      <c r="L123" s="138"/>
      <c r="M123" s="136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</row>
    <row r="124" spans="1:30" ht="15.75" customHeight="1">
      <c r="A124" s="59"/>
      <c r="B124" s="115"/>
      <c r="C124" s="116"/>
      <c r="D124" s="27"/>
      <c r="E124" s="117"/>
      <c r="F124" s="118"/>
      <c r="G124" s="119"/>
      <c r="H124" s="119"/>
      <c r="I124" s="133"/>
      <c r="J124" s="80"/>
      <c r="K124" s="134"/>
      <c r="L124" s="138"/>
      <c r="M124" s="136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</row>
    <row r="125" spans="1:30" ht="15.75" customHeight="1">
      <c r="A125" s="59"/>
      <c r="B125" s="115"/>
      <c r="C125" s="116"/>
      <c r="D125" s="27"/>
      <c r="E125" s="117"/>
      <c r="F125" s="118"/>
      <c r="G125" s="119"/>
      <c r="H125" s="119"/>
      <c r="I125" s="133"/>
      <c r="J125" s="80"/>
      <c r="K125" s="134"/>
      <c r="L125" s="138"/>
      <c r="M125" s="136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</row>
    <row r="126" spans="1:30" ht="15.75" customHeight="1">
      <c r="A126" s="59"/>
      <c r="B126" s="115"/>
      <c r="C126" s="116"/>
      <c r="D126" s="27"/>
      <c r="E126" s="117"/>
      <c r="F126" s="118"/>
      <c r="G126" s="119"/>
      <c r="H126" s="119"/>
      <c r="I126" s="133"/>
      <c r="J126" s="80"/>
      <c r="K126" s="134"/>
      <c r="L126" s="138"/>
      <c r="M126" s="136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</row>
    <row r="127" spans="1:30" ht="15.75" customHeight="1">
      <c r="A127" s="59"/>
      <c r="B127" s="115"/>
      <c r="C127" s="116"/>
      <c r="D127" s="27"/>
      <c r="E127" s="117"/>
      <c r="F127" s="118"/>
      <c r="G127" s="119"/>
      <c r="H127" s="119"/>
      <c r="I127" s="133"/>
      <c r="J127" s="80"/>
      <c r="K127" s="134"/>
      <c r="L127" s="138"/>
      <c r="M127" s="136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</row>
    <row r="128" spans="1:30" ht="15.75" customHeight="1">
      <c r="A128" s="59"/>
      <c r="B128" s="115"/>
      <c r="C128" s="116"/>
      <c r="D128" s="27"/>
      <c r="E128" s="117"/>
      <c r="F128" s="118"/>
      <c r="G128" s="119"/>
      <c r="H128" s="119"/>
      <c r="I128" s="133"/>
      <c r="J128" s="80"/>
      <c r="K128" s="134"/>
      <c r="L128" s="138"/>
      <c r="M128" s="136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</row>
    <row r="129" spans="1:30" ht="15.75" customHeight="1">
      <c r="A129" s="59"/>
      <c r="B129" s="115"/>
      <c r="C129" s="116"/>
      <c r="D129" s="27"/>
      <c r="E129" s="117"/>
      <c r="F129" s="118"/>
      <c r="G129" s="119"/>
      <c r="H129" s="119"/>
      <c r="I129" s="133"/>
      <c r="J129" s="80"/>
      <c r="K129" s="134"/>
      <c r="L129" s="138"/>
      <c r="M129" s="136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</row>
    <row r="130" spans="1:30" ht="15.75" customHeight="1">
      <c r="A130" s="59"/>
      <c r="B130" s="115"/>
      <c r="C130" s="116"/>
      <c r="D130" s="27"/>
      <c r="E130" s="117"/>
      <c r="F130" s="118"/>
      <c r="G130" s="119"/>
      <c r="H130" s="119"/>
      <c r="I130" s="133"/>
      <c r="J130" s="80"/>
      <c r="K130" s="134"/>
      <c r="L130" s="138"/>
      <c r="M130" s="136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</row>
    <row r="131" spans="1:30" ht="15.75" customHeight="1">
      <c r="A131" s="59"/>
      <c r="B131" s="115"/>
      <c r="C131" s="116"/>
      <c r="D131" s="27"/>
      <c r="E131" s="117"/>
      <c r="F131" s="118"/>
      <c r="G131" s="119"/>
      <c r="H131" s="119"/>
      <c r="I131" s="133"/>
      <c r="J131" s="80"/>
      <c r="K131" s="134"/>
      <c r="L131" s="138"/>
      <c r="M131" s="136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</row>
    <row r="132" spans="1:30" ht="15.75" customHeight="1">
      <c r="A132" s="59"/>
      <c r="B132" s="115"/>
      <c r="C132" s="116"/>
      <c r="D132" s="27"/>
      <c r="E132" s="117"/>
      <c r="F132" s="118"/>
      <c r="G132" s="119"/>
      <c r="H132" s="119"/>
      <c r="I132" s="133"/>
      <c r="J132" s="80"/>
      <c r="K132" s="134"/>
      <c r="L132" s="138"/>
      <c r="M132" s="136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</row>
    <row r="133" spans="1:30" ht="15.75" customHeight="1">
      <c r="A133" s="59"/>
      <c r="B133" s="115"/>
      <c r="C133" s="116"/>
      <c r="D133" s="27"/>
      <c r="E133" s="117"/>
      <c r="F133" s="118"/>
      <c r="G133" s="119"/>
      <c r="H133" s="119"/>
      <c r="I133" s="133"/>
      <c r="J133" s="80"/>
      <c r="K133" s="134"/>
      <c r="L133" s="138"/>
      <c r="M133" s="136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</row>
    <row r="134" spans="1:30" ht="15.75" customHeight="1">
      <c r="A134" s="59"/>
      <c r="B134" s="115"/>
      <c r="C134" s="116"/>
      <c r="D134" s="27"/>
      <c r="E134" s="117"/>
      <c r="F134" s="118"/>
      <c r="G134" s="119"/>
      <c r="H134" s="119"/>
      <c r="I134" s="133"/>
      <c r="J134" s="80"/>
      <c r="K134" s="134"/>
      <c r="L134" s="138"/>
      <c r="M134" s="136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</row>
    <row r="135" spans="1:30" ht="15.75" customHeight="1">
      <c r="A135" s="59"/>
      <c r="B135" s="115"/>
      <c r="C135" s="116"/>
      <c r="D135" s="27"/>
      <c r="E135" s="117"/>
      <c r="F135" s="118"/>
      <c r="G135" s="119"/>
      <c r="H135" s="119"/>
      <c r="I135" s="133"/>
      <c r="J135" s="80"/>
      <c r="K135" s="134"/>
      <c r="L135" s="138"/>
      <c r="M135" s="136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</row>
    <row r="136" spans="1:30" ht="15.75" customHeight="1">
      <c r="A136" s="59"/>
      <c r="B136" s="115"/>
      <c r="C136" s="116"/>
      <c r="D136" s="27"/>
      <c r="E136" s="117"/>
      <c r="F136" s="118"/>
      <c r="G136" s="119"/>
      <c r="H136" s="119"/>
      <c r="I136" s="133"/>
      <c r="J136" s="80"/>
      <c r="K136" s="134"/>
      <c r="L136" s="138"/>
      <c r="M136" s="136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</row>
    <row r="137" spans="1:30" ht="15.75" customHeight="1">
      <c r="A137" s="59"/>
      <c r="B137" s="115"/>
      <c r="C137" s="116"/>
      <c r="D137" s="27"/>
      <c r="E137" s="117"/>
      <c r="F137" s="118"/>
      <c r="G137" s="119"/>
      <c r="H137" s="119"/>
      <c r="I137" s="133"/>
      <c r="J137" s="80"/>
      <c r="K137" s="134"/>
      <c r="L137" s="138"/>
      <c r="M137" s="136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</row>
    <row r="138" spans="1:30" ht="15.75" customHeight="1">
      <c r="A138" s="59"/>
      <c r="B138" s="115"/>
      <c r="C138" s="116"/>
      <c r="D138" s="27"/>
      <c r="E138" s="117"/>
      <c r="F138" s="118"/>
      <c r="G138" s="119"/>
      <c r="H138" s="119"/>
      <c r="I138" s="133"/>
      <c r="J138" s="80"/>
      <c r="K138" s="134"/>
      <c r="L138" s="138"/>
      <c r="M138" s="136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</row>
    <row r="139" spans="1:30" ht="15.75" customHeight="1">
      <c r="A139" s="59"/>
      <c r="B139" s="115"/>
      <c r="C139" s="116"/>
      <c r="D139" s="27"/>
      <c r="E139" s="117"/>
      <c r="F139" s="118"/>
      <c r="G139" s="119"/>
      <c r="H139" s="119"/>
      <c r="I139" s="133"/>
      <c r="J139" s="80"/>
      <c r="K139" s="134"/>
      <c r="L139" s="138"/>
      <c r="M139" s="136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</row>
    <row r="140" spans="1:30" ht="15.75" customHeight="1">
      <c r="A140" s="59"/>
      <c r="B140" s="115"/>
      <c r="C140" s="116"/>
      <c r="D140" s="27"/>
      <c r="E140" s="117"/>
      <c r="F140" s="118"/>
      <c r="G140" s="119"/>
      <c r="H140" s="119"/>
      <c r="I140" s="133"/>
      <c r="J140" s="80"/>
      <c r="K140" s="134"/>
      <c r="L140" s="138"/>
      <c r="M140" s="136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</row>
    <row r="141" spans="1:30" ht="15.75" customHeight="1">
      <c r="A141" s="59"/>
      <c r="B141" s="115"/>
      <c r="C141" s="116"/>
      <c r="D141" s="27"/>
      <c r="E141" s="117"/>
      <c r="F141" s="118"/>
      <c r="G141" s="119"/>
      <c r="H141" s="119"/>
      <c r="I141" s="133"/>
      <c r="J141" s="80"/>
      <c r="K141" s="134"/>
      <c r="L141" s="138"/>
      <c r="M141" s="136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</row>
    <row r="142" spans="1:30" ht="15.75" customHeight="1">
      <c r="A142" s="59"/>
      <c r="B142" s="115"/>
      <c r="C142" s="116"/>
      <c r="D142" s="27"/>
      <c r="E142" s="117"/>
      <c r="F142" s="118"/>
      <c r="G142" s="119"/>
      <c r="H142" s="119"/>
      <c r="I142" s="133"/>
      <c r="J142" s="80"/>
      <c r="K142" s="134"/>
      <c r="L142" s="138"/>
      <c r="M142" s="136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</row>
    <row r="143" spans="1:30" ht="15.75" customHeight="1">
      <c r="A143" s="59"/>
      <c r="B143" s="115"/>
      <c r="C143" s="116"/>
      <c r="D143" s="27"/>
      <c r="E143" s="117"/>
      <c r="F143" s="118"/>
      <c r="G143" s="119"/>
      <c r="H143" s="119"/>
      <c r="I143" s="133"/>
      <c r="J143" s="80"/>
      <c r="K143" s="134"/>
      <c r="L143" s="138"/>
      <c r="M143" s="136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</row>
    <row r="144" spans="1:30" ht="15.75" customHeight="1">
      <c r="A144" s="59"/>
      <c r="B144" s="115"/>
      <c r="C144" s="116"/>
      <c r="D144" s="27"/>
      <c r="E144" s="117"/>
      <c r="F144" s="118"/>
      <c r="G144" s="119"/>
      <c r="H144" s="119"/>
      <c r="I144" s="133"/>
      <c r="J144" s="80"/>
      <c r="K144" s="134"/>
      <c r="L144" s="138"/>
      <c r="M144" s="136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</row>
    <row r="145" spans="1:30" ht="15.75" customHeight="1">
      <c r="A145" s="59"/>
      <c r="B145" s="115"/>
      <c r="C145" s="116"/>
      <c r="D145" s="27"/>
      <c r="E145" s="117"/>
      <c r="F145" s="118"/>
      <c r="G145" s="119"/>
      <c r="H145" s="119"/>
      <c r="I145" s="133"/>
      <c r="J145" s="80"/>
      <c r="K145" s="134"/>
      <c r="L145" s="138"/>
      <c r="M145" s="136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</row>
    <row r="146" spans="1:30" ht="15.75" customHeight="1">
      <c r="A146" s="59"/>
      <c r="B146" s="115"/>
      <c r="C146" s="116"/>
      <c r="D146" s="27"/>
      <c r="E146" s="117"/>
      <c r="F146" s="118"/>
      <c r="G146" s="119"/>
      <c r="H146" s="119"/>
      <c r="I146" s="133"/>
      <c r="J146" s="80"/>
      <c r="K146" s="134"/>
      <c r="L146" s="138"/>
      <c r="M146" s="136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</row>
    <row r="147" spans="1:30" ht="15.75" customHeight="1">
      <c r="A147" s="59"/>
      <c r="B147" s="115"/>
      <c r="C147" s="116"/>
      <c r="D147" s="27"/>
      <c r="E147" s="117"/>
      <c r="F147" s="118"/>
      <c r="G147" s="119"/>
      <c r="H147" s="119"/>
      <c r="I147" s="133"/>
      <c r="J147" s="80"/>
      <c r="K147" s="134"/>
      <c r="L147" s="138"/>
      <c r="M147" s="136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</row>
    <row r="148" spans="1:30" ht="15.75" customHeight="1">
      <c r="A148" s="59"/>
      <c r="B148" s="115"/>
      <c r="C148" s="116"/>
      <c r="D148" s="27"/>
      <c r="E148" s="117"/>
      <c r="F148" s="118"/>
      <c r="G148" s="119"/>
      <c r="H148" s="119"/>
      <c r="I148" s="133"/>
      <c r="J148" s="80"/>
      <c r="K148" s="134"/>
      <c r="L148" s="138"/>
      <c r="M148" s="136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</row>
    <row r="149" spans="1:30" ht="15.75" customHeight="1">
      <c r="A149" s="59"/>
      <c r="B149" s="115"/>
      <c r="C149" s="116"/>
      <c r="D149" s="27"/>
      <c r="E149" s="117"/>
      <c r="F149" s="118"/>
      <c r="G149" s="119"/>
      <c r="H149" s="119"/>
      <c r="I149" s="133"/>
      <c r="J149" s="80"/>
      <c r="K149" s="134"/>
      <c r="L149" s="138"/>
      <c r="M149" s="136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</row>
    <row r="150" spans="1:30" ht="15.75" customHeight="1">
      <c r="A150" s="59"/>
      <c r="B150" s="115"/>
      <c r="C150" s="116"/>
      <c r="D150" s="27"/>
      <c r="E150" s="117"/>
      <c r="F150" s="118"/>
      <c r="G150" s="119"/>
      <c r="H150" s="119"/>
      <c r="I150" s="133"/>
      <c r="J150" s="80"/>
      <c r="K150" s="134"/>
      <c r="L150" s="138"/>
      <c r="M150" s="136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</row>
    <row r="151" spans="1:30" ht="15.75" customHeight="1">
      <c r="A151" s="59"/>
      <c r="B151" s="115"/>
      <c r="C151" s="116"/>
      <c r="D151" s="27"/>
      <c r="E151" s="117"/>
      <c r="F151" s="118"/>
      <c r="G151" s="119"/>
      <c r="H151" s="119"/>
      <c r="I151" s="133"/>
      <c r="J151" s="80"/>
      <c r="K151" s="134"/>
      <c r="L151" s="138"/>
      <c r="M151" s="136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</row>
    <row r="152" spans="1:30" ht="15.75" customHeight="1">
      <c r="A152" s="59"/>
      <c r="B152" s="115"/>
      <c r="C152" s="116"/>
      <c r="D152" s="27"/>
      <c r="E152" s="117"/>
      <c r="F152" s="118"/>
      <c r="G152" s="119"/>
      <c r="H152" s="119"/>
      <c r="I152" s="133"/>
      <c r="J152" s="80"/>
      <c r="K152" s="134"/>
      <c r="L152" s="138"/>
      <c r="M152" s="136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</row>
    <row r="153" spans="1:30" ht="15.75" customHeight="1">
      <c r="A153" s="59"/>
      <c r="B153" s="115"/>
      <c r="C153" s="116"/>
      <c r="D153" s="27"/>
      <c r="E153" s="117"/>
      <c r="F153" s="118"/>
      <c r="G153" s="119"/>
      <c r="H153" s="119"/>
      <c r="I153" s="133"/>
      <c r="J153" s="80"/>
      <c r="K153" s="134"/>
      <c r="L153" s="138"/>
      <c r="M153" s="136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</row>
    <row r="154" spans="1:30" ht="15.75" customHeight="1">
      <c r="A154" s="59"/>
      <c r="B154" s="115"/>
      <c r="C154" s="116"/>
      <c r="D154" s="27"/>
      <c r="E154" s="117"/>
      <c r="F154" s="118"/>
      <c r="G154" s="119"/>
      <c r="H154" s="119"/>
      <c r="I154" s="133"/>
      <c r="J154" s="80"/>
      <c r="K154" s="134"/>
      <c r="L154" s="138"/>
      <c r="M154" s="136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</row>
    <row r="155" spans="1:30" ht="15.75" customHeight="1">
      <c r="A155" s="59"/>
      <c r="B155" s="115"/>
      <c r="C155" s="116"/>
      <c r="D155" s="27"/>
      <c r="E155" s="117"/>
      <c r="F155" s="118"/>
      <c r="G155" s="119"/>
      <c r="H155" s="119"/>
      <c r="I155" s="133"/>
      <c r="J155" s="80"/>
      <c r="K155" s="134"/>
      <c r="L155" s="138"/>
      <c r="M155" s="136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</row>
    <row r="156" spans="1:30" ht="15.75" customHeight="1">
      <c r="A156" s="59"/>
      <c r="B156" s="115"/>
      <c r="C156" s="116"/>
      <c r="D156" s="27"/>
      <c r="E156" s="117"/>
      <c r="F156" s="118"/>
      <c r="G156" s="119"/>
      <c r="H156" s="119"/>
      <c r="I156" s="133"/>
      <c r="J156" s="80"/>
      <c r="K156" s="134"/>
      <c r="L156" s="138"/>
      <c r="M156" s="136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</row>
    <row r="157" spans="1:30" ht="15.75" customHeight="1">
      <c r="A157" s="59"/>
      <c r="B157" s="115"/>
      <c r="C157" s="116"/>
      <c r="D157" s="27"/>
      <c r="E157" s="117"/>
      <c r="F157" s="118"/>
      <c r="G157" s="119"/>
      <c r="H157" s="119"/>
      <c r="I157" s="133"/>
      <c r="J157" s="80"/>
      <c r="K157" s="134"/>
      <c r="L157" s="138"/>
      <c r="M157" s="136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</row>
    <row r="158" spans="1:30" ht="15.75" customHeight="1">
      <c r="A158" s="59"/>
      <c r="B158" s="115"/>
      <c r="C158" s="116"/>
      <c r="D158" s="27"/>
      <c r="E158" s="117"/>
      <c r="F158" s="118"/>
      <c r="G158" s="119"/>
      <c r="H158" s="119"/>
      <c r="I158" s="133"/>
      <c r="J158" s="80"/>
      <c r="K158" s="134"/>
      <c r="L158" s="138"/>
      <c r="M158" s="139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</row>
    <row r="159" spans="1:30" ht="15.75" customHeight="1">
      <c r="A159" s="59"/>
      <c r="B159" s="115"/>
      <c r="C159" s="116"/>
      <c r="D159" s="27"/>
      <c r="E159" s="117"/>
      <c r="F159" s="118"/>
      <c r="G159" s="119"/>
      <c r="H159" s="119"/>
      <c r="I159" s="133"/>
      <c r="J159" s="80"/>
      <c r="K159" s="134"/>
      <c r="L159" s="138"/>
      <c r="M159" s="136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</row>
    <row r="160" spans="1:30" ht="15.75" customHeight="1">
      <c r="A160" s="59"/>
      <c r="B160" s="115"/>
      <c r="C160" s="116"/>
      <c r="D160" s="27"/>
      <c r="E160" s="117"/>
      <c r="F160" s="118"/>
      <c r="G160" s="119"/>
      <c r="H160" s="119"/>
      <c r="I160" s="133"/>
      <c r="J160" s="80"/>
      <c r="K160" s="134"/>
      <c r="L160" s="138"/>
      <c r="M160" s="136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</row>
    <row r="161" spans="1:30" ht="15.75" customHeight="1">
      <c r="A161" s="59"/>
      <c r="B161" s="115"/>
      <c r="C161" s="116"/>
      <c r="D161" s="27"/>
      <c r="E161" s="117"/>
      <c r="F161" s="118"/>
      <c r="G161" s="119"/>
      <c r="H161" s="119"/>
      <c r="I161" s="133"/>
      <c r="J161" s="80"/>
      <c r="K161" s="134"/>
      <c r="L161" s="138"/>
      <c r="M161" s="136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</row>
    <row r="162" spans="1:30" ht="15.75" customHeight="1">
      <c r="A162" s="59"/>
      <c r="B162" s="115"/>
      <c r="C162" s="116"/>
      <c r="D162" s="27"/>
      <c r="E162" s="117"/>
      <c r="F162" s="118"/>
      <c r="G162" s="119"/>
      <c r="H162" s="119"/>
      <c r="I162" s="133"/>
      <c r="J162" s="80"/>
      <c r="K162" s="134"/>
      <c r="L162" s="138"/>
      <c r="M162" s="136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</row>
    <row r="163" spans="1:30" ht="15.75" customHeight="1">
      <c r="A163" s="59"/>
      <c r="B163" s="115"/>
      <c r="C163" s="116"/>
      <c r="D163" s="27"/>
      <c r="E163" s="117"/>
      <c r="F163" s="118"/>
      <c r="G163" s="119"/>
      <c r="H163" s="119"/>
      <c r="I163" s="133"/>
      <c r="J163" s="80"/>
      <c r="K163" s="134"/>
      <c r="L163" s="138"/>
      <c r="M163" s="136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</row>
    <row r="164" spans="1:30" ht="15.75" customHeight="1">
      <c r="A164" s="59"/>
      <c r="B164" s="115"/>
      <c r="C164" s="116"/>
      <c r="D164" s="27"/>
      <c r="E164" s="117"/>
      <c r="F164" s="118"/>
      <c r="G164" s="119"/>
      <c r="H164" s="119"/>
      <c r="I164" s="133"/>
      <c r="J164" s="80"/>
      <c r="K164" s="134"/>
      <c r="L164" s="138"/>
      <c r="M164" s="136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</row>
    <row r="165" spans="1:30" ht="15.75" customHeight="1">
      <c r="A165" s="59"/>
      <c r="B165" s="115"/>
      <c r="C165" s="116"/>
      <c r="D165" s="27"/>
      <c r="E165" s="117"/>
      <c r="F165" s="118"/>
      <c r="G165" s="119"/>
      <c r="H165" s="119"/>
      <c r="I165" s="133"/>
      <c r="J165" s="80"/>
      <c r="K165" s="134"/>
      <c r="L165" s="138"/>
      <c r="M165" s="136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</row>
    <row r="166" spans="1:30" ht="15.75" customHeight="1">
      <c r="A166" s="59"/>
      <c r="B166" s="115"/>
      <c r="C166" s="116"/>
      <c r="D166" s="27"/>
      <c r="E166" s="117"/>
      <c r="F166" s="118"/>
      <c r="G166" s="119"/>
      <c r="H166" s="119"/>
      <c r="I166" s="133"/>
      <c r="J166" s="80"/>
      <c r="K166" s="134"/>
      <c r="L166" s="138"/>
      <c r="M166" s="136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</row>
    <row r="167" spans="1:30" ht="15.75" customHeight="1">
      <c r="A167" s="59"/>
      <c r="B167" s="115"/>
      <c r="C167" s="116"/>
      <c r="D167" s="27"/>
      <c r="E167" s="117"/>
      <c r="F167" s="118"/>
      <c r="G167" s="119"/>
      <c r="H167" s="119"/>
      <c r="I167" s="133"/>
      <c r="J167" s="80"/>
      <c r="K167" s="134"/>
      <c r="L167" s="138"/>
      <c r="M167" s="139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</row>
    <row r="168" spans="1:30" ht="15.75" customHeight="1">
      <c r="A168" s="59"/>
      <c r="B168" s="115"/>
      <c r="C168" s="116"/>
      <c r="D168" s="27"/>
      <c r="E168" s="117"/>
      <c r="F168" s="118"/>
      <c r="G168" s="119"/>
      <c r="H168" s="119"/>
      <c r="I168" s="133"/>
      <c r="J168" s="80"/>
      <c r="K168" s="134"/>
      <c r="L168" s="143"/>
      <c r="M168" s="136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</row>
    <row r="169" spans="1:30" ht="15.75" customHeight="1">
      <c r="A169" s="59"/>
      <c r="B169" s="115"/>
      <c r="C169" s="116"/>
      <c r="D169" s="27"/>
      <c r="E169" s="117"/>
      <c r="F169" s="118"/>
      <c r="G169" s="119"/>
      <c r="H169" s="119"/>
      <c r="I169" s="133"/>
      <c r="J169" s="80"/>
      <c r="K169" s="134"/>
      <c r="L169" s="138"/>
      <c r="M169" s="136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</row>
    <row r="170" spans="1:30" ht="15.75" customHeight="1">
      <c r="A170" s="59"/>
      <c r="B170" s="115"/>
      <c r="C170" s="116"/>
      <c r="D170" s="27"/>
      <c r="E170" s="117"/>
      <c r="F170" s="118"/>
      <c r="G170" s="119"/>
      <c r="H170" s="119"/>
      <c r="I170" s="133"/>
      <c r="J170" s="80"/>
      <c r="K170" s="134"/>
      <c r="L170" s="138"/>
      <c r="M170" s="140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</row>
    <row r="171" spans="1:30" ht="15.75" customHeight="1">
      <c r="A171" s="59"/>
      <c r="B171" s="115"/>
      <c r="C171" s="116"/>
      <c r="D171" s="27"/>
      <c r="E171" s="117"/>
      <c r="F171" s="118"/>
      <c r="G171" s="119"/>
      <c r="H171" s="119"/>
      <c r="I171" s="133"/>
      <c r="J171" s="80"/>
      <c r="K171" s="134"/>
      <c r="L171" s="138"/>
      <c r="M171" s="140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</row>
    <row r="172" spans="1:30" ht="15.75" customHeight="1">
      <c r="A172" s="59"/>
      <c r="B172" s="115"/>
      <c r="C172" s="116"/>
      <c r="D172" s="27"/>
      <c r="E172" s="117"/>
      <c r="F172" s="118"/>
      <c r="G172" s="119"/>
      <c r="H172" s="119"/>
      <c r="I172" s="133"/>
      <c r="J172" s="80"/>
      <c r="K172" s="134"/>
      <c r="L172" s="138"/>
      <c r="M172" s="140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</row>
    <row r="173" spans="1:30" ht="15.75" customHeight="1">
      <c r="A173" s="59"/>
      <c r="B173" s="115"/>
      <c r="C173" s="116"/>
      <c r="D173" s="27"/>
      <c r="E173" s="117"/>
      <c r="F173" s="118"/>
      <c r="G173" s="119"/>
      <c r="H173" s="119"/>
      <c r="I173" s="133"/>
      <c r="J173" s="80"/>
      <c r="K173" s="134"/>
      <c r="L173" s="138"/>
      <c r="M173" s="140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</row>
    <row r="174" spans="1:30" ht="15.75" customHeight="1">
      <c r="A174" s="59"/>
      <c r="B174" s="115"/>
      <c r="C174" s="116"/>
      <c r="D174" s="27"/>
      <c r="E174" s="117"/>
      <c r="F174" s="118"/>
      <c r="G174" s="119"/>
      <c r="H174" s="119"/>
      <c r="I174" s="133"/>
      <c r="J174" s="80"/>
      <c r="K174" s="134"/>
      <c r="L174" s="138"/>
      <c r="M174" s="140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</row>
    <row r="175" spans="1:30" ht="15.75" customHeight="1">
      <c r="A175" s="59"/>
      <c r="B175" s="115"/>
      <c r="C175" s="116"/>
      <c r="D175" s="27"/>
      <c r="E175" s="117"/>
      <c r="F175" s="118"/>
      <c r="G175" s="119"/>
      <c r="H175" s="119"/>
      <c r="I175" s="133"/>
      <c r="J175" s="80"/>
      <c r="K175" s="134"/>
      <c r="L175" s="138"/>
      <c r="M175" s="140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</row>
    <row r="176" spans="1:30" ht="15.75" customHeight="1">
      <c r="A176" s="59"/>
      <c r="B176" s="115"/>
      <c r="C176" s="116"/>
      <c r="D176" s="27"/>
      <c r="E176" s="117"/>
      <c r="F176" s="118"/>
      <c r="G176" s="119"/>
      <c r="H176" s="119"/>
      <c r="I176" s="133"/>
      <c r="J176" s="80"/>
      <c r="K176" s="134"/>
      <c r="L176" s="138"/>
      <c r="M176" s="140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</row>
    <row r="177" spans="1:30" ht="15.75" customHeight="1">
      <c r="A177" s="59"/>
      <c r="B177" s="115"/>
      <c r="C177" s="116"/>
      <c r="D177" s="27"/>
      <c r="E177" s="117"/>
      <c r="F177" s="118"/>
      <c r="G177" s="119"/>
      <c r="H177" s="119"/>
      <c r="I177" s="133"/>
      <c r="J177" s="80"/>
      <c r="K177" s="134"/>
      <c r="L177" s="138"/>
      <c r="M177" s="140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</row>
    <row r="178" spans="1:30" ht="15.75" customHeight="1">
      <c r="A178" s="59"/>
      <c r="B178" s="115"/>
      <c r="C178" s="116"/>
      <c r="D178" s="27"/>
      <c r="E178" s="117"/>
      <c r="F178" s="118"/>
      <c r="G178" s="119"/>
      <c r="H178" s="119"/>
      <c r="I178" s="133"/>
      <c r="J178" s="80"/>
      <c r="K178" s="134"/>
      <c r="L178" s="138"/>
      <c r="M178" s="140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</row>
    <row r="179" spans="1:30" ht="15.75" customHeight="1">
      <c r="A179" s="59"/>
      <c r="B179" s="115"/>
      <c r="C179" s="116"/>
      <c r="D179" s="27"/>
      <c r="E179" s="117"/>
      <c r="F179" s="118"/>
      <c r="G179" s="119"/>
      <c r="H179" s="119"/>
      <c r="I179" s="133"/>
      <c r="J179" s="80"/>
      <c r="K179" s="134"/>
      <c r="L179" s="138"/>
      <c r="M179" s="140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</row>
    <row r="180" spans="1:30" ht="15.75" customHeight="1">
      <c r="A180" s="59"/>
      <c r="B180" s="115"/>
      <c r="C180" s="116"/>
      <c r="D180" s="27"/>
      <c r="E180" s="117"/>
      <c r="F180" s="118"/>
      <c r="G180" s="119"/>
      <c r="H180" s="119"/>
      <c r="I180" s="133"/>
      <c r="J180" s="80"/>
      <c r="K180" s="134"/>
      <c r="L180" s="138"/>
      <c r="M180" s="140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</row>
    <row r="181" spans="1:30" ht="15.75" customHeight="1">
      <c r="A181" s="59"/>
      <c r="B181" s="115"/>
      <c r="C181" s="116"/>
      <c r="D181" s="27"/>
      <c r="E181" s="117"/>
      <c r="F181" s="118"/>
      <c r="G181" s="119"/>
      <c r="H181" s="119"/>
      <c r="I181" s="133"/>
      <c r="J181" s="80"/>
      <c r="K181" s="134"/>
      <c r="L181" s="137"/>
      <c r="M181" s="140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</row>
    <row r="182" spans="1:30" ht="15.75" customHeight="1">
      <c r="A182" s="59"/>
      <c r="B182" s="115"/>
      <c r="C182" s="116"/>
      <c r="D182" s="27"/>
      <c r="E182" s="117"/>
      <c r="F182" s="118"/>
      <c r="G182" s="119"/>
      <c r="H182" s="119"/>
      <c r="I182" s="133"/>
      <c r="J182" s="80"/>
      <c r="K182" s="134"/>
      <c r="L182" s="138"/>
      <c r="M182" s="13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</row>
    <row r="183" spans="1:30" ht="15.75" customHeight="1">
      <c r="A183" s="59"/>
      <c r="B183" s="115"/>
      <c r="C183" s="116"/>
      <c r="D183" s="27"/>
      <c r="E183" s="117"/>
      <c r="F183" s="118"/>
      <c r="G183" s="119"/>
      <c r="H183" s="119"/>
      <c r="I183" s="133"/>
      <c r="J183" s="80"/>
      <c r="K183" s="134"/>
      <c r="L183" s="138"/>
      <c r="M183" s="140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</row>
    <row r="184" spans="1:30" ht="15.75" customHeight="1">
      <c r="A184" s="59"/>
      <c r="B184" s="115"/>
      <c r="C184" s="116"/>
      <c r="D184" s="27"/>
      <c r="E184" s="117"/>
      <c r="F184" s="118"/>
      <c r="G184" s="119"/>
      <c r="H184" s="119"/>
      <c r="I184" s="133"/>
      <c r="J184" s="80"/>
      <c r="K184" s="134"/>
      <c r="L184" s="138"/>
      <c r="M184" s="144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</row>
    <row r="185" spans="1:30" ht="15.75" customHeight="1">
      <c r="A185" s="59"/>
      <c r="B185" s="115"/>
      <c r="C185" s="116"/>
      <c r="D185" s="27"/>
      <c r="E185" s="117"/>
      <c r="F185" s="118"/>
      <c r="G185" s="119"/>
      <c r="H185" s="119"/>
      <c r="I185" s="133"/>
      <c r="J185" s="80"/>
      <c r="K185" s="134"/>
      <c r="L185" s="138"/>
      <c r="M185" s="144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</row>
    <row r="186" spans="1:30" ht="15.75" customHeight="1">
      <c r="A186" s="59"/>
      <c r="B186" s="115"/>
      <c r="C186" s="116"/>
      <c r="D186" s="27"/>
      <c r="E186" s="117"/>
      <c r="F186" s="118"/>
      <c r="G186" s="119"/>
      <c r="H186" s="119"/>
      <c r="I186" s="133"/>
      <c r="J186" s="80"/>
      <c r="K186" s="134"/>
      <c r="L186" s="138"/>
      <c r="M186" s="144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</row>
    <row r="187" spans="1:30" ht="15.75" customHeight="1">
      <c r="A187" s="59"/>
      <c r="B187" s="115"/>
      <c r="C187" s="116"/>
      <c r="D187" s="27"/>
      <c r="E187" s="117"/>
      <c r="F187" s="118"/>
      <c r="G187" s="119"/>
      <c r="H187" s="119"/>
      <c r="I187" s="133"/>
      <c r="J187" s="80"/>
      <c r="K187" s="134"/>
      <c r="L187" s="138"/>
      <c r="M187" s="144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</row>
    <row r="188" spans="1:30" ht="15.75" customHeight="1">
      <c r="A188" s="59"/>
      <c r="B188" s="115"/>
      <c r="C188" s="116"/>
      <c r="D188" s="27"/>
      <c r="E188" s="117"/>
      <c r="F188" s="118"/>
      <c r="G188" s="119"/>
      <c r="H188" s="119"/>
      <c r="I188" s="133"/>
      <c r="J188" s="80"/>
      <c r="K188" s="134"/>
      <c r="L188" s="138"/>
      <c r="M188" s="144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</row>
    <row r="189" spans="1:30" ht="15.75" customHeight="1">
      <c r="A189" s="59"/>
      <c r="B189" s="115"/>
      <c r="C189" s="116"/>
      <c r="D189" s="27"/>
      <c r="E189" s="117"/>
      <c r="F189" s="118"/>
      <c r="G189" s="119"/>
      <c r="H189" s="119"/>
      <c r="I189" s="133"/>
      <c r="J189" s="80"/>
      <c r="K189" s="134"/>
      <c r="L189" s="138"/>
      <c r="M189" s="144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</row>
    <row r="190" spans="1:30" ht="15.75" customHeight="1">
      <c r="A190" s="59"/>
      <c r="B190" s="115"/>
      <c r="C190" s="116"/>
      <c r="D190" s="27"/>
      <c r="E190" s="117"/>
      <c r="F190" s="118"/>
      <c r="G190" s="119"/>
      <c r="H190" s="119"/>
      <c r="I190" s="133"/>
      <c r="J190" s="80"/>
      <c r="K190" s="134"/>
      <c r="L190" s="138"/>
      <c r="M190" s="144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</row>
    <row r="191" spans="1:30" ht="15.75" customHeight="1">
      <c r="A191" s="59"/>
      <c r="B191" s="115"/>
      <c r="C191" s="116"/>
      <c r="D191" s="27"/>
      <c r="E191" s="117"/>
      <c r="F191" s="118"/>
      <c r="G191" s="119"/>
      <c r="H191" s="119"/>
      <c r="I191" s="133"/>
      <c r="J191" s="80"/>
      <c r="K191" s="134"/>
      <c r="L191" s="138"/>
      <c r="M191" s="144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</row>
    <row r="192" spans="1:30" ht="15.75" customHeight="1">
      <c r="A192" s="59"/>
      <c r="B192" s="115"/>
      <c r="C192" s="116"/>
      <c r="D192" s="27"/>
      <c r="E192" s="117"/>
      <c r="F192" s="118"/>
      <c r="G192" s="119"/>
      <c r="H192" s="119"/>
      <c r="I192" s="133"/>
      <c r="J192" s="80"/>
      <c r="K192" s="134"/>
      <c r="L192" s="138"/>
      <c r="M192" s="144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</row>
    <row r="193" spans="1:30" ht="15.75" customHeight="1">
      <c r="A193" s="59"/>
      <c r="B193" s="115"/>
      <c r="C193" s="116"/>
      <c r="D193" s="27"/>
      <c r="E193" s="117"/>
      <c r="F193" s="118"/>
      <c r="G193" s="119"/>
      <c r="H193" s="119"/>
      <c r="I193" s="133"/>
      <c r="J193" s="80"/>
      <c r="K193" s="134"/>
      <c r="L193" s="138"/>
      <c r="M193" s="139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</row>
    <row r="194" spans="1:30" ht="15.75" customHeight="1">
      <c r="A194" s="59"/>
      <c r="B194" s="115"/>
      <c r="C194" s="116"/>
      <c r="D194" s="27"/>
      <c r="E194" s="117"/>
      <c r="F194" s="118"/>
      <c r="G194" s="119"/>
      <c r="H194" s="119"/>
      <c r="I194" s="133"/>
      <c r="J194" s="80"/>
      <c r="K194" s="134"/>
      <c r="L194" s="137"/>
      <c r="M194" s="139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</row>
    <row r="195" spans="1:30" ht="15.75" customHeight="1">
      <c r="A195" s="59"/>
      <c r="B195" s="115"/>
      <c r="C195" s="116"/>
      <c r="D195" s="27"/>
      <c r="E195" s="117"/>
      <c r="F195" s="118"/>
      <c r="G195" s="119"/>
      <c r="H195" s="119"/>
      <c r="I195" s="133"/>
      <c r="J195" s="80"/>
      <c r="K195" s="134"/>
      <c r="L195" s="138"/>
      <c r="M195" s="135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</row>
    <row r="196" spans="1:30" ht="15.75" customHeight="1">
      <c r="A196" s="59"/>
      <c r="B196" s="115"/>
      <c r="C196" s="116"/>
      <c r="D196" s="27"/>
      <c r="E196" s="117"/>
      <c r="F196" s="118"/>
      <c r="G196" s="119"/>
      <c r="H196" s="119"/>
      <c r="I196" s="133"/>
      <c r="J196" s="80"/>
      <c r="K196" s="134"/>
      <c r="L196" s="138"/>
      <c r="M196" s="135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</row>
    <row r="197" spans="1:30" ht="15.75" customHeight="1">
      <c r="A197" s="59"/>
      <c r="B197" s="115"/>
      <c r="C197" s="116"/>
      <c r="D197" s="27"/>
      <c r="E197" s="117"/>
      <c r="F197" s="118"/>
      <c r="G197" s="119"/>
      <c r="H197" s="119"/>
      <c r="I197" s="133"/>
      <c r="J197" s="80"/>
      <c r="K197" s="134"/>
      <c r="L197" s="138"/>
      <c r="M197" s="135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</row>
    <row r="198" spans="1:30" ht="15.75" customHeight="1">
      <c r="A198" s="59"/>
      <c r="B198" s="115"/>
      <c r="C198" s="116"/>
      <c r="D198" s="27"/>
      <c r="E198" s="117"/>
      <c r="F198" s="118"/>
      <c r="G198" s="119"/>
      <c r="H198" s="119"/>
      <c r="I198" s="133"/>
      <c r="J198" s="80"/>
      <c r="K198" s="134"/>
      <c r="L198" s="138"/>
      <c r="M198" s="135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</row>
    <row r="199" spans="1:30" ht="15.75" customHeight="1">
      <c r="A199" s="59"/>
      <c r="B199" s="115"/>
      <c r="C199" s="116"/>
      <c r="D199" s="27"/>
      <c r="E199" s="117"/>
      <c r="F199" s="118"/>
      <c r="G199" s="119"/>
      <c r="H199" s="119"/>
      <c r="I199" s="133"/>
      <c r="J199" s="80"/>
      <c r="K199" s="134"/>
      <c r="L199" s="138"/>
      <c r="M199" s="135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</row>
    <row r="200" spans="1:30" ht="15.75" customHeight="1">
      <c r="A200" s="59"/>
      <c r="B200" s="115"/>
      <c r="C200" s="116"/>
      <c r="D200" s="27"/>
      <c r="E200" s="117"/>
      <c r="F200" s="118"/>
      <c r="G200" s="119"/>
      <c r="H200" s="119"/>
      <c r="I200" s="133"/>
      <c r="J200" s="80"/>
      <c r="K200" s="134"/>
      <c r="L200" s="138"/>
      <c r="M200" s="135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</row>
    <row r="201" spans="1:30" ht="15.75" customHeight="1">
      <c r="A201" s="59"/>
      <c r="B201" s="115"/>
      <c r="C201" s="116"/>
      <c r="D201" s="27"/>
      <c r="E201" s="117"/>
      <c r="F201" s="118"/>
      <c r="G201" s="119"/>
      <c r="H201" s="119"/>
      <c r="I201" s="133"/>
      <c r="J201" s="80"/>
      <c r="K201" s="134"/>
      <c r="L201" s="138"/>
      <c r="M201" s="135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</row>
    <row r="202" spans="1:30" ht="15.75" customHeight="1">
      <c r="A202" s="59"/>
      <c r="B202" s="115"/>
      <c r="C202" s="116"/>
      <c r="D202" s="27"/>
      <c r="E202" s="117"/>
      <c r="F202" s="118"/>
      <c r="G202" s="119"/>
      <c r="H202" s="119"/>
      <c r="I202" s="133"/>
      <c r="J202" s="80"/>
      <c r="K202" s="134"/>
      <c r="L202" s="138"/>
      <c r="M202" s="135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</row>
    <row r="203" spans="1:30" ht="15.75" customHeight="1">
      <c r="A203" s="59"/>
      <c r="B203" s="115"/>
      <c r="C203" s="116"/>
      <c r="D203" s="27"/>
      <c r="E203" s="117"/>
      <c r="F203" s="118"/>
      <c r="G203" s="119"/>
      <c r="H203" s="119"/>
      <c r="I203" s="133"/>
      <c r="J203" s="80"/>
      <c r="K203" s="134"/>
      <c r="L203" s="138"/>
      <c r="M203" s="135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</row>
    <row r="204" spans="1:30" ht="15.75" customHeight="1">
      <c r="A204" s="59"/>
      <c r="B204" s="115"/>
      <c r="C204" s="116"/>
      <c r="D204" s="27"/>
      <c r="E204" s="117"/>
      <c r="F204" s="118"/>
      <c r="G204" s="119"/>
      <c r="H204" s="119"/>
      <c r="I204" s="133"/>
      <c r="J204" s="80"/>
      <c r="K204" s="134"/>
      <c r="L204" s="138"/>
      <c r="M204" s="135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</row>
    <row r="205" spans="1:30" ht="15.75" customHeight="1">
      <c r="A205" s="59"/>
      <c r="B205" s="115"/>
      <c r="C205" s="116"/>
      <c r="D205" s="27"/>
      <c r="E205" s="117"/>
      <c r="F205" s="118"/>
      <c r="G205" s="119"/>
      <c r="H205" s="119"/>
      <c r="I205" s="133"/>
      <c r="J205" s="80"/>
      <c r="K205" s="134"/>
      <c r="L205" s="138"/>
      <c r="M205" s="135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</row>
    <row r="206" spans="1:30" ht="15.75" customHeight="1">
      <c r="A206" s="1146"/>
      <c r="B206" s="1147"/>
      <c r="C206" s="1147"/>
      <c r="D206" s="1147"/>
      <c r="E206" s="1147"/>
      <c r="F206" s="1147"/>
      <c r="G206" s="1147"/>
      <c r="H206" s="1147"/>
      <c r="I206" s="1147"/>
      <c r="J206" s="1147"/>
      <c r="K206" s="1148"/>
      <c r="L206" s="138"/>
      <c r="M206" s="135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</row>
    <row r="207" spans="1:30" ht="15.75" customHeight="1">
      <c r="A207" s="59"/>
      <c r="B207" s="115"/>
      <c r="C207" s="116"/>
      <c r="D207" s="27"/>
      <c r="E207" s="117"/>
      <c r="F207" s="118"/>
      <c r="G207" s="119"/>
      <c r="H207" s="119"/>
      <c r="I207" s="133"/>
      <c r="J207" s="80"/>
      <c r="K207" s="134"/>
      <c r="L207" s="138"/>
      <c r="M207" s="135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</row>
    <row r="208" spans="1:30" ht="15.75" customHeight="1">
      <c r="A208" s="59"/>
      <c r="B208" s="115"/>
      <c r="C208" s="116"/>
      <c r="D208" s="27"/>
      <c r="E208" s="117"/>
      <c r="F208" s="118"/>
      <c r="G208" s="119"/>
      <c r="H208" s="119"/>
      <c r="I208" s="133"/>
      <c r="J208" s="80"/>
      <c r="K208" s="134"/>
      <c r="L208" s="137"/>
      <c r="M208" s="139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</row>
    <row r="209" spans="1:30" ht="15.75" customHeight="1">
      <c r="A209" s="59"/>
      <c r="B209" s="115"/>
      <c r="C209" s="116"/>
      <c r="D209" s="27"/>
      <c r="E209" s="117"/>
      <c r="F209" s="118"/>
      <c r="G209" s="119"/>
      <c r="H209" s="119"/>
      <c r="I209" s="133"/>
      <c r="J209" s="80"/>
      <c r="K209" s="134"/>
      <c r="L209" s="138"/>
      <c r="M209" s="139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</row>
    <row r="210" spans="1:30" ht="15.75" customHeight="1">
      <c r="A210" s="59"/>
      <c r="B210" s="115"/>
      <c r="C210" s="116"/>
      <c r="D210" s="27"/>
      <c r="E210" s="117"/>
      <c r="F210" s="118"/>
      <c r="G210" s="119"/>
      <c r="H210" s="119"/>
      <c r="I210" s="133"/>
      <c r="J210" s="80"/>
      <c r="K210" s="134"/>
      <c r="L210" s="138"/>
      <c r="M210" s="140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</row>
    <row r="211" spans="1:30" ht="15.75" customHeight="1">
      <c r="A211" s="59"/>
      <c r="B211" s="115"/>
      <c r="C211" s="116"/>
      <c r="D211" s="27"/>
      <c r="E211" s="117"/>
      <c r="F211" s="118"/>
      <c r="G211" s="119"/>
      <c r="H211" s="119"/>
      <c r="I211" s="133"/>
      <c r="J211" s="80"/>
      <c r="K211" s="134"/>
      <c r="L211" s="138"/>
      <c r="M211" s="140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</row>
    <row r="212" spans="1:30" ht="15.75" customHeight="1">
      <c r="A212" s="59"/>
      <c r="B212" s="115"/>
      <c r="C212" s="116"/>
      <c r="D212" s="27"/>
      <c r="E212" s="117"/>
      <c r="F212" s="118"/>
      <c r="G212" s="119"/>
      <c r="H212" s="119"/>
      <c r="I212" s="133"/>
      <c r="J212" s="80"/>
      <c r="K212" s="134"/>
      <c r="L212" s="138"/>
      <c r="M212" s="140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</row>
    <row r="213" spans="1:30" ht="15.75" customHeight="1">
      <c r="A213" s="59"/>
      <c r="B213" s="115"/>
      <c r="C213" s="116"/>
      <c r="D213" s="27"/>
      <c r="E213" s="117"/>
      <c r="F213" s="118"/>
      <c r="G213" s="119"/>
      <c r="H213" s="119"/>
      <c r="I213" s="133"/>
      <c r="J213" s="80"/>
      <c r="K213" s="134"/>
      <c r="L213" s="138"/>
      <c r="M213" s="140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</row>
    <row r="214" spans="1:30" ht="15.75" customHeight="1">
      <c r="A214" s="59"/>
      <c r="B214" s="115"/>
      <c r="C214" s="116"/>
      <c r="D214" s="27"/>
      <c r="E214" s="117"/>
      <c r="F214" s="118"/>
      <c r="G214" s="119"/>
      <c r="H214" s="119"/>
      <c r="I214" s="133"/>
      <c r="J214" s="80"/>
      <c r="K214" s="134"/>
      <c r="L214" s="138"/>
      <c r="M214" s="140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</row>
    <row r="215" spans="1:30" ht="15.75" customHeight="1">
      <c r="A215" s="59"/>
      <c r="B215" s="115"/>
      <c r="C215" s="116"/>
      <c r="D215" s="27"/>
      <c r="E215" s="117"/>
      <c r="F215" s="118"/>
      <c r="G215" s="119"/>
      <c r="H215" s="119"/>
      <c r="I215" s="133"/>
      <c r="J215" s="80"/>
      <c r="K215" s="134"/>
      <c r="L215" s="138"/>
      <c r="M215" s="140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</row>
    <row r="216" spans="1:30" ht="15.75" customHeight="1">
      <c r="A216" s="59"/>
      <c r="B216" s="115"/>
      <c r="C216" s="116"/>
      <c r="D216" s="27"/>
      <c r="E216" s="117"/>
      <c r="F216" s="118"/>
      <c r="G216" s="119"/>
      <c r="H216" s="119"/>
      <c r="I216" s="133"/>
      <c r="J216" s="80"/>
      <c r="K216" s="134"/>
      <c r="L216" s="138"/>
      <c r="M216" s="140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</row>
    <row r="217" spans="1:30" ht="15.75" customHeight="1">
      <c r="A217" s="59"/>
      <c r="B217" s="115"/>
      <c r="C217" s="116"/>
      <c r="D217" s="27"/>
      <c r="E217" s="117"/>
      <c r="F217" s="118"/>
      <c r="G217" s="119"/>
      <c r="H217" s="119"/>
      <c r="I217" s="133"/>
      <c r="J217" s="80"/>
      <c r="K217" s="134"/>
      <c r="L217" s="138"/>
      <c r="M217" s="140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</row>
    <row r="218" spans="1:30" ht="15.75" customHeight="1">
      <c r="A218" s="59"/>
      <c r="B218" s="115"/>
      <c r="C218" s="116"/>
      <c r="D218" s="27"/>
      <c r="E218" s="117"/>
      <c r="F218" s="118"/>
      <c r="G218" s="119"/>
      <c r="H218" s="119"/>
      <c r="I218" s="133"/>
      <c r="J218" s="80"/>
      <c r="K218" s="134"/>
      <c r="L218" s="138"/>
      <c r="M218" s="140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</row>
    <row r="219" spans="1:30" ht="15.75" customHeight="1">
      <c r="A219" s="59"/>
      <c r="B219" s="115"/>
      <c r="C219" s="116"/>
      <c r="D219" s="27"/>
      <c r="E219" s="117"/>
      <c r="F219" s="118"/>
      <c r="G219" s="119"/>
      <c r="H219" s="119"/>
      <c r="I219" s="133"/>
      <c r="J219" s="80"/>
      <c r="K219" s="134"/>
      <c r="L219" s="138"/>
      <c r="M219" s="140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</row>
    <row r="220" spans="1:30" ht="15.75" customHeight="1">
      <c r="A220" s="59"/>
      <c r="B220" s="115"/>
      <c r="C220" s="116"/>
      <c r="D220" s="27"/>
      <c r="E220" s="117"/>
      <c r="F220" s="118"/>
      <c r="G220" s="119"/>
      <c r="H220" s="119"/>
      <c r="I220" s="133"/>
      <c r="J220" s="80"/>
      <c r="K220" s="134"/>
      <c r="L220" s="138"/>
      <c r="M220" s="140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</row>
    <row r="221" spans="1:30" ht="15.75" customHeight="1">
      <c r="A221" s="59"/>
      <c r="B221" s="115"/>
      <c r="C221" s="116"/>
      <c r="D221" s="27"/>
      <c r="E221" s="117"/>
      <c r="F221" s="118"/>
      <c r="G221" s="119"/>
      <c r="H221" s="119"/>
      <c r="I221" s="133"/>
      <c r="J221" s="80"/>
      <c r="K221" s="134"/>
      <c r="L221" s="138"/>
      <c r="M221" s="140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</row>
    <row r="222" spans="1:30" ht="15.75" customHeight="1">
      <c r="A222" s="59"/>
      <c r="B222" s="115"/>
      <c r="C222" s="116"/>
      <c r="D222" s="27"/>
      <c r="E222" s="117"/>
      <c r="F222" s="118"/>
      <c r="G222" s="119"/>
      <c r="H222" s="119"/>
      <c r="I222" s="133"/>
      <c r="J222" s="80"/>
      <c r="K222" s="134"/>
      <c r="L222" s="138"/>
      <c r="M222" s="135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</row>
    <row r="223" spans="1:30" ht="15.75" customHeight="1">
      <c r="A223" s="59"/>
      <c r="B223" s="115"/>
      <c r="C223" s="116"/>
      <c r="D223" s="27"/>
      <c r="E223" s="117"/>
      <c r="F223" s="118"/>
      <c r="G223" s="119"/>
      <c r="H223" s="119"/>
      <c r="I223" s="133"/>
      <c r="J223" s="80"/>
      <c r="K223" s="134"/>
      <c r="L223" s="138"/>
      <c r="M223" s="135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</row>
    <row r="224" spans="1:30" ht="15.75" customHeight="1">
      <c r="A224" s="59"/>
      <c r="B224" s="115"/>
      <c r="C224" s="116"/>
      <c r="D224" s="27"/>
      <c r="E224" s="117"/>
      <c r="F224" s="118"/>
      <c r="G224" s="119"/>
      <c r="H224" s="119"/>
      <c r="I224" s="133"/>
      <c r="J224" s="80"/>
      <c r="K224" s="134"/>
      <c r="L224" s="138"/>
      <c r="M224" s="135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</row>
    <row r="225" spans="1:30" ht="15.75" customHeight="1">
      <c r="A225" s="59"/>
      <c r="B225" s="115"/>
      <c r="C225" s="116"/>
      <c r="D225" s="27"/>
      <c r="E225" s="117"/>
      <c r="F225" s="118"/>
      <c r="G225" s="119"/>
      <c r="H225" s="119"/>
      <c r="I225" s="133"/>
      <c r="J225" s="80"/>
      <c r="K225" s="134"/>
      <c r="L225" s="138"/>
      <c r="M225" s="135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</row>
    <row r="226" spans="1:30" ht="15.75" customHeight="1">
      <c r="A226" s="59"/>
      <c r="B226" s="115"/>
      <c r="C226" s="116"/>
      <c r="D226" s="27"/>
      <c r="E226" s="117"/>
      <c r="F226" s="118"/>
      <c r="G226" s="119"/>
      <c r="H226" s="119"/>
      <c r="I226" s="133"/>
      <c r="J226" s="80"/>
      <c r="K226" s="134"/>
      <c r="L226" s="138"/>
      <c r="M226" s="135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</row>
    <row r="227" spans="1:30" ht="15.75" customHeight="1">
      <c r="A227" s="59"/>
      <c r="B227" s="115"/>
      <c r="C227" s="116"/>
      <c r="D227" s="27"/>
      <c r="E227" s="117"/>
      <c r="F227" s="118"/>
      <c r="G227" s="119"/>
      <c r="H227" s="119"/>
      <c r="I227" s="133"/>
      <c r="J227" s="80"/>
      <c r="K227" s="134"/>
      <c r="L227" s="138"/>
      <c r="M227" s="135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</row>
    <row r="228" spans="1:30" ht="15.75" customHeight="1">
      <c r="A228" s="59"/>
      <c r="B228" s="115"/>
      <c r="C228" s="116"/>
      <c r="D228" s="27"/>
      <c r="E228" s="117"/>
      <c r="F228" s="118"/>
      <c r="G228" s="119"/>
      <c r="H228" s="119"/>
      <c r="I228" s="133"/>
      <c r="J228" s="80"/>
      <c r="K228" s="134"/>
      <c r="L228" s="138"/>
      <c r="M228" s="135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</row>
    <row r="229" spans="1:30" ht="15.75" customHeight="1">
      <c r="A229" s="59"/>
      <c r="B229" s="115"/>
      <c r="C229" s="116"/>
      <c r="D229" s="27"/>
      <c r="E229" s="117"/>
      <c r="F229" s="118"/>
      <c r="G229" s="119"/>
      <c r="H229" s="119"/>
      <c r="I229" s="133"/>
      <c r="J229" s="80"/>
      <c r="K229" s="134"/>
      <c r="L229" s="138"/>
      <c r="M229" s="135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</row>
    <row r="230" spans="1:30" ht="15.75" customHeight="1">
      <c r="A230" s="59"/>
      <c r="B230" s="115"/>
      <c r="C230" s="116"/>
      <c r="D230" s="27"/>
      <c r="E230" s="117"/>
      <c r="F230" s="118"/>
      <c r="G230" s="119"/>
      <c r="H230" s="119"/>
      <c r="I230" s="133"/>
      <c r="J230" s="80"/>
      <c r="K230" s="134"/>
      <c r="L230" s="138"/>
      <c r="M230" s="135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</row>
    <row r="231" spans="1:30" ht="15.75" customHeight="1">
      <c r="A231" s="59"/>
      <c r="B231" s="115"/>
      <c r="C231" s="116"/>
      <c r="D231" s="27"/>
      <c r="E231" s="117"/>
      <c r="F231" s="118"/>
      <c r="G231" s="119"/>
      <c r="H231" s="119"/>
      <c r="I231" s="133"/>
      <c r="J231" s="80"/>
      <c r="K231" s="134"/>
      <c r="L231" s="138"/>
      <c r="M231" s="135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</row>
    <row r="232" spans="1:30" ht="15.75" customHeight="1">
      <c r="A232" s="59"/>
      <c r="B232" s="115"/>
      <c r="C232" s="116"/>
      <c r="D232" s="27"/>
      <c r="E232" s="117"/>
      <c r="F232" s="118"/>
      <c r="G232" s="119"/>
      <c r="H232" s="119"/>
      <c r="I232" s="133"/>
      <c r="J232" s="80"/>
      <c r="K232" s="134"/>
      <c r="L232" s="137"/>
      <c r="M232" s="135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</row>
    <row r="233" spans="1:30" ht="15.75" customHeight="1">
      <c r="A233" s="59"/>
      <c r="B233" s="115"/>
      <c r="C233" s="116"/>
      <c r="D233" s="27"/>
      <c r="E233" s="117"/>
      <c r="F233" s="118"/>
      <c r="G233" s="119"/>
      <c r="H233" s="119"/>
      <c r="I233" s="133"/>
      <c r="J233" s="80"/>
      <c r="K233" s="134"/>
      <c r="L233" s="138"/>
      <c r="M233" s="135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</row>
    <row r="234" spans="1:30" ht="15.75" customHeight="1">
      <c r="A234" s="59"/>
      <c r="B234" s="115"/>
      <c r="C234" s="116"/>
      <c r="D234" s="27"/>
      <c r="E234" s="117"/>
      <c r="F234" s="118"/>
      <c r="G234" s="119"/>
      <c r="H234" s="119"/>
      <c r="I234" s="133"/>
      <c r="J234" s="80"/>
      <c r="K234" s="134"/>
      <c r="L234" s="138"/>
      <c r="M234" s="135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</row>
    <row r="235" spans="1:30" ht="15.75" customHeight="1">
      <c r="A235" s="59"/>
      <c r="B235" s="115"/>
      <c r="C235" s="116"/>
      <c r="D235" s="27"/>
      <c r="E235" s="117"/>
      <c r="F235" s="118"/>
      <c r="G235" s="119"/>
      <c r="H235" s="119"/>
      <c r="I235" s="133"/>
      <c r="J235" s="80"/>
      <c r="K235" s="134"/>
      <c r="L235" s="138"/>
      <c r="M235" s="135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</row>
    <row r="236" spans="1:30" ht="15.75" customHeight="1">
      <c r="A236" s="59"/>
      <c r="B236" s="115"/>
      <c r="C236" s="116"/>
      <c r="D236" s="27"/>
      <c r="E236" s="117"/>
      <c r="F236" s="118"/>
      <c r="G236" s="119"/>
      <c r="H236" s="119"/>
      <c r="I236" s="133"/>
      <c r="J236" s="80"/>
      <c r="K236" s="134"/>
      <c r="L236" s="138"/>
      <c r="M236" s="135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</row>
    <row r="237" spans="1:30" ht="15.75" customHeight="1">
      <c r="A237" s="59"/>
      <c r="B237" s="115"/>
      <c r="C237" s="116"/>
      <c r="D237" s="27"/>
      <c r="E237" s="117"/>
      <c r="F237" s="118"/>
      <c r="G237" s="119"/>
      <c r="H237" s="119"/>
      <c r="I237" s="133"/>
      <c r="J237" s="80"/>
      <c r="K237" s="134"/>
      <c r="L237" s="138"/>
      <c r="M237" s="139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</row>
    <row r="238" spans="1:30" ht="15.75" customHeight="1">
      <c r="A238" s="59"/>
      <c r="B238" s="115"/>
      <c r="C238" s="116"/>
      <c r="D238" s="27"/>
      <c r="E238" s="117"/>
      <c r="F238" s="118"/>
      <c r="G238" s="119"/>
      <c r="H238" s="119"/>
      <c r="I238" s="133"/>
      <c r="J238" s="80"/>
      <c r="K238" s="134"/>
      <c r="L238" s="138"/>
      <c r="M238" s="136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</row>
    <row r="239" spans="1:30" ht="15.75" customHeight="1">
      <c r="A239" s="59"/>
      <c r="B239" s="115"/>
      <c r="C239" s="59"/>
      <c r="D239" s="27"/>
      <c r="E239" s="117"/>
      <c r="F239" s="118"/>
      <c r="G239" s="119"/>
      <c r="H239" s="119"/>
      <c r="I239" s="59"/>
      <c r="J239" s="80"/>
      <c r="K239" s="134"/>
      <c r="L239" s="138"/>
      <c r="M239" s="136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</row>
    <row r="240" spans="1:30" ht="15.75" customHeight="1">
      <c r="A240" s="59"/>
      <c r="B240" s="115"/>
      <c r="C240" s="116"/>
      <c r="D240" s="27"/>
      <c r="E240" s="117"/>
      <c r="F240" s="118"/>
      <c r="G240" s="119"/>
      <c r="H240" s="119"/>
      <c r="I240" s="133"/>
      <c r="J240" s="80"/>
      <c r="K240" s="134"/>
      <c r="L240" s="138"/>
      <c r="M240" s="136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</row>
    <row r="241" spans="1:30" ht="15.75" customHeight="1">
      <c r="A241" s="59"/>
      <c r="B241" s="115"/>
      <c r="C241" s="116"/>
      <c r="D241" s="27"/>
      <c r="E241" s="117"/>
      <c r="F241" s="118"/>
      <c r="G241" s="119"/>
      <c r="H241" s="119"/>
      <c r="I241" s="133"/>
      <c r="J241" s="80"/>
      <c r="K241" s="134"/>
      <c r="L241" s="138"/>
      <c r="M241" s="136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</row>
    <row r="242" spans="1:30" ht="15.75" customHeight="1">
      <c r="A242" s="59"/>
      <c r="B242" s="115"/>
      <c r="C242" s="116"/>
      <c r="D242" s="27"/>
      <c r="E242" s="117"/>
      <c r="F242" s="118"/>
      <c r="G242" s="119"/>
      <c r="H242" s="119"/>
      <c r="I242" s="133"/>
      <c r="J242" s="80"/>
      <c r="K242" s="134"/>
      <c r="L242" s="138"/>
      <c r="M242" s="136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</row>
    <row r="243" spans="1:30" ht="15.75" customHeight="1">
      <c r="A243" s="1146"/>
      <c r="B243" s="1147"/>
      <c r="C243" s="1147"/>
      <c r="D243" s="1147"/>
      <c r="E243" s="1147"/>
      <c r="F243" s="1147"/>
      <c r="G243" s="1147"/>
      <c r="H243" s="1147"/>
      <c r="I243" s="1147"/>
      <c r="J243" s="1147"/>
      <c r="K243" s="1148"/>
      <c r="L243" s="138"/>
      <c r="M243" s="136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</row>
    <row r="244" spans="1:30" ht="15.75" customHeight="1">
      <c r="A244" s="59"/>
      <c r="B244" s="115"/>
      <c r="C244" s="116"/>
      <c r="D244" s="27"/>
      <c r="E244" s="117"/>
      <c r="F244" s="118"/>
      <c r="G244" s="119"/>
      <c r="H244" s="119"/>
      <c r="I244" s="133"/>
      <c r="J244" s="80"/>
      <c r="K244" s="134"/>
      <c r="L244" s="138"/>
      <c r="M244" s="145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</row>
    <row r="245" spans="1:30" ht="15.75" customHeight="1">
      <c r="A245" s="59"/>
      <c r="B245" s="115"/>
      <c r="C245" s="116"/>
      <c r="D245" s="27"/>
      <c r="E245" s="117"/>
      <c r="F245" s="118"/>
      <c r="G245" s="119"/>
      <c r="H245" s="119"/>
      <c r="I245" s="133"/>
      <c r="J245" s="80"/>
      <c r="K245" s="134"/>
      <c r="L245" s="138"/>
      <c r="M245" s="136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</row>
    <row r="246" spans="1:30" ht="15.75" customHeight="1">
      <c r="A246" s="59"/>
      <c r="B246" s="115"/>
      <c r="C246" s="116"/>
      <c r="D246" s="27"/>
      <c r="E246" s="117"/>
      <c r="F246" s="118"/>
      <c r="G246" s="119"/>
      <c r="H246" s="119"/>
      <c r="I246" s="133"/>
      <c r="J246" s="80"/>
      <c r="K246" s="134"/>
      <c r="L246" s="138"/>
      <c r="M246" s="136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</row>
    <row r="247" spans="1:30" ht="15.75" customHeight="1">
      <c r="A247" s="59"/>
      <c r="B247" s="115"/>
      <c r="C247" s="116"/>
      <c r="D247" s="27"/>
      <c r="E247" s="117"/>
      <c r="F247" s="118"/>
      <c r="G247" s="119"/>
      <c r="H247" s="119"/>
      <c r="I247" s="133"/>
      <c r="J247" s="80"/>
      <c r="K247" s="134"/>
      <c r="L247" s="138"/>
      <c r="M247" s="136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</row>
    <row r="248" spans="1:30" ht="15.75" customHeight="1">
      <c r="A248" s="59"/>
      <c r="B248" s="115"/>
      <c r="C248" s="116"/>
      <c r="D248" s="27"/>
      <c r="E248" s="117"/>
      <c r="F248" s="118"/>
      <c r="G248" s="119"/>
      <c r="H248" s="119"/>
      <c r="I248" s="133"/>
      <c r="J248" s="80"/>
      <c r="K248" s="134"/>
      <c r="L248" s="138"/>
      <c r="M248" s="136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</row>
    <row r="249" spans="1:30" ht="15.75" customHeight="1">
      <c r="A249" s="1146"/>
      <c r="B249" s="1147"/>
      <c r="C249" s="1147"/>
      <c r="D249" s="1147"/>
      <c r="E249" s="1147"/>
      <c r="F249" s="1147"/>
      <c r="G249" s="1147"/>
      <c r="H249" s="1147"/>
      <c r="I249" s="1147"/>
      <c r="J249" s="1147"/>
      <c r="K249" s="1148"/>
      <c r="L249" s="138"/>
      <c r="M249" s="136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</row>
    <row r="250" spans="1:30" ht="15.75" customHeight="1">
      <c r="A250" s="59"/>
      <c r="B250" s="115"/>
      <c r="C250" s="116"/>
      <c r="D250" s="27"/>
      <c r="E250" s="117"/>
      <c r="F250" s="118"/>
      <c r="G250" s="119"/>
      <c r="H250" s="119"/>
      <c r="I250" s="133"/>
      <c r="J250" s="80"/>
      <c r="K250" s="134"/>
      <c r="L250" s="138"/>
      <c r="M250" s="136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</row>
    <row r="251" spans="1:30" ht="15.75" customHeight="1">
      <c r="A251" s="59"/>
      <c r="B251" s="115"/>
      <c r="C251" s="116"/>
      <c r="D251" s="27"/>
      <c r="E251" s="117"/>
      <c r="F251" s="118"/>
      <c r="G251" s="119"/>
      <c r="H251" s="119"/>
      <c r="I251" s="133"/>
      <c r="J251" s="80"/>
      <c r="K251" s="134"/>
      <c r="L251" s="138"/>
      <c r="M251" s="136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</row>
    <row r="252" spans="1:30" ht="15.75" customHeight="1">
      <c r="A252" s="59"/>
      <c r="B252" s="115"/>
      <c r="C252" s="116"/>
      <c r="D252" s="27"/>
      <c r="E252" s="117"/>
      <c r="F252" s="118"/>
      <c r="G252" s="119"/>
      <c r="H252" s="119"/>
      <c r="I252" s="133"/>
      <c r="J252" s="80"/>
      <c r="K252" s="134"/>
      <c r="L252" s="138"/>
      <c r="M252" s="136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</row>
    <row r="253" spans="1:30" ht="15.75" customHeight="1">
      <c r="A253" s="59"/>
      <c r="B253" s="115"/>
      <c r="C253" s="116"/>
      <c r="D253" s="27"/>
      <c r="E253" s="117"/>
      <c r="F253" s="118"/>
      <c r="G253" s="119"/>
      <c r="H253" s="119"/>
      <c r="I253" s="133"/>
      <c r="J253" s="80"/>
      <c r="K253" s="134"/>
      <c r="L253" s="138"/>
      <c r="M253" s="136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</row>
    <row r="254" spans="1:30" ht="15.75" customHeight="1">
      <c r="A254" s="59"/>
      <c r="B254" s="115"/>
      <c r="C254" s="116"/>
      <c r="D254" s="27"/>
      <c r="E254" s="117"/>
      <c r="F254" s="118"/>
      <c r="G254" s="119"/>
      <c r="H254" s="119"/>
      <c r="I254" s="133"/>
      <c r="J254" s="80"/>
      <c r="K254" s="134"/>
      <c r="L254" s="138"/>
      <c r="M254" s="136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</row>
    <row r="255" spans="1:30" ht="15.75" customHeight="1">
      <c r="A255" s="59"/>
      <c r="B255" s="115"/>
      <c r="C255" s="116"/>
      <c r="D255" s="27"/>
      <c r="E255" s="117"/>
      <c r="F255" s="118"/>
      <c r="G255" s="119"/>
      <c r="H255" s="119"/>
      <c r="I255" s="133"/>
      <c r="J255" s="80"/>
      <c r="K255" s="134"/>
      <c r="L255" s="138"/>
      <c r="M255" s="136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</row>
    <row r="256" spans="1:30" ht="15.75" customHeight="1">
      <c r="A256" s="59"/>
      <c r="B256" s="115"/>
      <c r="C256" s="116"/>
      <c r="D256" s="27"/>
      <c r="E256" s="117"/>
      <c r="F256" s="118"/>
      <c r="G256" s="119"/>
      <c r="H256" s="119"/>
      <c r="I256" s="133"/>
      <c r="J256" s="80"/>
      <c r="K256" s="134"/>
      <c r="L256" s="138"/>
      <c r="M256" s="13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</row>
    <row r="257" spans="1:30" ht="15.75" customHeight="1">
      <c r="A257" s="59"/>
      <c r="B257" s="115"/>
      <c r="C257" s="116"/>
      <c r="D257" s="27"/>
      <c r="E257" s="117"/>
      <c r="F257" s="118"/>
      <c r="G257" s="119"/>
      <c r="H257" s="119"/>
      <c r="I257" s="133"/>
      <c r="J257" s="80"/>
      <c r="K257" s="134"/>
      <c r="L257" s="138"/>
      <c r="M257" s="136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</row>
    <row r="258" spans="1:30" ht="15.75" customHeight="1">
      <c r="A258" s="59"/>
      <c r="B258" s="115"/>
      <c r="C258" s="116"/>
      <c r="D258" s="27"/>
      <c r="E258" s="117"/>
      <c r="F258" s="118"/>
      <c r="G258" s="119"/>
      <c r="H258" s="119"/>
      <c r="I258" s="65"/>
      <c r="J258" s="80"/>
      <c r="K258" s="134"/>
      <c r="L258" s="138"/>
      <c r="M258" s="136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</row>
    <row r="259" spans="1:30" ht="15.75" customHeight="1">
      <c r="A259" s="59"/>
      <c r="B259" s="115"/>
      <c r="C259" s="116"/>
      <c r="D259" s="27"/>
      <c r="E259" s="117"/>
      <c r="F259" s="118"/>
      <c r="G259" s="119"/>
      <c r="H259" s="119"/>
      <c r="I259" s="133"/>
      <c r="J259" s="80"/>
      <c r="K259" s="134"/>
      <c r="L259" s="138"/>
      <c r="M259" s="136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</row>
    <row r="260" spans="1:30" ht="15.75" customHeight="1">
      <c r="A260" s="59"/>
      <c r="B260" s="115"/>
      <c r="C260" s="116"/>
      <c r="D260" s="27"/>
      <c r="E260" s="117"/>
      <c r="F260" s="118"/>
      <c r="G260" s="119"/>
      <c r="H260" s="119"/>
      <c r="I260" s="65"/>
      <c r="J260" s="80"/>
      <c r="K260" s="134"/>
      <c r="L260" s="138"/>
      <c r="M260" s="136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</row>
    <row r="261" spans="1:30" ht="15.75" customHeight="1">
      <c r="A261" s="59"/>
      <c r="B261" s="115"/>
      <c r="C261" s="116"/>
      <c r="D261" s="27"/>
      <c r="E261" s="117"/>
      <c r="F261" s="118"/>
      <c r="G261" s="119"/>
      <c r="H261" s="119"/>
      <c r="I261" s="65"/>
      <c r="J261" s="80"/>
      <c r="K261" s="134"/>
      <c r="L261" s="138"/>
      <c r="M261" s="136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</row>
    <row r="262" spans="1:30" ht="15.75" customHeight="1">
      <c r="A262" s="59"/>
      <c r="B262" s="115"/>
      <c r="C262" s="116"/>
      <c r="D262" s="27"/>
      <c r="E262" s="117"/>
      <c r="F262" s="118"/>
      <c r="G262" s="119"/>
      <c r="H262" s="119"/>
      <c r="I262" s="65"/>
      <c r="J262" s="80"/>
      <c r="K262" s="134"/>
      <c r="L262" s="138"/>
      <c r="M262" s="136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</row>
    <row r="263" spans="1:30" ht="15.75" customHeight="1">
      <c r="A263" s="59"/>
      <c r="B263" s="115"/>
      <c r="C263" s="116"/>
      <c r="D263" s="27"/>
      <c r="E263" s="117"/>
      <c r="F263" s="118"/>
      <c r="G263" s="119"/>
      <c r="H263" s="119"/>
      <c r="I263" s="133"/>
      <c r="J263" s="80"/>
      <c r="K263" s="134"/>
      <c r="L263" s="138"/>
      <c r="M263" s="136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</row>
    <row r="264" spans="1:30" ht="15.75" customHeight="1">
      <c r="A264" s="59"/>
      <c r="B264" s="115"/>
      <c r="C264" s="116"/>
      <c r="D264" s="27"/>
      <c r="E264" s="117"/>
      <c r="F264" s="118"/>
      <c r="G264" s="119"/>
      <c r="H264" s="119"/>
      <c r="I264" s="65"/>
      <c r="J264" s="80"/>
      <c r="K264" s="134"/>
      <c r="L264" s="138"/>
      <c r="M264" s="136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</row>
    <row r="265" spans="1:30" ht="15.75" customHeight="1">
      <c r="A265" s="59"/>
      <c r="B265" s="115"/>
      <c r="C265" s="116"/>
      <c r="D265" s="27"/>
      <c r="E265" s="117"/>
      <c r="F265" s="118"/>
      <c r="G265" s="119"/>
      <c r="H265" s="119"/>
      <c r="I265" s="65"/>
      <c r="J265" s="80"/>
      <c r="K265" s="134"/>
      <c r="L265" s="138"/>
      <c r="M265" s="136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</row>
    <row r="266" spans="1:30" ht="15.75" customHeight="1">
      <c r="A266" s="59"/>
      <c r="B266" s="115"/>
      <c r="C266" s="116"/>
      <c r="D266" s="27"/>
      <c r="E266" s="117"/>
      <c r="F266" s="118"/>
      <c r="G266" s="119"/>
      <c r="H266" s="119"/>
      <c r="I266" s="65"/>
      <c r="J266" s="80"/>
      <c r="K266" s="134"/>
      <c r="L266" s="138"/>
      <c r="M266" s="136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</row>
    <row r="267" spans="1:30" ht="15.75" customHeight="1">
      <c r="A267" s="59"/>
      <c r="B267" s="115"/>
      <c r="C267" s="116"/>
      <c r="D267" s="27"/>
      <c r="E267" s="117"/>
      <c r="F267" s="118"/>
      <c r="G267" s="119"/>
      <c r="H267" s="119"/>
      <c r="I267" s="133"/>
      <c r="J267" s="80"/>
      <c r="K267" s="134"/>
      <c r="L267" s="138"/>
      <c r="M267" s="136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</row>
    <row r="268" spans="1:30" ht="15.75" customHeight="1">
      <c r="A268" s="59"/>
      <c r="B268" s="115"/>
      <c r="C268" s="116"/>
      <c r="D268" s="27"/>
      <c r="E268" s="117"/>
      <c r="F268" s="118"/>
      <c r="G268" s="119"/>
      <c r="H268" s="119"/>
      <c r="I268" s="65"/>
      <c r="J268" s="80"/>
      <c r="K268" s="134"/>
      <c r="L268" s="138"/>
      <c r="M268" s="136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</row>
    <row r="269" spans="1:30" ht="15.75" customHeight="1">
      <c r="A269" s="59"/>
      <c r="B269" s="115"/>
      <c r="C269" s="116"/>
      <c r="D269" s="27"/>
      <c r="E269" s="117"/>
      <c r="F269" s="118"/>
      <c r="G269" s="119"/>
      <c r="H269" s="119"/>
      <c r="I269" s="65"/>
      <c r="J269" s="80"/>
      <c r="K269" s="134"/>
      <c r="L269" s="138"/>
      <c r="M269" s="136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</row>
    <row r="270" spans="1:30" ht="15.75" customHeight="1">
      <c r="A270" s="59"/>
      <c r="B270" s="115"/>
      <c r="C270" s="116"/>
      <c r="D270" s="27"/>
      <c r="E270" s="117"/>
      <c r="F270" s="118"/>
      <c r="G270" s="119"/>
      <c r="H270" s="119"/>
      <c r="I270" s="65"/>
      <c r="J270" s="80"/>
      <c r="K270" s="134"/>
      <c r="L270" s="138"/>
      <c r="M270" s="136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</row>
    <row r="271" spans="1:30" ht="15.75" customHeight="1">
      <c r="A271" s="59"/>
      <c r="B271" s="115"/>
      <c r="C271" s="116"/>
      <c r="D271" s="27"/>
      <c r="E271" s="117"/>
      <c r="F271" s="118"/>
      <c r="G271" s="119"/>
      <c r="H271" s="119"/>
      <c r="I271" s="133"/>
      <c r="J271" s="80"/>
      <c r="K271" s="134"/>
      <c r="L271" s="138"/>
      <c r="M271" s="136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</row>
    <row r="272" spans="1:30" ht="15.75" customHeight="1">
      <c r="A272" s="59"/>
      <c r="B272" s="115"/>
      <c r="C272" s="116"/>
      <c r="D272" s="27"/>
      <c r="E272" s="117"/>
      <c r="F272" s="118"/>
      <c r="G272" s="119"/>
      <c r="H272" s="119"/>
      <c r="I272" s="65"/>
      <c r="J272" s="80"/>
      <c r="K272" s="134"/>
      <c r="L272" s="138"/>
      <c r="M272" s="136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</row>
    <row r="273" spans="1:30" ht="15.75" customHeight="1">
      <c r="A273" s="59"/>
      <c r="B273" s="115"/>
      <c r="C273" s="116"/>
      <c r="D273" s="27"/>
      <c r="E273" s="117"/>
      <c r="F273" s="118"/>
      <c r="G273" s="119"/>
      <c r="H273" s="119"/>
      <c r="I273" s="65"/>
      <c r="J273" s="80"/>
      <c r="K273" s="134"/>
      <c r="L273" s="138"/>
      <c r="M273" s="136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</row>
    <row r="274" spans="1:30" ht="15.75" customHeight="1">
      <c r="A274" s="59"/>
      <c r="B274" s="115"/>
      <c r="C274" s="116"/>
      <c r="D274" s="27"/>
      <c r="E274" s="117"/>
      <c r="F274" s="118"/>
      <c r="G274" s="119"/>
      <c r="H274" s="119"/>
      <c r="I274" s="65"/>
      <c r="J274" s="80"/>
      <c r="K274" s="134"/>
      <c r="L274" s="138"/>
      <c r="M274" s="136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</row>
    <row r="275" spans="1:30" ht="15.75" customHeight="1">
      <c r="A275" s="59"/>
      <c r="B275" s="115"/>
      <c r="C275" s="116"/>
      <c r="D275" s="27"/>
      <c r="E275" s="117"/>
      <c r="F275" s="118"/>
      <c r="G275" s="119"/>
      <c r="H275" s="119"/>
      <c r="I275" s="133"/>
      <c r="J275" s="80"/>
      <c r="K275" s="134"/>
      <c r="L275" s="138"/>
      <c r="M275" s="136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</row>
    <row r="276" spans="1:30" ht="15.75" customHeight="1">
      <c r="A276" s="59"/>
      <c r="B276" s="115"/>
      <c r="C276" s="116"/>
      <c r="D276" s="27"/>
      <c r="E276" s="117"/>
      <c r="F276" s="118"/>
      <c r="G276" s="119"/>
      <c r="H276" s="119"/>
      <c r="I276" s="65"/>
      <c r="J276" s="80"/>
      <c r="K276" s="134"/>
      <c r="L276" s="138"/>
      <c r="M276" s="136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</row>
    <row r="277" spans="1:30" ht="15.75" customHeight="1">
      <c r="A277" s="59"/>
      <c r="B277" s="115"/>
      <c r="C277" s="116"/>
      <c r="D277" s="27"/>
      <c r="E277" s="117"/>
      <c r="F277" s="118"/>
      <c r="G277" s="119"/>
      <c r="H277" s="119"/>
      <c r="I277" s="65"/>
      <c r="J277" s="80"/>
      <c r="K277" s="134"/>
      <c r="L277" s="138"/>
      <c r="M277" s="136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</row>
    <row r="278" spans="1:30" ht="15.75" customHeight="1">
      <c r="A278" s="59"/>
      <c r="B278" s="115"/>
      <c r="C278" s="116"/>
      <c r="D278" s="27"/>
      <c r="E278" s="117"/>
      <c r="F278" s="118"/>
      <c r="G278" s="119"/>
      <c r="H278" s="119"/>
      <c r="I278" s="65"/>
      <c r="J278" s="80"/>
      <c r="K278" s="134"/>
      <c r="L278" s="138"/>
      <c r="M278" s="136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</row>
    <row r="279" spans="1:30" ht="15.75" customHeight="1">
      <c r="A279" s="59"/>
      <c r="B279" s="115"/>
      <c r="C279" s="116"/>
      <c r="D279" s="27"/>
      <c r="E279" s="117"/>
      <c r="F279" s="118"/>
      <c r="G279" s="119"/>
      <c r="H279" s="119"/>
      <c r="I279" s="65"/>
      <c r="J279" s="80"/>
      <c r="K279" s="134"/>
      <c r="L279" s="138"/>
      <c r="M279" s="136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</row>
    <row r="280" spans="1:30" ht="15.75" customHeight="1">
      <c r="A280" s="59"/>
      <c r="B280" s="115"/>
      <c r="C280" s="116"/>
      <c r="D280" s="27"/>
      <c r="E280" s="117"/>
      <c r="F280" s="118"/>
      <c r="G280" s="119"/>
      <c r="H280" s="119"/>
      <c r="I280" s="133"/>
      <c r="J280" s="80"/>
      <c r="K280" s="134"/>
      <c r="L280" s="138"/>
      <c r="M280" s="136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</row>
    <row r="281" spans="1:30" ht="15.75" customHeight="1">
      <c r="A281" s="59"/>
      <c r="B281" s="115"/>
      <c r="C281" s="116"/>
      <c r="D281" s="27"/>
      <c r="E281" s="117"/>
      <c r="F281" s="118"/>
      <c r="G281" s="119"/>
      <c r="H281" s="119"/>
      <c r="I281" s="65"/>
      <c r="J281" s="80"/>
      <c r="K281" s="134"/>
      <c r="L281" s="138"/>
      <c r="M281" s="136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</row>
    <row r="282" spans="1:30" ht="15.75" customHeight="1">
      <c r="A282" s="59"/>
      <c r="B282" s="115"/>
      <c r="C282" s="116"/>
      <c r="D282" s="27"/>
      <c r="E282" s="117"/>
      <c r="F282" s="118"/>
      <c r="G282" s="119"/>
      <c r="H282" s="119"/>
      <c r="I282" s="65"/>
      <c r="J282" s="80"/>
      <c r="K282" s="134"/>
      <c r="L282" s="138"/>
      <c r="M282" s="136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</row>
    <row r="283" spans="1:30" ht="15.75" customHeight="1">
      <c r="A283" s="59"/>
      <c r="B283" s="115"/>
      <c r="C283" s="116"/>
      <c r="D283" s="27"/>
      <c r="E283" s="117"/>
      <c r="F283" s="118"/>
      <c r="G283" s="119"/>
      <c r="H283" s="119"/>
      <c r="I283" s="65"/>
      <c r="J283" s="80"/>
      <c r="K283" s="134"/>
      <c r="L283" s="138"/>
      <c r="M283" s="136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</row>
    <row r="284" spans="1:30" ht="15.75" customHeight="1">
      <c r="A284" s="59"/>
      <c r="B284" s="115"/>
      <c r="C284" s="116"/>
      <c r="D284" s="27"/>
      <c r="E284" s="117"/>
      <c r="F284" s="118"/>
      <c r="G284" s="119"/>
      <c r="H284" s="119"/>
      <c r="I284" s="65"/>
      <c r="J284" s="80"/>
      <c r="K284" s="134"/>
      <c r="L284" s="138"/>
      <c r="M284" s="136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</row>
    <row r="285" spans="1:30" ht="15.75" customHeight="1">
      <c r="A285" s="59"/>
      <c r="B285" s="115"/>
      <c r="C285" s="116"/>
      <c r="D285" s="27"/>
      <c r="E285" s="117"/>
      <c r="F285" s="118"/>
      <c r="G285" s="119"/>
      <c r="H285" s="119"/>
      <c r="I285" s="65"/>
      <c r="J285" s="80"/>
      <c r="K285" s="134"/>
      <c r="L285" s="138"/>
      <c r="M285" s="136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</row>
    <row r="286" spans="1:30" ht="15.75" customHeight="1">
      <c r="A286" s="59"/>
      <c r="B286" s="115"/>
      <c r="C286" s="116"/>
      <c r="D286" s="27"/>
      <c r="E286" s="117"/>
      <c r="F286" s="118"/>
      <c r="G286" s="119"/>
      <c r="H286" s="119"/>
      <c r="I286" s="65"/>
      <c r="J286" s="80"/>
      <c r="K286" s="134"/>
      <c r="L286" s="138"/>
      <c r="M286" s="136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</row>
    <row r="287" spans="1:30" ht="15.75" customHeight="1">
      <c r="A287" s="59"/>
      <c r="B287" s="115"/>
      <c r="C287" s="116"/>
      <c r="D287" s="27"/>
      <c r="E287" s="117"/>
      <c r="F287" s="118"/>
      <c r="G287" s="119"/>
      <c r="H287" s="119"/>
      <c r="I287" s="65"/>
      <c r="J287" s="80"/>
      <c r="K287" s="134"/>
      <c r="L287" s="138"/>
      <c r="M287" s="136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</row>
    <row r="288" spans="1:30" ht="15.75" customHeight="1">
      <c r="A288" s="59"/>
      <c r="B288" s="115"/>
      <c r="C288" s="116"/>
      <c r="D288" s="27"/>
      <c r="E288" s="117"/>
      <c r="F288" s="118"/>
      <c r="G288" s="119"/>
      <c r="H288" s="119"/>
      <c r="I288" s="65"/>
      <c r="J288" s="80"/>
      <c r="K288" s="134"/>
      <c r="L288" s="138"/>
      <c r="M288" s="136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</row>
    <row r="289" spans="1:30" ht="15.75" customHeight="1">
      <c r="A289" s="59"/>
      <c r="B289" s="115"/>
      <c r="C289" s="116"/>
      <c r="D289" s="27"/>
      <c r="E289" s="117"/>
      <c r="F289" s="118"/>
      <c r="G289" s="119"/>
      <c r="H289" s="119"/>
      <c r="I289" s="65"/>
      <c r="J289" s="80"/>
      <c r="K289" s="134"/>
      <c r="L289" s="138"/>
      <c r="M289" s="136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</row>
    <row r="290" spans="1:30" ht="15.75" customHeight="1">
      <c r="A290" s="59"/>
      <c r="B290" s="115"/>
      <c r="C290" s="116"/>
      <c r="D290" s="27"/>
      <c r="E290" s="117"/>
      <c r="F290" s="118"/>
      <c r="G290" s="119"/>
      <c r="H290" s="119"/>
      <c r="I290" s="65"/>
      <c r="J290" s="80"/>
      <c r="K290" s="134"/>
      <c r="L290" s="138"/>
      <c r="M290" s="136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</row>
    <row r="291" spans="1:30" ht="15.75" customHeight="1">
      <c r="A291" s="59"/>
      <c r="B291" s="115"/>
      <c r="C291" s="116"/>
      <c r="D291" s="27"/>
      <c r="E291" s="117"/>
      <c r="F291" s="118"/>
      <c r="G291" s="119"/>
      <c r="H291" s="119"/>
      <c r="I291" s="27"/>
      <c r="J291" s="80"/>
      <c r="K291" s="134"/>
      <c r="L291" s="138"/>
      <c r="M291" s="13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</row>
    <row r="292" spans="1:30" ht="15.75" customHeight="1">
      <c r="A292" s="59"/>
      <c r="B292" s="115"/>
      <c r="C292" s="116"/>
      <c r="D292" s="27"/>
      <c r="E292" s="117"/>
      <c r="F292" s="118"/>
      <c r="G292" s="119"/>
      <c r="H292" s="119"/>
      <c r="I292" s="27"/>
      <c r="J292" s="80"/>
      <c r="K292" s="134"/>
      <c r="L292" s="138"/>
      <c r="M292" s="13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</row>
    <row r="293" spans="1:30" ht="15.75" customHeight="1">
      <c r="A293" s="59"/>
      <c r="B293" s="115"/>
      <c r="C293" s="116"/>
      <c r="D293" s="27"/>
      <c r="E293" s="117"/>
      <c r="F293" s="118"/>
      <c r="G293" s="119"/>
      <c r="H293" s="119"/>
      <c r="I293" s="27"/>
      <c r="J293" s="80"/>
      <c r="K293" s="134"/>
      <c r="L293" s="138"/>
      <c r="M293" s="13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</row>
    <row r="294" spans="1:30" ht="15.75" customHeight="1">
      <c r="A294" s="59"/>
      <c r="B294" s="115"/>
      <c r="C294" s="116"/>
      <c r="D294" s="27"/>
      <c r="E294" s="117"/>
      <c r="F294" s="118"/>
      <c r="G294" s="119"/>
      <c r="H294" s="119"/>
      <c r="I294" s="27"/>
      <c r="J294" s="80"/>
      <c r="K294" s="134"/>
      <c r="L294" s="138"/>
      <c r="M294" s="13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</row>
    <row r="295" spans="1:30" ht="15.75" customHeight="1">
      <c r="A295" s="59"/>
      <c r="B295" s="115"/>
      <c r="C295" s="116"/>
      <c r="D295" s="27"/>
      <c r="E295" s="117"/>
      <c r="F295" s="118"/>
      <c r="G295" s="119"/>
      <c r="H295" s="119"/>
      <c r="I295" s="27"/>
      <c r="J295" s="80"/>
      <c r="K295" s="134"/>
      <c r="L295" s="138"/>
      <c r="M295" s="13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</row>
    <row r="296" spans="1:30" ht="15.75" customHeight="1">
      <c r="A296" s="1146"/>
      <c r="B296" s="1147"/>
      <c r="C296" s="1147"/>
      <c r="D296" s="1147"/>
      <c r="E296" s="1147"/>
      <c r="F296" s="1147"/>
      <c r="G296" s="1147"/>
      <c r="H296" s="1147"/>
      <c r="I296" s="1147"/>
      <c r="J296" s="1147"/>
      <c r="K296" s="1148"/>
      <c r="L296" s="138"/>
      <c r="M296" s="13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</row>
    <row r="297" spans="1:30" ht="15.75" customHeight="1">
      <c r="A297" s="59"/>
      <c r="B297" s="115"/>
      <c r="C297" s="116"/>
      <c r="D297" s="27"/>
      <c r="E297" s="117"/>
      <c r="F297" s="118"/>
      <c r="G297" s="119"/>
      <c r="H297" s="119"/>
      <c r="I297" s="27"/>
      <c r="J297" s="80"/>
      <c r="K297" s="134"/>
      <c r="L297" s="138"/>
      <c r="M297" s="13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</row>
    <row r="298" spans="1:30" ht="15.75" customHeight="1">
      <c r="A298" s="59"/>
      <c r="B298" s="115"/>
      <c r="C298" s="116"/>
      <c r="D298" s="27"/>
      <c r="E298" s="117"/>
      <c r="F298" s="118"/>
      <c r="G298" s="119"/>
      <c r="H298" s="119"/>
      <c r="I298" s="27"/>
      <c r="J298" s="80"/>
      <c r="K298" s="134"/>
      <c r="L298" s="138"/>
      <c r="M298" s="13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</row>
    <row r="299" spans="1:30" ht="15.75" customHeight="1">
      <c r="A299" s="59"/>
      <c r="B299" s="115"/>
      <c r="C299" s="116"/>
      <c r="D299" s="27"/>
      <c r="E299" s="117"/>
      <c r="F299" s="118"/>
      <c r="G299" s="119"/>
      <c r="H299" s="119"/>
      <c r="I299" s="27"/>
      <c r="J299" s="80"/>
      <c r="K299" s="134"/>
      <c r="L299" s="138"/>
      <c r="M299" s="13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</row>
    <row r="300" spans="1:30" ht="15.75" customHeight="1">
      <c r="A300" s="59"/>
      <c r="B300" s="115"/>
      <c r="C300" s="116"/>
      <c r="D300" s="27"/>
      <c r="E300" s="117"/>
      <c r="F300" s="118"/>
      <c r="G300" s="119"/>
      <c r="H300" s="119"/>
      <c r="I300" s="27"/>
      <c r="J300" s="80"/>
      <c r="K300" s="134"/>
      <c r="L300" s="138"/>
      <c r="M300" s="13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</row>
    <row r="301" spans="1:30" ht="15.75" customHeight="1">
      <c r="A301" s="59"/>
      <c r="B301" s="115"/>
      <c r="C301" s="116"/>
      <c r="D301" s="27"/>
      <c r="E301" s="117"/>
      <c r="F301" s="118"/>
      <c r="G301" s="119"/>
      <c r="H301" s="119"/>
      <c r="I301" s="27"/>
      <c r="J301" s="80"/>
      <c r="K301" s="134"/>
      <c r="L301" s="138"/>
      <c r="M301" s="13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</row>
    <row r="302" spans="1:30" ht="15.75" customHeight="1">
      <c r="A302" s="59"/>
      <c r="B302" s="115"/>
      <c r="C302" s="116"/>
      <c r="D302" s="27"/>
      <c r="E302" s="117"/>
      <c r="F302" s="118"/>
      <c r="G302" s="119"/>
      <c r="H302" s="119"/>
      <c r="I302" s="27"/>
      <c r="J302" s="80"/>
      <c r="K302" s="134"/>
      <c r="L302" s="138"/>
      <c r="M302" s="13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</row>
    <row r="303" spans="1:30" ht="15.75" customHeight="1">
      <c r="A303" s="59"/>
      <c r="B303" s="115"/>
      <c r="C303" s="116"/>
      <c r="D303" s="27"/>
      <c r="E303" s="117"/>
      <c r="F303" s="118"/>
      <c r="G303" s="119"/>
      <c r="H303" s="119"/>
      <c r="I303" s="27"/>
      <c r="J303" s="80"/>
      <c r="K303" s="134"/>
      <c r="L303" s="138"/>
      <c r="M303" s="13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</row>
    <row r="304" spans="1:30" ht="15.75" customHeight="1">
      <c r="A304" s="59"/>
      <c r="B304" s="115"/>
      <c r="C304" s="116"/>
      <c r="D304" s="27"/>
      <c r="E304" s="117"/>
      <c r="F304" s="118"/>
      <c r="G304" s="119"/>
      <c r="H304" s="119"/>
      <c r="I304" s="27"/>
      <c r="J304" s="80"/>
      <c r="K304" s="134"/>
      <c r="L304" s="138"/>
      <c r="M304" s="13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</row>
    <row r="305" spans="1:30" ht="15.75" customHeight="1">
      <c r="A305" s="59"/>
      <c r="B305" s="115"/>
      <c r="C305" s="116"/>
      <c r="D305" s="27"/>
      <c r="E305" s="117"/>
      <c r="F305" s="118"/>
      <c r="G305" s="119"/>
      <c r="H305" s="119"/>
      <c r="I305" s="27"/>
      <c r="J305" s="80"/>
      <c r="K305" s="134"/>
      <c r="L305" s="138"/>
      <c r="M305" s="13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</row>
    <row r="306" spans="1:30" ht="15.75" customHeight="1">
      <c r="A306" s="59"/>
      <c r="B306" s="115"/>
      <c r="C306" s="116"/>
      <c r="D306" s="27"/>
      <c r="E306" s="117"/>
      <c r="F306" s="118"/>
      <c r="G306" s="119"/>
      <c r="H306" s="119"/>
      <c r="I306" s="27"/>
      <c r="J306" s="80"/>
      <c r="K306" s="134"/>
      <c r="L306" s="138"/>
      <c r="M306" s="13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</row>
    <row r="307" spans="1:30" ht="15.75" customHeight="1">
      <c r="A307" s="59"/>
      <c r="B307" s="115"/>
      <c r="C307" s="116"/>
      <c r="D307" s="27"/>
      <c r="E307" s="117"/>
      <c r="F307" s="118"/>
      <c r="G307" s="119"/>
      <c r="H307" s="119"/>
      <c r="I307" s="27"/>
      <c r="J307" s="80"/>
      <c r="K307" s="134"/>
      <c r="L307" s="138"/>
      <c r="M307" s="13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</row>
    <row r="308" spans="1:30" ht="15.75" customHeight="1">
      <c r="A308" s="59"/>
      <c r="B308" s="115"/>
      <c r="C308" s="116"/>
      <c r="D308" s="27"/>
      <c r="E308" s="117"/>
      <c r="F308" s="118"/>
      <c r="G308" s="119"/>
      <c r="H308" s="119"/>
      <c r="I308" s="27"/>
      <c r="J308" s="80"/>
      <c r="K308" s="134"/>
      <c r="L308" s="138"/>
      <c r="M308" s="13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</row>
    <row r="309" spans="1:30" ht="15.75" customHeight="1">
      <c r="A309" s="59"/>
      <c r="B309" s="115"/>
      <c r="C309" s="116"/>
      <c r="D309" s="27"/>
      <c r="E309" s="117"/>
      <c r="F309" s="118"/>
      <c r="G309" s="119"/>
      <c r="H309" s="119"/>
      <c r="I309" s="27"/>
      <c r="J309" s="80"/>
      <c r="K309" s="134"/>
      <c r="L309" s="138"/>
      <c r="M309" s="13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</row>
    <row r="310" spans="1:30" ht="15.75" customHeight="1">
      <c r="A310" s="59"/>
      <c r="B310" s="115"/>
      <c r="C310" s="116"/>
      <c r="D310" s="27"/>
      <c r="E310" s="117"/>
      <c r="F310" s="118"/>
      <c r="G310" s="119"/>
      <c r="H310" s="119"/>
      <c r="I310" s="27"/>
      <c r="J310" s="80"/>
      <c r="K310" s="134"/>
      <c r="L310" s="138"/>
      <c r="M310" s="13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</row>
    <row r="311" spans="1:30" ht="15.75" customHeight="1">
      <c r="A311" s="59"/>
      <c r="B311" s="115"/>
      <c r="C311" s="116"/>
      <c r="D311" s="27"/>
      <c r="E311" s="117"/>
      <c r="F311" s="118"/>
      <c r="G311" s="119"/>
      <c r="H311" s="119"/>
      <c r="I311" s="27"/>
      <c r="J311" s="80"/>
      <c r="K311" s="134"/>
      <c r="L311" s="138"/>
      <c r="M311" s="13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</row>
    <row r="312" spans="1:30" ht="15.75" customHeight="1">
      <c r="A312" s="59"/>
      <c r="B312" s="115"/>
      <c r="C312" s="116"/>
      <c r="D312" s="27"/>
      <c r="E312" s="117"/>
      <c r="F312" s="118"/>
      <c r="G312" s="119"/>
      <c r="H312" s="119"/>
      <c r="I312" s="27"/>
      <c r="J312" s="80"/>
      <c r="K312" s="134"/>
      <c r="L312" s="138"/>
      <c r="M312" s="13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</row>
    <row r="313" spans="1:30" ht="15.75" customHeight="1">
      <c r="A313" s="59"/>
      <c r="B313" s="115"/>
      <c r="C313" s="116"/>
      <c r="D313" s="27"/>
      <c r="E313" s="117"/>
      <c r="F313" s="118"/>
      <c r="G313" s="119"/>
      <c r="H313" s="119"/>
      <c r="I313" s="27"/>
      <c r="J313" s="80"/>
      <c r="K313" s="134"/>
      <c r="L313" s="138"/>
      <c r="M313" s="13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</row>
    <row r="314" spans="1:30" ht="15.75" customHeight="1">
      <c r="A314" s="59"/>
      <c r="B314" s="115"/>
      <c r="C314" s="116"/>
      <c r="D314" s="27"/>
      <c r="E314" s="117"/>
      <c r="F314" s="118"/>
      <c r="G314" s="119"/>
      <c r="H314" s="119"/>
      <c r="I314" s="27"/>
      <c r="J314" s="80"/>
      <c r="K314" s="134"/>
      <c r="L314" s="138"/>
      <c r="M314" s="13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</row>
    <row r="315" spans="1:30" ht="15.75" customHeight="1">
      <c r="A315" s="59"/>
      <c r="B315" s="115"/>
      <c r="C315" s="116"/>
      <c r="D315" s="27"/>
      <c r="E315" s="117"/>
      <c r="F315" s="118"/>
      <c r="G315" s="119"/>
      <c r="H315" s="119"/>
      <c r="I315" s="27"/>
      <c r="J315" s="80"/>
      <c r="K315" s="134"/>
      <c r="L315" s="138"/>
      <c r="M315" s="13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</row>
    <row r="316" spans="1:30" ht="15.75" customHeight="1">
      <c r="A316" s="59"/>
      <c r="B316" s="115"/>
      <c r="C316" s="116"/>
      <c r="D316" s="27"/>
      <c r="E316" s="117"/>
      <c r="F316" s="118"/>
      <c r="G316" s="119"/>
      <c r="H316" s="119"/>
      <c r="I316" s="27"/>
      <c r="J316" s="80"/>
      <c r="K316" s="134"/>
      <c r="L316" s="138"/>
      <c r="M316" s="13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</row>
    <row r="317" spans="1:30" ht="15.75" customHeight="1">
      <c r="A317" s="59"/>
      <c r="B317" s="115"/>
      <c r="C317" s="116"/>
      <c r="D317" s="27"/>
      <c r="E317" s="117"/>
      <c r="F317" s="118"/>
      <c r="G317" s="119"/>
      <c r="H317" s="119"/>
      <c r="I317" s="27"/>
      <c r="J317" s="80"/>
      <c r="K317" s="134"/>
      <c r="L317" s="138"/>
      <c r="M317" s="136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</row>
    <row r="318" spans="1:30" ht="15.75" customHeight="1">
      <c r="A318" s="59"/>
      <c r="B318" s="115"/>
      <c r="C318" s="116"/>
      <c r="D318" s="27"/>
      <c r="E318" s="117"/>
      <c r="F318" s="118"/>
      <c r="G318" s="119"/>
      <c r="H318" s="119"/>
      <c r="I318" s="27"/>
      <c r="J318" s="80"/>
      <c r="K318" s="134"/>
      <c r="L318" s="138"/>
      <c r="M318" s="136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</row>
    <row r="319" spans="1:30" ht="15.75" customHeight="1">
      <c r="A319" s="59"/>
      <c r="B319" s="115"/>
      <c r="C319" s="116"/>
      <c r="D319" s="27"/>
      <c r="E319" s="117"/>
      <c r="F319" s="118"/>
      <c r="G319" s="119"/>
      <c r="H319" s="119"/>
      <c r="I319" s="27"/>
      <c r="J319" s="80"/>
      <c r="K319" s="134"/>
      <c r="L319" s="138"/>
      <c r="M319" s="136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</row>
    <row r="320" spans="1:30" ht="15.75" customHeight="1">
      <c r="A320" s="59"/>
      <c r="B320" s="115"/>
      <c r="C320" s="116"/>
      <c r="D320" s="27"/>
      <c r="E320" s="117"/>
      <c r="F320" s="118"/>
      <c r="G320" s="119"/>
      <c r="H320" s="119"/>
      <c r="I320" s="27"/>
      <c r="J320" s="80"/>
      <c r="K320" s="134"/>
      <c r="L320" s="138"/>
      <c r="M320" s="136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</row>
    <row r="321" spans="1:30" ht="15.75" customHeight="1">
      <c r="A321" s="59"/>
      <c r="B321" s="115"/>
      <c r="C321" s="116"/>
      <c r="D321" s="27"/>
      <c r="E321" s="117"/>
      <c r="F321" s="118"/>
      <c r="G321" s="119"/>
      <c r="H321" s="119"/>
      <c r="I321" s="27"/>
      <c r="J321" s="80"/>
      <c r="K321" s="134"/>
      <c r="L321" s="138"/>
      <c r="M321" s="136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</row>
    <row r="322" spans="1:30" ht="15.75" customHeight="1">
      <c r="A322" s="59"/>
      <c r="B322" s="115"/>
      <c r="C322" s="116"/>
      <c r="D322" s="27"/>
      <c r="E322" s="117"/>
      <c r="F322" s="118"/>
      <c r="G322" s="119"/>
      <c r="H322" s="119"/>
      <c r="I322" s="27"/>
      <c r="J322" s="80"/>
      <c r="K322" s="134"/>
      <c r="L322" s="138"/>
      <c r="M322" s="136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</row>
    <row r="323" spans="1:30" ht="15.75" customHeight="1">
      <c r="A323" s="59"/>
      <c r="B323" s="115"/>
      <c r="C323" s="116"/>
      <c r="D323" s="27"/>
      <c r="E323" s="117"/>
      <c r="F323" s="118"/>
      <c r="G323" s="119"/>
      <c r="H323" s="119"/>
      <c r="I323" s="27"/>
      <c r="J323" s="80"/>
      <c r="K323" s="134"/>
      <c r="L323" s="138"/>
      <c r="M323" s="136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</row>
    <row r="324" spans="1:30" ht="15.75" customHeight="1">
      <c r="A324" s="59"/>
      <c r="B324" s="115"/>
      <c r="C324" s="116"/>
      <c r="D324" s="27"/>
      <c r="E324" s="117"/>
      <c r="F324" s="118"/>
      <c r="G324" s="119"/>
      <c r="H324" s="119"/>
      <c r="I324" s="27"/>
      <c r="J324" s="80"/>
      <c r="K324" s="134"/>
      <c r="L324" s="138"/>
      <c r="M324" s="136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</row>
    <row r="325" spans="1:30" ht="15.75" customHeight="1">
      <c r="A325" s="59"/>
      <c r="B325" s="115"/>
      <c r="C325" s="116"/>
      <c r="D325" s="27"/>
      <c r="E325" s="117"/>
      <c r="F325" s="118"/>
      <c r="G325" s="119"/>
      <c r="H325" s="119"/>
      <c r="I325" s="27"/>
      <c r="J325" s="80"/>
      <c r="K325" s="134"/>
      <c r="L325" s="138"/>
      <c r="M325" s="136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</row>
    <row r="326" spans="1:30" ht="15.75" customHeight="1">
      <c r="A326" s="59"/>
      <c r="B326" s="115"/>
      <c r="C326" s="116"/>
      <c r="D326" s="27"/>
      <c r="E326" s="117"/>
      <c r="F326" s="118"/>
      <c r="G326" s="119"/>
      <c r="H326" s="119"/>
      <c r="I326" s="27"/>
      <c r="J326" s="80"/>
      <c r="K326" s="134"/>
      <c r="L326" s="138"/>
      <c r="M326" s="136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</row>
    <row r="327" spans="1:30" ht="15.75" customHeight="1">
      <c r="A327" s="59"/>
      <c r="B327" s="115"/>
      <c r="C327" s="116"/>
      <c r="D327" s="27"/>
      <c r="E327" s="117"/>
      <c r="F327" s="118"/>
      <c r="G327" s="119"/>
      <c r="H327" s="119"/>
      <c r="I327" s="27"/>
      <c r="J327" s="80"/>
      <c r="K327" s="134"/>
      <c r="L327" s="138"/>
      <c r="M327" s="136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</row>
    <row r="328" spans="1:30" ht="15.75" customHeight="1">
      <c r="A328" s="59"/>
      <c r="B328" s="115"/>
      <c r="C328" s="116"/>
      <c r="D328" s="27"/>
      <c r="E328" s="117"/>
      <c r="F328" s="118"/>
      <c r="G328" s="119"/>
      <c r="H328" s="119"/>
      <c r="I328" s="27"/>
      <c r="J328" s="80"/>
      <c r="K328" s="134"/>
      <c r="L328" s="138"/>
      <c r="M328" s="136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</row>
    <row r="329" spans="1:30" ht="15.75" customHeight="1">
      <c r="A329" s="59"/>
      <c r="B329" s="115"/>
      <c r="C329" s="116"/>
      <c r="D329" s="27"/>
      <c r="E329" s="117"/>
      <c r="F329" s="118"/>
      <c r="G329" s="119"/>
      <c r="H329" s="119"/>
      <c r="I329" s="27"/>
      <c r="J329" s="80"/>
      <c r="K329" s="134"/>
      <c r="L329" s="138"/>
      <c r="M329" s="136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</row>
    <row r="330" spans="1:30" ht="15.75" customHeight="1">
      <c r="A330" s="59"/>
      <c r="B330" s="115"/>
      <c r="C330" s="116"/>
      <c r="D330" s="27"/>
      <c r="E330" s="117"/>
      <c r="F330" s="118"/>
      <c r="G330" s="119"/>
      <c r="H330" s="119"/>
      <c r="I330" s="27"/>
      <c r="J330" s="80"/>
      <c r="K330" s="134"/>
      <c r="L330" s="138"/>
      <c r="M330" s="136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</row>
    <row r="331" spans="1:30" ht="15.75" customHeight="1">
      <c r="A331" s="59"/>
      <c r="B331" s="115"/>
      <c r="C331" s="116"/>
      <c r="D331" s="27"/>
      <c r="E331" s="117"/>
      <c r="F331" s="118"/>
      <c r="G331" s="119"/>
      <c r="H331" s="119"/>
      <c r="I331" s="27"/>
      <c r="J331" s="80"/>
      <c r="K331" s="134"/>
      <c r="L331" s="138"/>
      <c r="M331" s="136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</row>
    <row r="332" spans="1:30" ht="15.75" customHeight="1">
      <c r="A332" s="59"/>
      <c r="B332" s="115"/>
      <c r="C332" s="116"/>
      <c r="D332" s="27"/>
      <c r="E332" s="117"/>
      <c r="F332" s="118"/>
      <c r="G332" s="119"/>
      <c r="H332" s="119"/>
      <c r="I332" s="27"/>
      <c r="J332" s="80"/>
      <c r="K332" s="134"/>
      <c r="L332" s="138"/>
      <c r="M332" s="136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</row>
    <row r="333" spans="1:30" ht="15.75" customHeight="1">
      <c r="A333" s="59"/>
      <c r="B333" s="115"/>
      <c r="C333" s="116"/>
      <c r="D333" s="27"/>
      <c r="E333" s="117"/>
      <c r="F333" s="118"/>
      <c r="G333" s="119"/>
      <c r="H333" s="119"/>
      <c r="I333" s="27"/>
      <c r="J333" s="80"/>
      <c r="K333" s="134"/>
      <c r="L333" s="138"/>
      <c r="M333" s="136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</row>
    <row r="334" spans="1:30" ht="15.75" customHeight="1">
      <c r="A334" s="59"/>
      <c r="B334" s="115"/>
      <c r="C334" s="116"/>
      <c r="D334" s="27"/>
      <c r="E334" s="117"/>
      <c r="F334" s="118"/>
      <c r="G334" s="119"/>
      <c r="H334" s="119"/>
      <c r="I334" s="27"/>
      <c r="J334" s="80"/>
      <c r="K334" s="134"/>
      <c r="L334" s="138"/>
      <c r="M334" s="136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</row>
    <row r="335" spans="1:30" ht="15.75" customHeight="1">
      <c r="A335" s="1146"/>
      <c r="B335" s="1147"/>
      <c r="C335" s="1147"/>
      <c r="D335" s="1147"/>
      <c r="E335" s="1147"/>
      <c r="F335" s="1147"/>
      <c r="G335" s="1147"/>
      <c r="H335" s="1147"/>
      <c r="I335" s="1147"/>
      <c r="J335" s="1147"/>
      <c r="K335" s="1148"/>
      <c r="L335" s="138"/>
      <c r="M335" s="136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</row>
    <row r="336" spans="1:30" ht="15.75" customHeight="1">
      <c r="A336" s="59"/>
      <c r="B336" s="115"/>
      <c r="C336" s="116"/>
      <c r="D336" s="27"/>
      <c r="E336" s="117"/>
      <c r="F336" s="118"/>
      <c r="G336" s="119"/>
      <c r="H336" s="119"/>
      <c r="I336" s="27"/>
      <c r="J336" s="80"/>
      <c r="K336" s="134"/>
      <c r="L336" s="138"/>
      <c r="M336" s="136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</row>
    <row r="337" spans="1:30" ht="15.75" customHeight="1">
      <c r="A337" s="59"/>
      <c r="B337" s="115"/>
      <c r="C337" s="116"/>
      <c r="D337" s="27"/>
      <c r="E337" s="117"/>
      <c r="F337" s="118"/>
      <c r="G337" s="119"/>
      <c r="H337" s="119"/>
      <c r="I337" s="27"/>
      <c r="J337" s="80"/>
      <c r="K337" s="134"/>
      <c r="L337" s="138"/>
      <c r="M337" s="136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</row>
    <row r="338" spans="1:30" ht="15.75" customHeight="1">
      <c r="A338" s="59"/>
      <c r="B338" s="115"/>
      <c r="C338" s="116"/>
      <c r="D338" s="27"/>
      <c r="E338" s="117"/>
      <c r="F338" s="118"/>
      <c r="G338" s="119"/>
      <c r="H338" s="119"/>
      <c r="I338" s="27"/>
      <c r="J338" s="80"/>
      <c r="K338" s="134"/>
      <c r="L338" s="138"/>
      <c r="M338" s="136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</row>
    <row r="339" spans="1:30" ht="15.75" customHeight="1">
      <c r="A339" s="1146"/>
      <c r="B339" s="1147"/>
      <c r="C339" s="1147"/>
      <c r="D339" s="1147"/>
      <c r="E339" s="1147"/>
      <c r="F339" s="1147"/>
      <c r="G339" s="1147"/>
      <c r="H339" s="1147"/>
      <c r="I339" s="1147"/>
      <c r="J339" s="1147"/>
      <c r="K339" s="1148"/>
      <c r="L339" s="138"/>
      <c r="M339" s="136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</row>
    <row r="340" spans="1:30" ht="15.75" customHeight="1">
      <c r="A340" s="59"/>
      <c r="B340" s="115"/>
      <c r="C340" s="116"/>
      <c r="D340" s="27"/>
      <c r="E340" s="117"/>
      <c r="F340" s="118"/>
      <c r="G340" s="119"/>
      <c r="H340" s="119"/>
      <c r="I340" s="133"/>
      <c r="J340" s="80"/>
      <c r="K340" s="134"/>
      <c r="L340" s="138"/>
      <c r="M340" s="136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</row>
    <row r="341" spans="1:30" ht="15.75" customHeight="1">
      <c r="A341" s="59"/>
      <c r="B341" s="115"/>
      <c r="C341" s="116"/>
      <c r="D341" s="27"/>
      <c r="E341" s="117"/>
      <c r="F341" s="118"/>
      <c r="G341" s="119"/>
      <c r="H341" s="119"/>
      <c r="I341" s="133"/>
      <c r="J341" s="80"/>
      <c r="K341" s="134"/>
      <c r="L341" s="143"/>
      <c r="M341" s="136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</row>
    <row r="342" spans="1:30" ht="15.75" customHeight="1">
      <c r="A342" s="59"/>
      <c r="B342" s="115"/>
      <c r="C342" s="116"/>
      <c r="D342" s="27"/>
      <c r="E342" s="117"/>
      <c r="F342" s="118"/>
      <c r="G342" s="119"/>
      <c r="H342" s="119"/>
      <c r="I342" s="133"/>
      <c r="J342" s="80"/>
      <c r="K342" s="134"/>
      <c r="L342" s="138"/>
      <c r="M342" s="136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</row>
    <row r="343" spans="1:30" ht="15.75" customHeight="1">
      <c r="A343" s="59"/>
      <c r="B343" s="115"/>
      <c r="C343" s="116"/>
      <c r="D343" s="27"/>
      <c r="E343" s="117"/>
      <c r="F343" s="118"/>
      <c r="G343" s="119"/>
      <c r="H343" s="119"/>
      <c r="I343" s="133"/>
      <c r="J343" s="80"/>
      <c r="K343" s="134"/>
      <c r="L343" s="138"/>
      <c r="M343" s="136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</row>
    <row r="344" spans="1:30" ht="15.75" customHeight="1">
      <c r="A344" s="59"/>
      <c r="B344" s="115"/>
      <c r="C344" s="116"/>
      <c r="D344" s="27"/>
      <c r="E344" s="117"/>
      <c r="F344" s="118"/>
      <c r="G344" s="119"/>
      <c r="H344" s="119"/>
      <c r="I344" s="133"/>
      <c r="J344" s="80"/>
      <c r="K344" s="134"/>
      <c r="L344" s="143"/>
      <c r="M344" s="146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</row>
    <row r="345" spans="1:30" ht="15.75" customHeight="1">
      <c r="A345" s="59"/>
      <c r="B345" s="115"/>
      <c r="C345" s="116"/>
      <c r="D345" s="27"/>
      <c r="E345" s="117"/>
      <c r="F345" s="118"/>
      <c r="G345" s="119"/>
      <c r="H345" s="119"/>
      <c r="I345" s="133"/>
      <c r="J345" s="80"/>
      <c r="K345" s="134"/>
      <c r="L345" s="138"/>
      <c r="M345" s="136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</row>
    <row r="346" spans="1:30" ht="15.75" customHeight="1">
      <c r="A346" s="59"/>
      <c r="B346" s="115"/>
      <c r="C346" s="116"/>
      <c r="D346" s="27"/>
      <c r="E346" s="117"/>
      <c r="F346" s="118"/>
      <c r="G346" s="119"/>
      <c r="H346" s="119"/>
      <c r="I346" s="133"/>
      <c r="J346" s="80"/>
      <c r="K346" s="134"/>
      <c r="L346" s="147"/>
      <c r="M346" s="136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</row>
    <row r="347" spans="1:30" ht="15.75" customHeight="1">
      <c r="A347" s="59"/>
      <c r="B347" s="115"/>
      <c r="C347" s="116"/>
      <c r="D347" s="27"/>
      <c r="E347" s="117"/>
      <c r="F347" s="118"/>
      <c r="G347" s="119"/>
      <c r="H347" s="119"/>
      <c r="I347" s="133"/>
      <c r="J347" s="80"/>
      <c r="K347" s="134"/>
      <c r="L347" s="143"/>
      <c r="M347" s="136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</row>
    <row r="348" spans="1:30" ht="15.75" customHeight="1">
      <c r="A348" s="59"/>
      <c r="B348" s="115"/>
      <c r="C348" s="116"/>
      <c r="D348" s="27"/>
      <c r="E348" s="117"/>
      <c r="F348" s="118"/>
      <c r="G348" s="119"/>
      <c r="H348" s="119"/>
      <c r="I348" s="133"/>
      <c r="J348" s="80"/>
      <c r="K348" s="134"/>
      <c r="L348" s="136"/>
      <c r="M348" s="148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</row>
    <row r="349" spans="1:30" ht="15.75" customHeight="1">
      <c r="A349" s="59"/>
      <c r="B349" s="115"/>
      <c r="C349" s="116"/>
      <c r="D349" s="27"/>
      <c r="E349" s="117"/>
      <c r="F349" s="118"/>
      <c r="G349" s="119"/>
      <c r="H349" s="119"/>
      <c r="I349" s="133"/>
      <c r="J349" s="80"/>
      <c r="K349" s="134"/>
      <c r="L349" s="136"/>
      <c r="M349" s="136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</row>
    <row r="350" spans="1:30" ht="15.75" customHeight="1">
      <c r="A350" s="59"/>
      <c r="B350" s="115"/>
      <c r="C350" s="116"/>
      <c r="D350" s="27"/>
      <c r="E350" s="117"/>
      <c r="F350" s="118"/>
      <c r="G350" s="119"/>
      <c r="H350" s="119"/>
      <c r="I350" s="133"/>
      <c r="J350" s="80"/>
      <c r="K350" s="134"/>
      <c r="L350" s="136"/>
      <c r="M350" s="136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</row>
    <row r="351" spans="1:30" ht="15.75" customHeight="1">
      <c r="A351" s="59"/>
      <c r="B351" s="115"/>
      <c r="C351" s="116"/>
      <c r="D351" s="27"/>
      <c r="E351" s="117"/>
      <c r="F351" s="118"/>
      <c r="G351" s="119"/>
      <c r="H351" s="119"/>
      <c r="I351" s="27"/>
      <c r="J351" s="80"/>
      <c r="K351" s="134"/>
      <c r="L351" s="136"/>
      <c r="M351" s="136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</row>
    <row r="352" spans="1:30" ht="15.75" customHeight="1">
      <c r="A352" s="59"/>
      <c r="B352" s="115"/>
      <c r="C352" s="116"/>
      <c r="D352" s="27"/>
      <c r="E352" s="117"/>
      <c r="F352" s="118"/>
      <c r="G352" s="119"/>
      <c r="H352" s="119"/>
      <c r="I352" s="133"/>
      <c r="J352" s="80"/>
      <c r="K352" s="134"/>
      <c r="L352" s="136"/>
      <c r="M352" s="136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</row>
    <row r="353" spans="1:30" ht="15.75" customHeight="1">
      <c r="A353" s="59"/>
      <c r="B353" s="115"/>
      <c r="C353" s="116"/>
      <c r="D353" s="27"/>
      <c r="E353" s="117"/>
      <c r="F353" s="118"/>
      <c r="G353" s="119"/>
      <c r="H353" s="119"/>
      <c r="I353" s="133"/>
      <c r="J353" s="80"/>
      <c r="K353" s="134"/>
      <c r="L353" s="136"/>
      <c r="M353" s="136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</row>
    <row r="354" spans="1:30" ht="15.75" customHeight="1">
      <c r="A354" s="59"/>
      <c r="B354" s="115"/>
      <c r="C354" s="116"/>
      <c r="D354" s="27"/>
      <c r="E354" s="117"/>
      <c r="F354" s="118"/>
      <c r="G354" s="119"/>
      <c r="H354" s="119"/>
      <c r="I354" s="133"/>
      <c r="J354" s="80"/>
      <c r="K354" s="134"/>
      <c r="L354" s="136"/>
      <c r="M354" s="136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</row>
    <row r="355" spans="1:30" ht="15.75" customHeight="1">
      <c r="A355" s="59"/>
      <c r="B355" s="115"/>
      <c r="C355" s="116"/>
      <c r="D355" s="27"/>
      <c r="E355" s="117"/>
      <c r="F355" s="118"/>
      <c r="G355" s="119"/>
      <c r="H355" s="119"/>
      <c r="I355" s="133"/>
      <c r="J355" s="80"/>
      <c r="K355" s="134"/>
      <c r="L355" s="136"/>
      <c r="M355" s="136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</row>
    <row r="356" spans="1:30" ht="15.75" customHeight="1">
      <c r="A356" s="59"/>
      <c r="B356" s="115"/>
      <c r="C356" s="116"/>
      <c r="D356" s="27"/>
      <c r="E356" s="117"/>
      <c r="F356" s="118"/>
      <c r="G356" s="119"/>
      <c r="H356" s="119"/>
      <c r="I356" s="133"/>
      <c r="J356" s="80"/>
      <c r="K356" s="134"/>
      <c r="L356" s="139"/>
      <c r="M356" s="136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</row>
    <row r="357" spans="1:30" ht="15.75" customHeight="1">
      <c r="A357" s="59"/>
      <c r="B357" s="115"/>
      <c r="C357" s="116"/>
      <c r="D357" s="27"/>
      <c r="E357" s="117"/>
      <c r="F357" s="118"/>
      <c r="G357" s="119"/>
      <c r="H357" s="119"/>
      <c r="I357" s="133"/>
      <c r="J357" s="80"/>
      <c r="K357" s="134"/>
      <c r="L357" s="136"/>
      <c r="M357" s="136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</row>
    <row r="358" spans="1:30" ht="15.75" customHeight="1">
      <c r="A358" s="59"/>
      <c r="B358" s="115"/>
      <c r="C358" s="116"/>
      <c r="D358" s="27"/>
      <c r="E358" s="117"/>
      <c r="F358" s="118"/>
      <c r="G358" s="119"/>
      <c r="H358" s="119"/>
      <c r="I358" s="133"/>
      <c r="J358" s="80"/>
      <c r="K358" s="134"/>
      <c r="L358" s="136"/>
      <c r="M358" s="149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</row>
    <row r="359" spans="1:30" ht="15.75" customHeight="1">
      <c r="A359" s="59"/>
      <c r="B359" s="115"/>
      <c r="C359" s="116"/>
      <c r="D359" s="27"/>
      <c r="E359" s="117"/>
      <c r="F359" s="118"/>
      <c r="G359" s="119"/>
      <c r="H359" s="119"/>
      <c r="I359" s="133"/>
      <c r="J359" s="80"/>
      <c r="K359" s="134"/>
      <c r="L359" s="135"/>
      <c r="M359" s="149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</row>
    <row r="360" spans="1:30" ht="15.75" customHeight="1">
      <c r="A360" s="59"/>
      <c r="B360" s="115"/>
      <c r="C360" s="116"/>
      <c r="D360" s="27"/>
      <c r="E360" s="117"/>
      <c r="F360" s="118"/>
      <c r="G360" s="119"/>
      <c r="H360" s="119"/>
      <c r="I360" s="133"/>
      <c r="J360" s="80"/>
      <c r="K360" s="134"/>
      <c r="L360" s="136"/>
      <c r="M360" s="149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</row>
    <row r="361" spans="1:30" ht="15.75" customHeight="1">
      <c r="A361" s="59"/>
      <c r="B361" s="115"/>
      <c r="C361" s="116"/>
      <c r="D361" s="27"/>
      <c r="E361" s="117"/>
      <c r="F361" s="118"/>
      <c r="G361" s="119"/>
      <c r="H361" s="119"/>
      <c r="I361" s="133"/>
      <c r="J361" s="80"/>
      <c r="K361" s="134"/>
      <c r="L361" s="150"/>
      <c r="M361" s="136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</row>
    <row r="362" spans="1:30" ht="15.75" customHeight="1">
      <c r="A362" s="59"/>
      <c r="B362" s="115"/>
      <c r="C362" s="116"/>
      <c r="D362" s="27"/>
      <c r="E362" s="117"/>
      <c r="F362" s="118"/>
      <c r="G362" s="119"/>
      <c r="H362" s="119"/>
      <c r="I362" s="133"/>
      <c r="J362" s="80"/>
      <c r="K362" s="134"/>
      <c r="L362" s="150"/>
      <c r="M362" s="136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</row>
    <row r="363" spans="1:30" ht="15.75" customHeight="1">
      <c r="A363" s="59"/>
      <c r="B363" s="115"/>
      <c r="C363" s="116"/>
      <c r="D363" s="27"/>
      <c r="E363" s="117"/>
      <c r="F363" s="118"/>
      <c r="G363" s="119"/>
      <c r="H363" s="119"/>
      <c r="I363" s="133"/>
      <c r="J363" s="80"/>
      <c r="K363" s="134"/>
      <c r="L363" s="150"/>
      <c r="M363" s="136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</row>
    <row r="364" spans="1:30" ht="15.75" customHeight="1">
      <c r="A364" s="59"/>
      <c r="B364" s="115"/>
      <c r="C364" s="116"/>
      <c r="D364" s="27"/>
      <c r="E364" s="117"/>
      <c r="F364" s="118"/>
      <c r="G364" s="119"/>
      <c r="H364" s="119"/>
      <c r="I364" s="133"/>
      <c r="J364" s="80"/>
      <c r="K364" s="134"/>
      <c r="L364" s="150"/>
      <c r="M364" s="136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</row>
    <row r="365" spans="1:30" ht="15.75" customHeight="1">
      <c r="A365" s="59"/>
      <c r="B365" s="115"/>
      <c r="C365" s="116"/>
      <c r="D365" s="27"/>
      <c r="E365" s="117"/>
      <c r="F365" s="118"/>
      <c r="G365" s="119"/>
      <c r="H365" s="119"/>
      <c r="I365" s="133"/>
      <c r="J365" s="80"/>
      <c r="K365" s="134"/>
      <c r="L365" s="150"/>
      <c r="M365" s="136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</row>
    <row r="366" spans="1:30" ht="15.75" customHeight="1">
      <c r="A366" s="59"/>
      <c r="B366" s="115"/>
      <c r="C366" s="116"/>
      <c r="D366" s="27"/>
      <c r="E366" s="117"/>
      <c r="F366" s="118"/>
      <c r="G366" s="119"/>
      <c r="H366" s="119"/>
      <c r="I366" s="65"/>
      <c r="J366" s="80"/>
      <c r="K366" s="134"/>
      <c r="L366" s="150"/>
      <c r="M366" s="136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</row>
    <row r="367" spans="1:30" ht="15.75" customHeight="1">
      <c r="A367" s="59"/>
      <c r="B367" s="115"/>
      <c r="C367" s="116"/>
      <c r="D367" s="27"/>
      <c r="E367" s="117"/>
      <c r="F367" s="118"/>
      <c r="G367" s="119"/>
      <c r="H367" s="119"/>
      <c r="I367" s="65"/>
      <c r="J367" s="80"/>
      <c r="K367" s="134"/>
      <c r="L367" s="150"/>
      <c r="M367" s="136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</row>
    <row r="368" spans="1:30" ht="15.75" customHeight="1">
      <c r="A368" s="59"/>
      <c r="B368" s="115"/>
      <c r="C368" s="116"/>
      <c r="D368" s="27"/>
      <c r="E368" s="117"/>
      <c r="F368" s="118"/>
      <c r="G368" s="119"/>
      <c r="H368" s="119"/>
      <c r="I368" s="65"/>
      <c r="J368" s="80"/>
      <c r="K368" s="134"/>
      <c r="L368" s="150"/>
      <c r="M368" s="136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</row>
    <row r="369" spans="1:30" ht="15.75" customHeight="1">
      <c r="A369" s="59"/>
      <c r="B369" s="115"/>
      <c r="C369" s="116"/>
      <c r="D369" s="27"/>
      <c r="E369" s="117"/>
      <c r="F369" s="118"/>
      <c r="G369" s="119"/>
      <c r="H369" s="119"/>
      <c r="I369" s="65"/>
      <c r="J369" s="80"/>
      <c r="K369" s="134"/>
      <c r="L369" s="150"/>
      <c r="M369" s="136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</row>
    <row r="370" spans="1:30" ht="15.75" customHeight="1">
      <c r="A370" s="59"/>
      <c r="B370" s="115"/>
      <c r="C370" s="116"/>
      <c r="D370" s="27"/>
      <c r="E370" s="117"/>
      <c r="F370" s="118"/>
      <c r="G370" s="119"/>
      <c r="H370" s="119"/>
      <c r="I370" s="65"/>
      <c r="J370" s="80"/>
      <c r="K370" s="134"/>
      <c r="L370" s="150"/>
      <c r="M370" s="136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</row>
    <row r="371" spans="1:30" ht="15.75" customHeight="1">
      <c r="A371" s="59"/>
      <c r="B371" s="115"/>
      <c r="C371" s="116"/>
      <c r="D371" s="27"/>
      <c r="E371" s="117"/>
      <c r="F371" s="118"/>
      <c r="G371" s="119"/>
      <c r="H371" s="119"/>
      <c r="I371" s="65"/>
      <c r="J371" s="80"/>
      <c r="K371" s="134"/>
      <c r="L371" s="150"/>
      <c r="M371" s="136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</row>
    <row r="372" spans="1:30" ht="15.75" customHeight="1">
      <c r="A372" s="59"/>
      <c r="B372" s="115"/>
      <c r="C372" s="116"/>
      <c r="D372" s="27"/>
      <c r="E372" s="117"/>
      <c r="F372" s="118"/>
      <c r="G372" s="119"/>
      <c r="H372" s="119"/>
      <c r="I372" s="27"/>
      <c r="J372" s="80"/>
      <c r="K372" s="134"/>
      <c r="L372" s="136"/>
      <c r="M372" s="136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</row>
    <row r="373" spans="1:30" ht="15.75" customHeight="1">
      <c r="A373" s="59"/>
      <c r="B373" s="115"/>
      <c r="C373" s="116"/>
      <c r="D373" s="27"/>
      <c r="E373" s="117"/>
      <c r="F373" s="118"/>
      <c r="G373" s="119"/>
      <c r="H373" s="119"/>
      <c r="I373" s="427"/>
      <c r="J373" s="80"/>
      <c r="K373" s="134"/>
      <c r="L373" s="136"/>
      <c r="M373" s="136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</row>
    <row r="374" spans="1:30" ht="15.75" customHeight="1">
      <c r="A374" s="59"/>
      <c r="B374" s="115"/>
      <c r="C374" s="116"/>
      <c r="D374" s="27"/>
      <c r="E374" s="117"/>
      <c r="F374" s="118"/>
      <c r="G374" s="119"/>
      <c r="H374" s="119"/>
      <c r="I374" s="217"/>
      <c r="J374" s="80"/>
      <c r="K374" s="134"/>
      <c r="L374" s="136"/>
      <c r="M374" s="136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</row>
    <row r="375" spans="1:30" ht="15.75" customHeight="1">
      <c r="A375" s="59"/>
      <c r="B375" s="115"/>
      <c r="C375" s="116"/>
      <c r="D375" s="27"/>
      <c r="E375" s="117"/>
      <c r="F375" s="118"/>
      <c r="G375" s="119"/>
      <c r="H375" s="119"/>
      <c r="I375" s="217"/>
      <c r="J375" s="80"/>
      <c r="K375" s="134"/>
      <c r="L375" s="136"/>
      <c r="M375" s="136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</row>
    <row r="376" spans="1:30" ht="15.75" customHeight="1">
      <c r="A376" s="59"/>
      <c r="B376" s="115"/>
      <c r="C376" s="116"/>
      <c r="D376" s="27"/>
      <c r="E376" s="117"/>
      <c r="F376" s="118"/>
      <c r="G376" s="119"/>
      <c r="H376" s="119"/>
      <c r="I376" s="217"/>
      <c r="J376" s="80"/>
      <c r="K376" s="134"/>
      <c r="L376" s="136"/>
      <c r="M376" s="136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</row>
    <row r="377" spans="1:30" ht="15.75" customHeight="1">
      <c r="A377" s="59"/>
      <c r="B377" s="115"/>
      <c r="C377" s="116"/>
      <c r="D377" s="27"/>
      <c r="E377" s="117"/>
      <c r="F377" s="118"/>
      <c r="G377" s="119"/>
      <c r="H377" s="119"/>
      <c r="I377" s="217"/>
      <c r="J377" s="80"/>
      <c r="K377" s="134"/>
      <c r="L377" s="136"/>
      <c r="M377" s="136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</row>
    <row r="378" spans="1:30" ht="15.75" customHeight="1">
      <c r="A378" s="59"/>
      <c r="B378" s="115"/>
      <c r="C378" s="116"/>
      <c r="D378" s="27"/>
      <c r="E378" s="117"/>
      <c r="F378" s="118"/>
      <c r="G378" s="119"/>
      <c r="H378" s="119"/>
      <c r="I378" s="217"/>
      <c r="J378" s="80"/>
      <c r="K378" s="134"/>
      <c r="L378" s="136"/>
      <c r="M378" s="136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</row>
    <row r="379" spans="1:30" ht="15.75" customHeight="1">
      <c r="A379" s="59"/>
      <c r="B379" s="115"/>
      <c r="C379" s="116"/>
      <c r="D379" s="27"/>
      <c r="E379" s="117"/>
      <c r="F379" s="118"/>
      <c r="G379" s="119"/>
      <c r="H379" s="119"/>
      <c r="I379" s="216"/>
      <c r="J379" s="80"/>
      <c r="K379" s="134"/>
      <c r="L379" s="136"/>
      <c r="M379" s="136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</row>
    <row r="380" spans="1:30" ht="15.75" customHeight="1">
      <c r="A380" s="59"/>
      <c r="B380" s="115"/>
      <c r="C380" s="116"/>
      <c r="D380" s="27"/>
      <c r="E380" s="117"/>
      <c r="F380" s="118"/>
      <c r="G380" s="119"/>
      <c r="H380" s="119"/>
      <c r="I380" s="217"/>
      <c r="J380" s="80"/>
      <c r="K380" s="134"/>
      <c r="L380" s="136"/>
      <c r="M380" s="136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</row>
    <row r="381" spans="1:30" ht="15.75" customHeight="1">
      <c r="A381" s="59"/>
      <c r="B381" s="115"/>
      <c r="C381" s="116"/>
      <c r="D381" s="27"/>
      <c r="E381" s="117"/>
      <c r="F381" s="118"/>
      <c r="G381" s="119"/>
      <c r="H381" s="119"/>
      <c r="I381" s="170"/>
      <c r="J381" s="80"/>
      <c r="K381" s="134"/>
      <c r="L381" s="136"/>
      <c r="M381" s="136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</row>
    <row r="382" spans="1:30" ht="15.75" customHeight="1">
      <c r="A382" s="59"/>
      <c r="B382" s="115"/>
      <c r="C382" s="116"/>
      <c r="D382" s="27"/>
      <c r="E382" s="117"/>
      <c r="F382" s="118"/>
      <c r="G382" s="119"/>
      <c r="H382" s="119"/>
      <c r="I382" s="170"/>
      <c r="J382" s="80"/>
      <c r="K382" s="134"/>
      <c r="L382" s="136"/>
      <c r="M382" s="136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</row>
    <row r="383" spans="1:30" ht="15.75" customHeight="1">
      <c r="A383" s="59"/>
      <c r="B383" s="115"/>
      <c r="C383" s="116"/>
      <c r="D383" s="27"/>
      <c r="E383" s="117"/>
      <c r="F383" s="118"/>
      <c r="G383" s="119"/>
      <c r="H383" s="119"/>
      <c r="I383" s="216"/>
      <c r="J383" s="80"/>
      <c r="K383" s="134"/>
      <c r="L383" s="136"/>
      <c r="M383" s="136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</row>
    <row r="384" spans="1:30" ht="15.75" customHeight="1">
      <c r="A384" s="59"/>
      <c r="B384" s="115"/>
      <c r="C384" s="116"/>
      <c r="D384" s="27"/>
      <c r="E384" s="117"/>
      <c r="F384" s="118"/>
      <c r="G384" s="119"/>
      <c r="H384" s="119"/>
      <c r="I384" s="483"/>
      <c r="J384" s="80"/>
      <c r="K384" s="134"/>
      <c r="L384" s="136"/>
      <c r="M384" s="136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</row>
    <row r="385" spans="1:30" ht="15.75" customHeight="1">
      <c r="A385" s="59"/>
      <c r="B385" s="115"/>
      <c r="C385" s="116"/>
      <c r="D385" s="27"/>
      <c r="E385" s="117"/>
      <c r="F385" s="118"/>
      <c r="G385" s="119"/>
      <c r="H385" s="119"/>
      <c r="I385" s="216"/>
      <c r="J385" s="80"/>
      <c r="K385" s="134"/>
      <c r="L385" s="136"/>
      <c r="M385" s="136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</row>
    <row r="386" spans="1:30" ht="15.75" customHeight="1">
      <c r="A386" s="59"/>
      <c r="B386" s="115"/>
      <c r="C386" s="116"/>
      <c r="D386" s="27"/>
      <c r="E386" s="117"/>
      <c r="F386" s="118"/>
      <c r="G386" s="119"/>
      <c r="H386" s="119"/>
      <c r="I386" s="217"/>
      <c r="J386" s="80"/>
      <c r="K386" s="134"/>
      <c r="L386" s="136"/>
      <c r="M386" s="136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</row>
    <row r="387" spans="1:30" ht="15.75" customHeight="1">
      <c r="A387" s="59"/>
      <c r="B387" s="115"/>
      <c r="C387" s="116"/>
      <c r="D387" s="27"/>
      <c r="E387" s="117"/>
      <c r="F387" s="118"/>
      <c r="G387" s="119"/>
      <c r="H387" s="119"/>
      <c r="I387" s="217"/>
      <c r="J387" s="80"/>
      <c r="K387" s="134"/>
      <c r="L387" s="136"/>
      <c r="M387" s="136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</row>
    <row r="388" spans="1:30" ht="15.75" customHeight="1">
      <c r="A388" s="59"/>
      <c r="B388" s="115"/>
      <c r="C388" s="116"/>
      <c r="D388" s="27"/>
      <c r="E388" s="117"/>
      <c r="F388" s="118"/>
      <c r="G388" s="119"/>
      <c r="H388" s="119"/>
      <c r="I388" s="133"/>
      <c r="J388" s="80"/>
      <c r="K388" s="134"/>
      <c r="L388" s="136"/>
      <c r="M388" s="136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</row>
    <row r="389" spans="1:30" ht="15.75" customHeight="1">
      <c r="A389" s="59"/>
      <c r="B389" s="115"/>
      <c r="C389" s="116"/>
      <c r="D389" s="27"/>
      <c r="E389" s="117"/>
      <c r="F389" s="118"/>
      <c r="G389" s="119"/>
      <c r="H389" s="119"/>
      <c r="I389" s="216"/>
      <c r="J389" s="80"/>
      <c r="K389" s="134"/>
      <c r="L389" s="136"/>
      <c r="M389" s="136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</row>
    <row r="390" spans="1:30" ht="15.75" customHeight="1">
      <c r="A390" s="59"/>
      <c r="B390" s="115"/>
      <c r="C390" s="116"/>
      <c r="D390" s="27"/>
      <c r="E390" s="117"/>
      <c r="F390" s="118"/>
      <c r="G390" s="119"/>
      <c r="H390" s="119"/>
      <c r="I390" s="217"/>
      <c r="J390" s="80"/>
      <c r="K390" s="134"/>
      <c r="L390" s="136"/>
      <c r="M390" s="136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</row>
    <row r="391" spans="1:30" ht="15.75" customHeight="1">
      <c r="A391" s="59"/>
      <c r="B391" s="115"/>
      <c r="C391" s="116"/>
      <c r="D391" s="27"/>
      <c r="E391" s="117"/>
      <c r="F391" s="118"/>
      <c r="G391" s="119"/>
      <c r="H391" s="119"/>
      <c r="I391" s="133"/>
      <c r="J391" s="80"/>
      <c r="K391" s="134"/>
      <c r="L391" s="136"/>
      <c r="M391" s="136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</row>
    <row r="392" spans="1:30" ht="15.75" customHeight="1">
      <c r="A392" s="1146"/>
      <c r="B392" s="1147"/>
      <c r="C392" s="1147"/>
      <c r="D392" s="1147"/>
      <c r="E392" s="1147"/>
      <c r="F392" s="1147"/>
      <c r="G392" s="1147"/>
      <c r="H392" s="1147"/>
      <c r="I392" s="1147"/>
      <c r="J392" s="1147"/>
      <c r="K392" s="1148"/>
      <c r="L392" s="136"/>
      <c r="M392" s="144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</row>
    <row r="393" spans="1:30" ht="15.75" customHeight="1">
      <c r="A393" s="59"/>
      <c r="B393" s="115"/>
      <c r="C393" s="116"/>
      <c r="D393" s="27"/>
      <c r="E393" s="117"/>
      <c r="F393" s="118"/>
      <c r="G393" s="119"/>
      <c r="H393" s="119"/>
      <c r="I393" s="217"/>
      <c r="J393" s="80"/>
      <c r="K393" s="134"/>
      <c r="L393" s="136"/>
      <c r="M393" s="136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</row>
    <row r="394" spans="1:30" ht="15.75" customHeight="1">
      <c r="A394" s="59"/>
      <c r="B394" s="115"/>
      <c r="C394" s="116"/>
      <c r="D394" s="27"/>
      <c r="E394" s="117"/>
      <c r="F394" s="118"/>
      <c r="G394" s="119"/>
      <c r="H394" s="119"/>
      <c r="I394" s="170"/>
      <c r="J394" s="80"/>
      <c r="K394" s="134"/>
      <c r="L394" s="135"/>
      <c r="M394" s="136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</row>
    <row r="395" spans="1:30" ht="15.75" customHeight="1">
      <c r="A395" s="59"/>
      <c r="B395" s="115"/>
      <c r="C395" s="116"/>
      <c r="D395" s="27"/>
      <c r="E395" s="117"/>
      <c r="F395" s="118"/>
      <c r="G395" s="119"/>
      <c r="H395" s="119"/>
      <c r="I395" s="170"/>
      <c r="J395" s="80"/>
      <c r="K395" s="134"/>
      <c r="L395" s="136"/>
      <c r="M395" s="13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</row>
    <row r="396" spans="1:30" ht="15.75" customHeight="1">
      <c r="A396" s="59"/>
      <c r="B396" s="115"/>
      <c r="C396" s="116"/>
      <c r="D396" s="27"/>
      <c r="E396" s="117"/>
      <c r="F396" s="118"/>
      <c r="G396" s="119"/>
      <c r="H396" s="119"/>
      <c r="I396" s="216"/>
      <c r="J396" s="80"/>
      <c r="K396" s="134"/>
      <c r="L396" s="147"/>
      <c r="M396" s="136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</row>
    <row r="397" spans="1:30" ht="15.75" customHeight="1">
      <c r="A397" s="59"/>
      <c r="B397" s="115"/>
      <c r="C397" s="116"/>
      <c r="D397" s="27"/>
      <c r="E397" s="117"/>
      <c r="F397" s="118"/>
      <c r="G397" s="119"/>
      <c r="H397" s="119"/>
      <c r="I397" s="216"/>
      <c r="J397" s="80"/>
      <c r="K397" s="134"/>
      <c r="L397" s="147"/>
      <c r="M397" s="136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</row>
    <row r="398" spans="1:30" ht="15.75" customHeight="1">
      <c r="A398" s="59"/>
      <c r="B398" s="115"/>
      <c r="C398" s="116"/>
      <c r="D398" s="27"/>
      <c r="E398" s="117"/>
      <c r="F398" s="118"/>
      <c r="G398" s="119"/>
      <c r="H398" s="119"/>
      <c r="I398" s="216"/>
      <c r="J398" s="80"/>
      <c r="K398" s="134"/>
      <c r="L398" s="147"/>
      <c r="M398" s="136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</row>
    <row r="399" spans="1:30" ht="15.75" customHeight="1">
      <c r="A399" s="59"/>
      <c r="B399" s="115"/>
      <c r="C399" s="116"/>
      <c r="D399" s="27"/>
      <c r="E399" s="117"/>
      <c r="F399" s="118"/>
      <c r="G399" s="119"/>
      <c r="H399" s="119"/>
      <c r="I399" s="216"/>
      <c r="J399" s="80"/>
      <c r="K399" s="134"/>
      <c r="L399" s="138"/>
      <c r="M399" s="136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</row>
    <row r="400" spans="1:30" ht="15.75" customHeight="1">
      <c r="A400" s="59"/>
      <c r="B400" s="115"/>
      <c r="C400" s="116"/>
      <c r="D400" s="27"/>
      <c r="E400" s="117"/>
      <c r="F400" s="118"/>
      <c r="G400" s="119"/>
      <c r="H400" s="119"/>
      <c r="I400" s="216"/>
      <c r="J400" s="80"/>
      <c r="K400" s="134"/>
      <c r="L400" s="136"/>
      <c r="M400" s="136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</row>
    <row r="401" spans="1:30" ht="15.75" customHeight="1">
      <c r="A401" s="59"/>
      <c r="B401" s="115"/>
      <c r="C401" s="116"/>
      <c r="D401" s="27"/>
      <c r="E401" s="117"/>
      <c r="F401" s="118"/>
      <c r="G401" s="119"/>
      <c r="H401" s="119"/>
      <c r="I401" s="483"/>
      <c r="J401" s="80"/>
      <c r="K401" s="134"/>
      <c r="L401" s="136"/>
      <c r="M401" s="136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</row>
    <row r="402" spans="1:30" ht="15.75" customHeight="1">
      <c r="A402" s="59"/>
      <c r="B402" s="115"/>
      <c r="C402" s="116"/>
      <c r="D402" s="27"/>
      <c r="E402" s="117"/>
      <c r="F402" s="118"/>
      <c r="G402" s="119"/>
      <c r="H402" s="119"/>
      <c r="I402" s="216"/>
      <c r="J402" s="80"/>
      <c r="K402" s="134"/>
      <c r="L402" s="143"/>
      <c r="M402" s="136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</row>
    <row r="403" spans="1:30" ht="15.75" customHeight="1">
      <c r="A403" s="59"/>
      <c r="B403" s="115"/>
      <c r="C403" s="116"/>
      <c r="D403" s="27"/>
      <c r="E403" s="117"/>
      <c r="F403" s="118"/>
      <c r="G403" s="119"/>
      <c r="H403" s="119"/>
      <c r="I403" s="217"/>
      <c r="J403" s="80"/>
      <c r="K403" s="134"/>
      <c r="L403" s="143"/>
      <c r="M403" s="136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</row>
    <row r="404" spans="1:30" ht="15.75" customHeight="1">
      <c r="A404" s="59"/>
      <c r="B404" s="115"/>
      <c r="C404" s="116"/>
      <c r="D404" s="27"/>
      <c r="E404" s="117"/>
      <c r="F404" s="118"/>
      <c r="G404" s="119"/>
      <c r="H404" s="119"/>
      <c r="I404" s="170"/>
      <c r="J404" s="80"/>
      <c r="K404" s="134"/>
      <c r="L404" s="143"/>
      <c r="M404" s="136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</row>
    <row r="405" spans="1:30" ht="15.75" customHeight="1">
      <c r="A405" s="59"/>
      <c r="B405" s="115"/>
      <c r="C405" s="116"/>
      <c r="D405" s="27"/>
      <c r="E405" s="117"/>
      <c r="F405" s="118"/>
      <c r="G405" s="119"/>
      <c r="H405" s="119"/>
      <c r="I405" s="216"/>
      <c r="J405" s="80"/>
      <c r="K405" s="134"/>
      <c r="L405" s="143"/>
      <c r="M405" s="136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</row>
    <row r="406" spans="1:30" ht="15.75" customHeight="1">
      <c r="A406" s="59"/>
      <c r="B406" s="115"/>
      <c r="C406" s="116"/>
      <c r="D406" s="27"/>
      <c r="E406" s="117"/>
      <c r="F406" s="118"/>
      <c r="G406" s="119"/>
      <c r="H406" s="119"/>
      <c r="I406" s="217"/>
      <c r="J406" s="80"/>
      <c r="K406" s="134"/>
      <c r="L406" s="143"/>
      <c r="M406" s="136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</row>
    <row r="407" spans="1:30" ht="15.75" customHeight="1">
      <c r="A407" s="59"/>
      <c r="B407" s="115"/>
      <c r="C407" s="116"/>
      <c r="D407" s="27"/>
      <c r="E407" s="117"/>
      <c r="F407" s="118"/>
      <c r="G407" s="119"/>
      <c r="H407" s="119"/>
      <c r="I407" s="59"/>
      <c r="J407" s="80"/>
      <c r="K407" s="134"/>
      <c r="L407" s="143"/>
      <c r="M407" s="136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</row>
    <row r="408" spans="1:30" ht="15.75" customHeight="1">
      <c r="A408" s="59"/>
      <c r="B408" s="115"/>
      <c r="C408" s="116"/>
      <c r="D408" s="27"/>
      <c r="E408" s="117"/>
      <c r="F408" s="118"/>
      <c r="G408" s="119"/>
      <c r="H408" s="119"/>
      <c r="I408" s="427"/>
      <c r="J408" s="80"/>
      <c r="K408" s="134"/>
      <c r="L408" s="143"/>
      <c r="M408" s="136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</row>
    <row r="409" spans="1:30" ht="15.75" customHeight="1">
      <c r="A409" s="59"/>
      <c r="B409" s="115"/>
      <c r="C409" s="116"/>
      <c r="D409" s="27"/>
      <c r="E409" s="117"/>
      <c r="F409" s="118"/>
      <c r="G409" s="119"/>
      <c r="H409" s="119"/>
      <c r="I409" s="493"/>
      <c r="J409" s="80"/>
      <c r="K409" s="134"/>
      <c r="L409" s="143"/>
      <c r="M409" s="136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</row>
    <row r="410" spans="1:30" ht="15.75" customHeight="1">
      <c r="A410" s="59"/>
      <c r="B410" s="115"/>
      <c r="C410" s="116"/>
      <c r="D410" s="27"/>
      <c r="E410" s="117"/>
      <c r="F410" s="118"/>
      <c r="G410" s="119"/>
      <c r="H410" s="119"/>
      <c r="I410" s="493"/>
      <c r="J410" s="80"/>
      <c r="K410" s="134"/>
      <c r="L410" s="143"/>
      <c r="M410" s="136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</row>
    <row r="411" spans="1:30" ht="15.75" customHeight="1">
      <c r="A411" s="59"/>
      <c r="B411" s="115"/>
      <c r="C411" s="116"/>
      <c r="D411" s="27"/>
      <c r="E411" s="117"/>
      <c r="F411" s="118"/>
      <c r="G411" s="119"/>
      <c r="H411" s="119"/>
      <c r="I411" s="493"/>
      <c r="J411" s="80"/>
      <c r="K411" s="134"/>
      <c r="L411" s="143"/>
      <c r="M411" s="136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</row>
    <row r="412" spans="1:30" ht="15.75" customHeight="1">
      <c r="A412" s="59"/>
      <c r="B412" s="115"/>
      <c r="C412" s="116"/>
      <c r="D412" s="27"/>
      <c r="E412" s="117"/>
      <c r="F412" s="118"/>
      <c r="G412" s="119"/>
      <c r="H412" s="119"/>
      <c r="I412" s="493"/>
      <c r="J412" s="80"/>
      <c r="K412" s="134"/>
      <c r="L412" s="143"/>
      <c r="M412" s="136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</row>
    <row r="413" spans="1:30" ht="15.75" customHeight="1">
      <c r="A413" s="59"/>
      <c r="B413" s="115"/>
      <c r="C413" s="116"/>
      <c r="D413" s="27"/>
      <c r="E413" s="117"/>
      <c r="F413" s="118"/>
      <c r="G413" s="119"/>
      <c r="H413" s="119"/>
      <c r="I413" s="170"/>
      <c r="J413" s="80"/>
      <c r="K413" s="134"/>
      <c r="L413" s="143"/>
      <c r="M413" s="136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</row>
    <row r="414" spans="1:30" ht="15.75" customHeight="1">
      <c r="A414" s="59"/>
      <c r="B414" s="115"/>
      <c r="C414" s="116"/>
      <c r="D414" s="27"/>
      <c r="E414" s="117"/>
      <c r="F414" s="118"/>
      <c r="G414" s="119"/>
      <c r="H414" s="119"/>
      <c r="I414" s="216"/>
      <c r="J414" s="80"/>
      <c r="K414" s="134"/>
      <c r="L414" s="143"/>
      <c r="M414" s="136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</row>
    <row r="415" spans="1:30" ht="15.75" customHeight="1">
      <c r="A415" s="59"/>
      <c r="B415" s="115"/>
      <c r="C415" s="116"/>
      <c r="D415" s="27"/>
      <c r="E415" s="117"/>
      <c r="F415" s="118"/>
      <c r="G415" s="119"/>
      <c r="H415" s="119"/>
      <c r="I415" s="217"/>
      <c r="J415" s="80"/>
      <c r="K415" s="134"/>
      <c r="L415" s="143"/>
      <c r="M415" s="136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</row>
    <row r="416" spans="1:30" ht="15.75" customHeight="1">
      <c r="A416" s="59"/>
      <c r="B416" s="115"/>
      <c r="C416" s="116"/>
      <c r="D416" s="27"/>
      <c r="E416" s="117"/>
      <c r="F416" s="118"/>
      <c r="G416" s="119"/>
      <c r="H416" s="119"/>
      <c r="I416" s="217"/>
      <c r="J416" s="80"/>
      <c r="K416" s="134"/>
      <c r="L416" s="143"/>
      <c r="M416" s="136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</row>
    <row r="417" spans="1:30" ht="15.75" customHeight="1">
      <c r="A417" s="59"/>
      <c r="B417" s="115"/>
      <c r="C417" s="116"/>
      <c r="D417" s="27"/>
      <c r="E417" s="117"/>
      <c r="F417" s="118"/>
      <c r="G417" s="119"/>
      <c r="H417" s="119"/>
      <c r="I417" s="427"/>
      <c r="J417" s="80"/>
      <c r="K417" s="134"/>
      <c r="L417" s="143"/>
      <c r="M417" s="136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</row>
    <row r="418" spans="1:30" ht="15.75" customHeight="1">
      <c r="A418" s="59"/>
      <c r="B418" s="115"/>
      <c r="C418" s="116"/>
      <c r="D418" s="27"/>
      <c r="E418" s="117"/>
      <c r="F418" s="118"/>
      <c r="G418" s="119"/>
      <c r="H418" s="119"/>
      <c r="I418" s="493"/>
      <c r="J418" s="80"/>
      <c r="K418" s="134"/>
      <c r="L418" s="143"/>
      <c r="M418" s="136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</row>
    <row r="419" spans="1:30" ht="15.75" customHeight="1">
      <c r="A419" s="59"/>
      <c r="B419" s="115"/>
      <c r="C419" s="116"/>
      <c r="D419" s="27"/>
      <c r="E419" s="117"/>
      <c r="F419" s="118"/>
      <c r="G419" s="119"/>
      <c r="H419" s="119"/>
      <c r="I419" s="493"/>
      <c r="J419" s="80"/>
      <c r="K419" s="134"/>
      <c r="L419" s="143"/>
      <c r="M419" s="136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</row>
    <row r="420" spans="1:30" ht="15.75" customHeight="1">
      <c r="A420" s="59"/>
      <c r="B420" s="115"/>
      <c r="C420" s="116"/>
      <c r="D420" s="27"/>
      <c r="E420" s="117"/>
      <c r="F420" s="118"/>
      <c r="G420" s="119"/>
      <c r="H420" s="119"/>
      <c r="I420" s="493"/>
      <c r="J420" s="80"/>
      <c r="K420" s="134"/>
      <c r="L420" s="143"/>
      <c r="M420" s="136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</row>
    <row r="421" spans="1:30" ht="15.75" customHeight="1">
      <c r="A421" s="59"/>
      <c r="B421" s="115"/>
      <c r="C421" s="116"/>
      <c r="D421" s="27"/>
      <c r="E421" s="117"/>
      <c r="F421" s="118"/>
      <c r="G421" s="119"/>
      <c r="H421" s="119"/>
      <c r="I421" s="493"/>
      <c r="J421" s="80"/>
      <c r="K421" s="134"/>
      <c r="L421" s="143"/>
      <c r="M421" s="136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</row>
    <row r="422" spans="1:30" ht="15.75" customHeight="1">
      <c r="A422" s="59"/>
      <c r="B422" s="115"/>
      <c r="C422" s="116"/>
      <c r="D422" s="27"/>
      <c r="E422" s="117"/>
      <c r="F422" s="118"/>
      <c r="G422" s="119"/>
      <c r="H422" s="119"/>
      <c r="I422" s="590"/>
      <c r="J422" s="80"/>
      <c r="K422" s="134"/>
      <c r="L422" s="143"/>
      <c r="M422" s="136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</row>
    <row r="423" spans="1:30" ht="15.75" customHeight="1">
      <c r="A423" s="59"/>
      <c r="B423" s="115"/>
      <c r="C423" s="116"/>
      <c r="D423" s="27"/>
      <c r="E423" s="117"/>
      <c r="F423" s="118"/>
      <c r="G423" s="119"/>
      <c r="H423" s="119"/>
      <c r="I423" s="216"/>
      <c r="J423" s="80"/>
      <c r="K423" s="134"/>
      <c r="L423" s="143"/>
      <c r="M423" s="136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</row>
    <row r="424" spans="1:30" ht="15.75" customHeight="1">
      <c r="A424" s="59"/>
      <c r="B424" s="115"/>
      <c r="C424" s="116"/>
      <c r="D424" s="27"/>
      <c r="E424" s="117"/>
      <c r="F424" s="118"/>
      <c r="G424" s="119"/>
      <c r="H424" s="119"/>
      <c r="I424" s="483"/>
      <c r="J424" s="80"/>
      <c r="K424" s="134"/>
      <c r="L424" s="143"/>
      <c r="M424" s="136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</row>
    <row r="425" spans="1:30" ht="15.75" customHeight="1">
      <c r="A425" s="59"/>
      <c r="B425" s="115"/>
      <c r="C425" s="116"/>
      <c r="D425" s="27"/>
      <c r="E425" s="117"/>
      <c r="F425" s="118"/>
      <c r="G425" s="119"/>
      <c r="H425" s="119"/>
      <c r="I425" s="216"/>
      <c r="J425" s="80"/>
      <c r="K425" s="134"/>
      <c r="L425" s="143"/>
      <c r="M425" s="136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</row>
    <row r="426" spans="1:30" ht="15.75" customHeight="1">
      <c r="A426" s="59"/>
      <c r="B426" s="115"/>
      <c r="C426" s="116"/>
      <c r="D426" s="27"/>
      <c r="E426" s="117"/>
      <c r="F426" s="118"/>
      <c r="G426" s="119"/>
      <c r="H426" s="119"/>
      <c r="I426" s="217"/>
      <c r="J426" s="80"/>
      <c r="K426" s="134"/>
      <c r="L426" s="143"/>
      <c r="M426" s="136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</row>
    <row r="427" spans="1:30" ht="15.75" customHeight="1">
      <c r="A427" s="59"/>
      <c r="B427" s="115"/>
      <c r="C427" s="116"/>
      <c r="D427" s="27"/>
      <c r="E427" s="117"/>
      <c r="F427" s="118"/>
      <c r="G427" s="119"/>
      <c r="H427" s="119"/>
      <c r="I427" s="170"/>
      <c r="J427" s="80"/>
      <c r="K427" s="134"/>
      <c r="L427" s="143"/>
      <c r="M427" s="136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</row>
    <row r="428" spans="1:30" ht="15.75" customHeight="1">
      <c r="A428" s="59"/>
      <c r="B428" s="115"/>
      <c r="C428" s="116"/>
      <c r="D428" s="27"/>
      <c r="E428" s="117"/>
      <c r="F428" s="118"/>
      <c r="G428" s="119"/>
      <c r="H428" s="119"/>
      <c r="I428" s="216"/>
      <c r="J428" s="80"/>
      <c r="K428" s="134"/>
      <c r="L428" s="143"/>
      <c r="M428" s="136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</row>
    <row r="429" spans="1:30" ht="15.75" customHeight="1">
      <c r="A429" s="59"/>
      <c r="B429" s="115"/>
      <c r="C429" s="116"/>
      <c r="D429" s="27"/>
      <c r="E429" s="117"/>
      <c r="F429" s="118"/>
      <c r="G429" s="119"/>
      <c r="H429" s="119"/>
      <c r="I429" s="216"/>
      <c r="J429" s="80"/>
      <c r="K429" s="134"/>
      <c r="L429" s="143"/>
      <c r="M429" s="136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</row>
    <row r="430" spans="1:30" ht="15.75" customHeight="1">
      <c r="A430" s="59"/>
      <c r="B430" s="115"/>
      <c r="C430" s="116"/>
      <c r="D430" s="27"/>
      <c r="E430" s="117"/>
      <c r="F430" s="118"/>
      <c r="G430" s="119"/>
      <c r="H430" s="119"/>
      <c r="I430" s="216"/>
      <c r="J430" s="80"/>
      <c r="K430" s="134"/>
      <c r="L430" s="143"/>
      <c r="M430" s="136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</row>
    <row r="431" spans="1:30" ht="15.75" customHeight="1">
      <c r="A431" s="59"/>
      <c r="B431" s="115"/>
      <c r="C431" s="116"/>
      <c r="D431" s="27"/>
      <c r="E431" s="117"/>
      <c r="F431" s="118"/>
      <c r="G431" s="119"/>
      <c r="H431" s="119"/>
      <c r="I431" s="133"/>
      <c r="J431" s="80"/>
      <c r="K431" s="134"/>
      <c r="L431" s="143"/>
      <c r="M431" s="136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</row>
    <row r="432" spans="1:30" ht="15.75" customHeight="1">
      <c r="A432" s="59"/>
      <c r="B432" s="115"/>
      <c r="C432" s="116"/>
      <c r="D432" s="27"/>
      <c r="E432" s="117"/>
      <c r="F432" s="118"/>
      <c r="G432" s="119"/>
      <c r="H432" s="119"/>
      <c r="I432" s="117"/>
      <c r="J432" s="80"/>
      <c r="K432" s="134"/>
      <c r="L432" s="136"/>
      <c r="M432" s="136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</row>
    <row r="433" spans="1:30" ht="15.75" customHeight="1">
      <c r="A433" s="59"/>
      <c r="B433" s="115"/>
      <c r="C433" s="116"/>
      <c r="D433" s="27"/>
      <c r="E433" s="117"/>
      <c r="F433" s="118"/>
      <c r="G433" s="119"/>
      <c r="H433" s="119"/>
      <c r="I433" s="605"/>
      <c r="J433" s="80"/>
      <c r="K433" s="134"/>
      <c r="L433" s="136"/>
      <c r="M433" s="136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</row>
    <row r="434" spans="1:30" ht="15.75" customHeight="1">
      <c r="A434" s="59"/>
      <c r="B434" s="115"/>
      <c r="C434" s="116"/>
      <c r="D434" s="27"/>
      <c r="E434" s="117"/>
      <c r="F434" s="118"/>
      <c r="G434" s="119"/>
      <c r="H434" s="119"/>
      <c r="I434" s="605"/>
      <c r="J434" s="80"/>
      <c r="K434" s="134"/>
      <c r="L434" s="136"/>
      <c r="M434" s="136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</row>
    <row r="435" spans="1:30" ht="15.75" customHeight="1">
      <c r="A435" s="59"/>
      <c r="B435" s="115"/>
      <c r="C435" s="116"/>
      <c r="D435" s="27"/>
      <c r="E435" s="117"/>
      <c r="F435" s="118"/>
      <c r="G435" s="119"/>
      <c r="H435" s="119"/>
      <c r="I435" s="605"/>
      <c r="J435" s="80"/>
      <c r="K435" s="134"/>
      <c r="L435" s="136"/>
      <c r="M435" s="136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</row>
    <row r="436" spans="1:30" ht="15.75" customHeight="1">
      <c r="A436" s="59"/>
      <c r="B436" s="115"/>
      <c r="C436" s="116"/>
      <c r="D436" s="27"/>
      <c r="E436" s="117"/>
      <c r="F436" s="118"/>
      <c r="G436" s="119"/>
      <c r="H436" s="119"/>
      <c r="I436" s="605"/>
      <c r="J436" s="80"/>
      <c r="K436" s="134"/>
      <c r="L436" s="136"/>
      <c r="M436" s="136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</row>
    <row r="437" spans="1:30" ht="15.75" customHeight="1">
      <c r="A437" s="59"/>
      <c r="B437" s="115"/>
      <c r="C437" s="116"/>
      <c r="D437" s="27"/>
      <c r="E437" s="117"/>
      <c r="F437" s="118"/>
      <c r="G437" s="119"/>
      <c r="H437" s="119"/>
      <c r="I437" s="605"/>
      <c r="J437" s="80"/>
      <c r="K437" s="134"/>
      <c r="L437" s="136"/>
      <c r="M437" s="136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</row>
    <row r="438" spans="1:30" ht="15.75" customHeight="1">
      <c r="A438" s="59"/>
      <c r="B438" s="115"/>
      <c r="C438" s="116"/>
      <c r="D438" s="27"/>
      <c r="E438" s="117"/>
      <c r="F438" s="604"/>
      <c r="G438" s="117"/>
      <c r="H438" s="117"/>
      <c r="I438" s="133"/>
      <c r="J438" s="80"/>
      <c r="K438" s="134"/>
      <c r="L438" s="136"/>
      <c r="M438" s="136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</row>
    <row r="439" spans="1:30" ht="15.75" customHeight="1">
      <c r="A439" s="59"/>
      <c r="B439" s="115"/>
      <c r="C439" s="116"/>
      <c r="D439" s="26"/>
      <c r="E439" s="117"/>
      <c r="F439" s="118"/>
      <c r="G439" s="27"/>
      <c r="H439" s="119"/>
      <c r="I439" s="133"/>
      <c r="J439" s="80"/>
      <c r="K439" s="134"/>
      <c r="L439" s="136"/>
      <c r="M439" s="136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</row>
    <row r="440" spans="1:30" ht="15.75" customHeight="1" thickBot="1">
      <c r="A440" s="85"/>
      <c r="B440" s="151"/>
      <c r="C440" s="152"/>
      <c r="D440" s="95"/>
      <c r="E440" s="153"/>
      <c r="F440" s="154"/>
      <c r="G440" s="155"/>
      <c r="H440" s="155"/>
      <c r="I440" s="157"/>
      <c r="J440" s="96"/>
      <c r="K440" s="158"/>
      <c r="L440" s="136"/>
      <c r="M440" s="136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</row>
    <row r="441" spans="1:30" ht="15.75" customHeight="1">
      <c r="A441" s="8"/>
      <c r="B441" s="103"/>
      <c r="C441" s="8"/>
      <c r="D441" s="8"/>
      <c r="E441" s="8"/>
      <c r="F441" s="43"/>
      <c r="G441" s="103"/>
      <c r="H441" s="103"/>
      <c r="I441" s="8"/>
      <c r="J441" s="8"/>
      <c r="K441" s="8"/>
      <c r="L441" s="136"/>
      <c r="M441" s="136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</row>
    <row r="442" spans="1:30" ht="15.75">
      <c r="A442" s="8"/>
      <c r="B442" s="103"/>
      <c r="C442" s="8"/>
      <c r="D442" s="8"/>
      <c r="E442" s="8"/>
      <c r="F442" s="43"/>
      <c r="G442" s="103"/>
      <c r="H442" s="103"/>
      <c r="I442" s="8"/>
      <c r="J442" s="8"/>
      <c r="K442" s="8"/>
      <c r="L442" s="121"/>
      <c r="M442" s="121"/>
      <c r="N442" s="1143"/>
      <c r="O442" s="1143"/>
      <c r="P442" s="1145"/>
      <c r="Q442" s="1145"/>
      <c r="R442" s="1144"/>
      <c r="S442" s="1144"/>
      <c r="T442" s="1144"/>
      <c r="U442" s="1144"/>
      <c r="V442" s="1144"/>
      <c r="W442" s="1144"/>
      <c r="X442" s="1144"/>
      <c r="Y442" s="1144"/>
      <c r="Z442" s="1144"/>
      <c r="AA442" s="1144"/>
      <c r="AB442" s="1144"/>
      <c r="AC442" s="1144"/>
      <c r="AD442" s="1144"/>
    </row>
    <row r="443" spans="1:30" ht="15.75">
      <c r="A443" s="8"/>
      <c r="B443" s="103"/>
      <c r="C443" s="8"/>
      <c r="D443" s="8"/>
      <c r="E443" s="8"/>
      <c r="F443" s="43"/>
      <c r="G443" s="103"/>
      <c r="H443" s="103"/>
      <c r="J443" s="36" t="s">
        <v>370</v>
      </c>
      <c r="K443" s="8"/>
      <c r="L443" s="121"/>
      <c r="M443" s="121"/>
      <c r="N443" s="126"/>
      <c r="O443" s="126"/>
      <c r="P443" s="159"/>
      <c r="Q443" s="159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</row>
    <row r="444" spans="1:30" ht="15.75">
      <c r="A444" s="8"/>
      <c r="B444" s="103"/>
      <c r="C444" s="8"/>
      <c r="D444" s="8"/>
      <c r="E444" s="8"/>
      <c r="F444" s="43"/>
      <c r="G444" s="103"/>
      <c r="H444" s="103"/>
      <c r="J444" s="36"/>
      <c r="K444" s="8"/>
      <c r="L444" s="122"/>
      <c r="M444" s="122"/>
      <c r="N444" s="1143"/>
      <c r="O444" s="1143"/>
      <c r="P444" s="1143"/>
      <c r="Q444" s="1143"/>
      <c r="R444" s="1144"/>
      <c r="S444" s="1144"/>
      <c r="T444" s="1144"/>
      <c r="U444" s="1144"/>
      <c r="V444" s="1144"/>
      <c r="W444" s="1144"/>
      <c r="X444" s="1144"/>
      <c r="Y444" s="1144"/>
      <c r="Z444" s="1144"/>
      <c r="AA444" s="1144"/>
      <c r="AB444" s="1144"/>
      <c r="AC444" s="1144"/>
      <c r="AD444" s="1144"/>
    </row>
    <row r="445" spans="1:30" ht="15.75">
      <c r="A445" s="8"/>
      <c r="C445" s="36" t="s">
        <v>32</v>
      </c>
      <c r="D445" s="8"/>
      <c r="E445" s="8"/>
      <c r="F445" s="43"/>
      <c r="G445" s="103"/>
      <c r="H445" s="103"/>
      <c r="J445" s="36" t="s">
        <v>362</v>
      </c>
      <c r="K445" s="34"/>
      <c r="L445" s="122"/>
      <c r="M445" s="122"/>
      <c r="N445" s="1143"/>
      <c r="O445" s="1143"/>
      <c r="P445" s="1143"/>
      <c r="Q445" s="1143"/>
      <c r="R445" s="1144"/>
      <c r="S445" s="1144"/>
      <c r="T445" s="1144"/>
      <c r="U445" s="1144"/>
      <c r="V445" s="1144"/>
      <c r="W445" s="1144"/>
      <c r="X445" s="1144"/>
      <c r="Y445" s="1144"/>
      <c r="Z445" s="1144"/>
      <c r="AA445" s="1144"/>
      <c r="AB445" s="1144"/>
      <c r="AC445" s="1144"/>
      <c r="AD445" s="1144"/>
    </row>
    <row r="446" spans="1:30" ht="15.75">
      <c r="A446" s="8"/>
      <c r="C446" s="36"/>
      <c r="D446" s="8"/>
      <c r="E446" s="8"/>
      <c r="F446" s="43"/>
      <c r="G446" s="103"/>
      <c r="H446" s="103"/>
      <c r="J446" s="36"/>
      <c r="K446" s="34"/>
      <c r="L446" s="122"/>
      <c r="M446" s="122"/>
      <c r="N446" s="1143"/>
      <c r="O446" s="1143"/>
      <c r="P446" s="1143"/>
      <c r="Q446" s="1143"/>
      <c r="R446" s="1143"/>
      <c r="S446" s="1143"/>
      <c r="T446" s="1143"/>
      <c r="U446" s="1143"/>
      <c r="V446" s="1143"/>
      <c r="W446" s="1143"/>
      <c r="X446" s="1143"/>
      <c r="Y446" s="1143"/>
      <c r="Z446" s="1143"/>
      <c r="AA446" s="1143"/>
      <c r="AB446" s="1143"/>
      <c r="AC446" s="1143"/>
      <c r="AD446" s="1143"/>
    </row>
    <row r="447" spans="1:30" ht="15.75">
      <c r="A447" s="8"/>
      <c r="C447" s="36"/>
      <c r="D447" s="8"/>
      <c r="E447" s="8"/>
      <c r="F447" s="43"/>
      <c r="G447" s="103"/>
      <c r="H447" s="103"/>
      <c r="J447" s="36"/>
      <c r="K447" s="34"/>
      <c r="L447" s="121"/>
      <c r="M447" s="121"/>
      <c r="N447" s="1143"/>
      <c r="O447" s="1143"/>
      <c r="P447" s="1145"/>
      <c r="Q447" s="1145"/>
      <c r="R447" s="1144"/>
      <c r="S447" s="1144"/>
      <c r="T447" s="1144"/>
      <c r="U447" s="1144"/>
      <c r="V447" s="1144"/>
      <c r="W447" s="1144"/>
      <c r="X447" s="1144"/>
      <c r="Y447" s="1144"/>
      <c r="Z447" s="1144"/>
      <c r="AA447" s="1144"/>
      <c r="AB447" s="1144"/>
      <c r="AC447" s="1144"/>
      <c r="AD447" s="1144"/>
    </row>
    <row r="448" spans="1:30" ht="15.75">
      <c r="A448" s="8"/>
      <c r="C448" s="36"/>
      <c r="D448" s="8"/>
      <c r="E448" s="8"/>
      <c r="F448" s="43"/>
      <c r="G448" s="103"/>
      <c r="H448" s="103"/>
      <c r="J448" s="36"/>
      <c r="K448" s="34"/>
      <c r="L448" s="121"/>
      <c r="M448" s="121"/>
      <c r="N448" s="1143"/>
      <c r="O448" s="1143"/>
      <c r="P448" s="1145"/>
      <c r="Q448" s="1145"/>
      <c r="R448" s="1144"/>
      <c r="S448" s="1144"/>
      <c r="T448" s="1144"/>
      <c r="U448" s="1144"/>
      <c r="V448" s="1144"/>
      <c r="W448" s="1144"/>
      <c r="X448" s="1144"/>
      <c r="Y448" s="1144"/>
      <c r="Z448" s="1144"/>
      <c r="AA448" s="1144"/>
      <c r="AB448" s="1144"/>
      <c r="AC448" s="1144"/>
      <c r="AD448" s="1144"/>
    </row>
    <row r="449" spans="1:30" ht="15.75">
      <c r="A449" s="8"/>
      <c r="C449" s="37" t="s">
        <v>33</v>
      </c>
      <c r="D449" s="156"/>
      <c r="E449" s="8"/>
      <c r="F449" s="43"/>
      <c r="G449" s="8"/>
      <c r="H449" s="8"/>
      <c r="J449" s="37" t="s">
        <v>360</v>
      </c>
      <c r="K449" s="38"/>
      <c r="L449" s="121"/>
      <c r="M449" s="121"/>
      <c r="N449" s="1143"/>
      <c r="O449" s="1143"/>
      <c r="P449" s="1145"/>
      <c r="Q449" s="1145"/>
      <c r="R449" s="1144"/>
      <c r="S449" s="1144"/>
      <c r="T449" s="1144"/>
      <c r="U449" s="1144"/>
      <c r="V449" s="1144"/>
      <c r="W449" s="1144"/>
      <c r="X449" s="1144"/>
      <c r="Y449" s="1144"/>
      <c r="Z449" s="1144"/>
      <c r="AA449" s="1144"/>
      <c r="AB449" s="1144"/>
      <c r="AC449" s="1144"/>
      <c r="AD449" s="1144"/>
    </row>
    <row r="450" spans="1:30" ht="15.75">
      <c r="A450" s="8"/>
      <c r="C450" s="36" t="s">
        <v>34</v>
      </c>
      <c r="D450" s="8"/>
      <c r="E450" s="8"/>
      <c r="F450" s="43"/>
      <c r="G450" s="8"/>
      <c r="H450" s="8"/>
      <c r="J450" s="36" t="s">
        <v>361</v>
      </c>
      <c r="K450" s="92"/>
      <c r="L450" s="160"/>
      <c r="M450" s="160"/>
      <c r="N450" s="1143"/>
      <c r="O450" s="1143"/>
      <c r="P450" s="1143"/>
      <c r="Q450" s="1143"/>
      <c r="R450" s="1143"/>
      <c r="S450" s="1143"/>
      <c r="T450" s="1143"/>
      <c r="U450" s="1143"/>
      <c r="V450" s="1143"/>
      <c r="W450" s="1143"/>
      <c r="X450" s="1143"/>
      <c r="Y450" s="1143"/>
      <c r="Z450" s="1143"/>
      <c r="AA450" s="1143"/>
      <c r="AB450" s="1143"/>
      <c r="AC450" s="1143"/>
      <c r="AD450" s="1143"/>
    </row>
    <row r="451" spans="1:30">
      <c r="L451" s="161"/>
      <c r="M451" s="161"/>
      <c r="N451" s="1143"/>
      <c r="O451" s="1143"/>
      <c r="P451" s="1143"/>
      <c r="Q451" s="1143"/>
      <c r="R451" s="1143"/>
      <c r="S451" s="1143"/>
      <c r="T451" s="1143"/>
      <c r="U451" s="1143"/>
      <c r="V451" s="1143"/>
      <c r="W451" s="1143"/>
      <c r="X451" s="1143"/>
      <c r="Y451" s="1143"/>
      <c r="Z451" s="1143"/>
      <c r="AA451" s="1143"/>
      <c r="AB451" s="1143"/>
      <c r="AC451" s="1143"/>
      <c r="AD451" s="1143"/>
    </row>
  </sheetData>
  <mergeCells count="54">
    <mergeCell ref="A3:K3"/>
    <mergeCell ref="M5:N5"/>
    <mergeCell ref="O5:AD5"/>
    <mergeCell ref="L6:AD6"/>
    <mergeCell ref="L7:AD7"/>
    <mergeCell ref="D6:D7"/>
    <mergeCell ref="G6:G7"/>
    <mergeCell ref="H6:H7"/>
    <mergeCell ref="I6:I7"/>
    <mergeCell ref="J6:J7"/>
    <mergeCell ref="E6:F7"/>
    <mergeCell ref="K6:K7"/>
    <mergeCell ref="A6:A7"/>
    <mergeCell ref="N442:O442"/>
    <mergeCell ref="P442:Q442"/>
    <mergeCell ref="R442:AD442"/>
    <mergeCell ref="B6:B7"/>
    <mergeCell ref="C6:C7"/>
    <mergeCell ref="L9:AD9"/>
    <mergeCell ref="A10:K10"/>
    <mergeCell ref="E8:F8"/>
    <mergeCell ref="A392:K392"/>
    <mergeCell ref="A206:K206"/>
    <mergeCell ref="A243:K243"/>
    <mergeCell ref="A249:K249"/>
    <mergeCell ref="A296:K296"/>
    <mergeCell ref="A335:K335"/>
    <mergeCell ref="A339:K339"/>
    <mergeCell ref="L8:AD8"/>
    <mergeCell ref="P449:Q449"/>
    <mergeCell ref="R449:AD449"/>
    <mergeCell ref="N446:R446"/>
    <mergeCell ref="S446:U446"/>
    <mergeCell ref="V446:X446"/>
    <mergeCell ref="Y446:AA446"/>
    <mergeCell ref="AB446:AD446"/>
    <mergeCell ref="N447:O447"/>
    <mergeCell ref="P447:Q447"/>
    <mergeCell ref="R447:AD447"/>
    <mergeCell ref="N448:O448"/>
    <mergeCell ref="P448:Q448"/>
    <mergeCell ref="R448:AD448"/>
    <mergeCell ref="N449:O449"/>
    <mergeCell ref="S450:U451"/>
    <mergeCell ref="V450:X451"/>
    <mergeCell ref="Y450:AA451"/>
    <mergeCell ref="AB450:AD451"/>
    <mergeCell ref="N450:R451"/>
    <mergeCell ref="R445:AD445"/>
    <mergeCell ref="N444:O444"/>
    <mergeCell ref="P444:Q444"/>
    <mergeCell ref="R444:AD444"/>
    <mergeCell ref="N445:O445"/>
    <mergeCell ref="P445:Q445"/>
  </mergeCells>
  <printOptions horizontalCentered="1"/>
  <pageMargins left="0.25" right="0.25" top="0.55000000000000004" bottom="0.26" header="0.31" footer="0.31"/>
  <pageSetup paperSize="10000" scale="70" orientation="landscape" verticalDpi="360" r:id="rId1"/>
  <headerFooter alignWithMargins="0"/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AA1387"/>
  <sheetViews>
    <sheetView view="pageBreakPreview" topLeftCell="A2" zoomScale="93" zoomScaleSheetLayoutView="93" workbookViewId="0">
      <selection activeCell="A14" sqref="A14:P444"/>
    </sheetView>
  </sheetViews>
  <sheetFormatPr defaultColWidth="9" defaultRowHeight="15"/>
  <cols>
    <col min="1" max="1" width="4.7109375" customWidth="1"/>
    <col min="2" max="2" width="11.7109375" customWidth="1"/>
    <col min="3" max="3" width="33.28515625" customWidth="1"/>
    <col min="4" max="4" width="12" customWidth="1"/>
    <col min="5" max="5" width="11" customWidth="1"/>
    <col min="6" max="6" width="9.140625" customWidth="1"/>
    <col min="7" max="7" width="7.5703125" style="41" customWidth="1"/>
    <col min="8" max="8" width="15.140625" customWidth="1"/>
    <col min="9" max="9" width="13.7109375" customWidth="1"/>
    <col min="10" max="10" width="13.42578125" customWidth="1"/>
    <col min="11" max="11" width="12.7109375" customWidth="1"/>
    <col min="12" max="12" width="23.28515625" customWidth="1"/>
    <col min="13" max="13" width="15.140625" style="42" customWidth="1"/>
    <col min="14" max="14" width="7.85546875" customWidth="1"/>
    <col min="15" max="15" width="14.7109375" customWidth="1"/>
    <col min="16" max="16" width="12.5703125" customWidth="1"/>
  </cols>
  <sheetData>
    <row r="1" spans="1:16" ht="15.75">
      <c r="A1" s="8"/>
      <c r="B1" s="8"/>
      <c r="C1" s="8"/>
      <c r="D1" s="8"/>
      <c r="E1" s="8"/>
      <c r="F1" s="8"/>
      <c r="G1" s="43"/>
      <c r="H1" s="8"/>
      <c r="I1" s="8"/>
      <c r="J1" s="8"/>
      <c r="K1" s="8"/>
      <c r="L1" s="8"/>
      <c r="M1" s="66"/>
      <c r="N1" s="8"/>
      <c r="O1" s="8"/>
      <c r="P1" s="9" t="s">
        <v>46</v>
      </c>
    </row>
    <row r="2" spans="1:16" ht="15.75">
      <c r="A2" s="8"/>
      <c r="B2" s="8" t="s">
        <v>47</v>
      </c>
      <c r="C2" s="10" t="s">
        <v>193</v>
      </c>
      <c r="D2" s="8"/>
      <c r="E2" s="8"/>
      <c r="F2" s="8"/>
      <c r="G2" s="43"/>
      <c r="H2" s="8"/>
      <c r="K2" s="8"/>
      <c r="L2" s="8"/>
      <c r="M2" s="66"/>
      <c r="N2" s="8"/>
      <c r="O2" s="8"/>
      <c r="P2" s="11"/>
    </row>
    <row r="3" spans="1:16" ht="15.75">
      <c r="A3" s="8"/>
      <c r="B3" s="8" t="s">
        <v>49</v>
      </c>
      <c r="C3" s="10" t="s">
        <v>50</v>
      </c>
      <c r="D3" s="8"/>
      <c r="E3" s="8"/>
      <c r="F3" s="8"/>
      <c r="G3" s="43"/>
      <c r="H3" s="8"/>
      <c r="K3" s="8"/>
      <c r="L3" s="8"/>
      <c r="M3" s="66"/>
      <c r="N3" s="8"/>
      <c r="O3" s="8"/>
      <c r="P3" s="11"/>
    </row>
    <row r="4" spans="1:16" ht="15.75">
      <c r="A4" s="8"/>
      <c r="B4" s="8" t="s">
        <v>51</v>
      </c>
      <c r="C4" s="10" t="s">
        <v>52</v>
      </c>
      <c r="D4" s="8"/>
      <c r="E4" s="8"/>
      <c r="F4" s="8"/>
      <c r="G4" s="43"/>
      <c r="H4" s="8"/>
      <c r="K4" s="8"/>
      <c r="L4" s="8"/>
      <c r="M4" s="66"/>
      <c r="N4" s="8"/>
      <c r="O4" s="8"/>
      <c r="P4" s="11"/>
    </row>
    <row r="5" spans="1:16" ht="15.75">
      <c r="A5" s="8"/>
      <c r="B5" s="8"/>
      <c r="C5" s="8"/>
      <c r="D5" s="8"/>
      <c r="E5" s="8"/>
      <c r="F5" s="8"/>
      <c r="G5" s="43"/>
      <c r="H5" s="8"/>
      <c r="I5" s="8"/>
      <c r="J5" s="8"/>
      <c r="K5" s="8"/>
      <c r="L5" s="8"/>
      <c r="M5" s="66"/>
      <c r="N5" s="8"/>
      <c r="O5" s="8"/>
      <c r="P5" s="11"/>
    </row>
    <row r="6" spans="1:16" ht="18.75">
      <c r="A6" s="1140" t="s">
        <v>53</v>
      </c>
      <c r="B6" s="1140"/>
      <c r="C6" s="1140"/>
      <c r="D6" s="1140"/>
      <c r="E6" s="1140"/>
      <c r="F6" s="1140"/>
      <c r="G6" s="1140"/>
      <c r="H6" s="1140"/>
      <c r="I6" s="1140"/>
      <c r="J6" s="1140"/>
      <c r="K6" s="1140"/>
      <c r="L6" s="1140"/>
      <c r="M6" s="1140"/>
      <c r="N6" s="1140"/>
      <c r="O6" s="1140"/>
      <c r="P6" s="1140"/>
    </row>
    <row r="7" spans="1:16" ht="15.75">
      <c r="A7" s="8"/>
      <c r="B7" s="8"/>
      <c r="C7" s="8"/>
      <c r="D7" s="8"/>
      <c r="E7" s="8"/>
      <c r="F7" s="8"/>
      <c r="G7" s="43"/>
      <c r="H7" s="8"/>
      <c r="I7" s="8"/>
      <c r="J7" s="8"/>
      <c r="K7" s="8"/>
      <c r="L7" s="8"/>
      <c r="M7" s="67"/>
      <c r="N7" s="8"/>
      <c r="O7" s="8"/>
      <c r="P7" s="8"/>
    </row>
    <row r="8" spans="1:16">
      <c r="A8" s="44"/>
      <c r="B8" s="1162" t="s">
        <v>54</v>
      </c>
      <c r="C8" s="1163"/>
      <c r="D8" s="1163"/>
      <c r="E8" s="1163"/>
      <c r="F8" s="1163"/>
      <c r="G8" s="1163"/>
      <c r="H8" s="1163"/>
      <c r="I8" s="1163"/>
      <c r="J8" s="1164"/>
      <c r="K8" s="1162" t="s">
        <v>55</v>
      </c>
      <c r="L8" s="1163"/>
      <c r="M8" s="1163"/>
      <c r="N8" s="1163"/>
      <c r="O8" s="1164"/>
      <c r="P8" s="44"/>
    </row>
    <row r="9" spans="1:16" ht="15" customHeight="1">
      <c r="A9" s="1133" t="s">
        <v>2</v>
      </c>
      <c r="B9" s="1136" t="s">
        <v>56</v>
      </c>
      <c r="C9" s="1136" t="s">
        <v>57</v>
      </c>
      <c r="D9" s="1136" t="s">
        <v>58</v>
      </c>
      <c r="E9" s="1136" t="s">
        <v>59</v>
      </c>
      <c r="F9" s="1169" t="s">
        <v>60</v>
      </c>
      <c r="G9" s="1170"/>
      <c r="H9" s="1136" t="s">
        <v>61</v>
      </c>
      <c r="I9" s="1165" t="s">
        <v>62</v>
      </c>
      <c r="J9" s="1166"/>
      <c r="K9" s="1136" t="s">
        <v>63</v>
      </c>
      <c r="L9" s="1136" t="s">
        <v>64</v>
      </c>
      <c r="M9" s="1169" t="s">
        <v>60</v>
      </c>
      <c r="N9" s="1170"/>
      <c r="O9" s="1136" t="s">
        <v>65</v>
      </c>
      <c r="P9" s="1133" t="s">
        <v>11</v>
      </c>
    </row>
    <row r="10" spans="1:16">
      <c r="A10" s="1135"/>
      <c r="B10" s="1138"/>
      <c r="C10" s="1138"/>
      <c r="D10" s="1138"/>
      <c r="E10" s="1138"/>
      <c r="F10" s="1171"/>
      <c r="G10" s="1172"/>
      <c r="H10" s="1138"/>
      <c r="I10" s="68" t="s">
        <v>3</v>
      </c>
      <c r="J10" s="69" t="s">
        <v>13</v>
      </c>
      <c r="K10" s="1138"/>
      <c r="L10" s="1138"/>
      <c r="M10" s="1171"/>
      <c r="N10" s="1172"/>
      <c r="O10" s="1138"/>
      <c r="P10" s="1135"/>
    </row>
    <row r="11" spans="1:16">
      <c r="A11" s="47">
        <v>1</v>
      </c>
      <c r="B11" s="48">
        <v>2</v>
      </c>
      <c r="C11" s="48">
        <v>3</v>
      </c>
      <c r="D11" s="48">
        <v>4</v>
      </c>
      <c r="E11" s="48">
        <v>5</v>
      </c>
      <c r="F11" s="1167">
        <v>6</v>
      </c>
      <c r="G11" s="1168"/>
      <c r="H11" s="48">
        <v>7</v>
      </c>
      <c r="I11" s="48">
        <v>8</v>
      </c>
      <c r="J11" s="47">
        <v>9</v>
      </c>
      <c r="K11" s="48">
        <v>10</v>
      </c>
      <c r="L11" s="48">
        <v>11</v>
      </c>
      <c r="M11" s="1167">
        <v>12</v>
      </c>
      <c r="N11" s="1168"/>
      <c r="O11" s="47">
        <v>13</v>
      </c>
      <c r="P11" s="47">
        <v>14</v>
      </c>
    </row>
    <row r="12" spans="1:16">
      <c r="A12" s="49"/>
      <c r="B12" s="50"/>
      <c r="C12" s="50"/>
      <c r="D12" s="50"/>
      <c r="E12" s="50"/>
      <c r="F12" s="51"/>
      <c r="G12" s="52"/>
      <c r="H12" s="50"/>
      <c r="I12" s="70"/>
      <c r="J12" s="23"/>
      <c r="K12" s="71"/>
      <c r="L12" s="71"/>
      <c r="M12" s="72"/>
      <c r="N12" s="73"/>
      <c r="O12" s="23"/>
      <c r="P12" s="23"/>
    </row>
    <row r="13" spans="1:16" ht="15.75" customHeight="1">
      <c r="A13" s="1159" t="str">
        <f>'LAMP.8 (II)'!A10:M10</f>
        <v>1. Alat Tulis Kantor</v>
      </c>
      <c r="B13" s="1160"/>
      <c r="C13" s="1160"/>
      <c r="D13" s="1160"/>
      <c r="E13" s="1160"/>
      <c r="F13" s="1160"/>
      <c r="G13" s="1160"/>
      <c r="H13" s="1160"/>
      <c r="I13" s="1160"/>
      <c r="J13" s="1160"/>
      <c r="K13" s="1160"/>
      <c r="L13" s="1160"/>
      <c r="M13" s="1160"/>
      <c r="N13" s="1160"/>
      <c r="O13" s="1160"/>
      <c r="P13" s="1161"/>
    </row>
    <row r="14" spans="1:16" ht="15.75" customHeight="1">
      <c r="A14" s="59"/>
      <c r="B14" s="60"/>
      <c r="C14" s="61"/>
      <c r="D14" s="62"/>
      <c r="E14" s="62"/>
      <c r="F14" s="63"/>
      <c r="G14" s="64"/>
      <c r="H14" s="65"/>
      <c r="I14" s="27"/>
      <c r="J14" s="26"/>
      <c r="K14" s="80"/>
      <c r="L14" s="81"/>
      <c r="M14" s="82"/>
      <c r="N14" s="83"/>
      <c r="O14" s="26"/>
    </row>
    <row r="15" spans="1:16" ht="15.95" customHeight="1">
      <c r="A15" s="59"/>
      <c r="B15" s="60"/>
      <c r="C15" s="61"/>
      <c r="D15" s="62"/>
      <c r="E15" s="62"/>
      <c r="F15" s="63"/>
      <c r="G15" s="64"/>
      <c r="H15" s="65"/>
      <c r="I15" s="27"/>
      <c r="J15" s="26"/>
      <c r="K15" s="80"/>
      <c r="L15" s="81"/>
      <c r="M15" s="82"/>
      <c r="N15" s="83"/>
      <c r="O15" s="463"/>
      <c r="P15" s="26"/>
    </row>
    <row r="16" spans="1:16" ht="15.75" customHeight="1">
      <c r="A16" s="59"/>
      <c r="B16" s="60"/>
      <c r="C16" s="61"/>
      <c r="D16" s="62"/>
      <c r="E16" s="62"/>
      <c r="F16" s="63"/>
      <c r="G16" s="64"/>
      <c r="H16" s="65"/>
      <c r="I16" s="27"/>
      <c r="J16" s="26"/>
      <c r="K16" s="80"/>
      <c r="L16" s="81"/>
      <c r="M16" s="82"/>
      <c r="N16" s="83"/>
      <c r="O16" s="463"/>
      <c r="P16" s="26"/>
    </row>
    <row r="17" spans="1:16" ht="15.75" customHeight="1">
      <c r="A17" s="59"/>
      <c r="B17" s="60"/>
      <c r="C17" s="61"/>
      <c r="D17" s="62"/>
      <c r="E17" s="62"/>
      <c r="F17" s="63"/>
      <c r="G17" s="64"/>
      <c r="H17" s="65"/>
      <c r="I17" s="27"/>
      <c r="J17" s="26"/>
      <c r="K17" s="80"/>
      <c r="L17" s="81"/>
      <c r="M17" s="82"/>
      <c r="N17" s="83"/>
      <c r="O17" s="463"/>
      <c r="P17" s="26"/>
    </row>
    <row r="18" spans="1:16" ht="15.75" customHeight="1">
      <c r="A18" s="59"/>
      <c r="B18" s="60"/>
      <c r="C18" s="61"/>
      <c r="D18" s="62"/>
      <c r="E18" s="62"/>
      <c r="F18" s="63"/>
      <c r="G18" s="64"/>
      <c r="H18" s="65"/>
      <c r="I18" s="27"/>
      <c r="J18" s="26"/>
      <c r="K18" s="80"/>
      <c r="L18" s="81"/>
      <c r="M18" s="82"/>
      <c r="N18" s="83"/>
      <c r="O18" s="463"/>
      <c r="P18" s="26"/>
    </row>
    <row r="19" spans="1:16" ht="15.75" customHeight="1">
      <c r="A19" s="59"/>
      <c r="B19" s="60"/>
      <c r="C19" s="61"/>
      <c r="D19" s="62"/>
      <c r="E19" s="62"/>
      <c r="F19" s="63"/>
      <c r="G19" s="64"/>
      <c r="H19" s="65"/>
      <c r="I19" s="27"/>
      <c r="J19" s="26"/>
      <c r="K19" s="80"/>
      <c r="L19" s="81"/>
      <c r="M19" s="82"/>
      <c r="N19" s="83"/>
      <c r="O19" s="463"/>
      <c r="P19" s="26"/>
    </row>
    <row r="20" spans="1:16" ht="15.75" customHeight="1">
      <c r="A20" s="59"/>
      <c r="B20" s="60"/>
      <c r="C20" s="61"/>
      <c r="D20" s="62"/>
      <c r="E20" s="62"/>
      <c r="F20" s="63"/>
      <c r="G20" s="64"/>
      <c r="H20" s="65"/>
      <c r="I20" s="27"/>
      <c r="J20" s="26"/>
      <c r="K20" s="80"/>
      <c r="L20" s="81"/>
      <c r="M20" s="82"/>
      <c r="N20" s="83"/>
      <c r="O20" s="463"/>
      <c r="P20" s="26"/>
    </row>
    <row r="21" spans="1:16" ht="15.75" customHeight="1">
      <c r="A21" s="59"/>
      <c r="B21" s="60"/>
      <c r="C21" s="61"/>
      <c r="D21" s="62"/>
      <c r="E21" s="62"/>
      <c r="F21" s="63"/>
      <c r="G21" s="64"/>
      <c r="H21" s="65"/>
      <c r="I21" s="27"/>
      <c r="J21" s="26"/>
      <c r="K21" s="80"/>
      <c r="L21" s="81"/>
      <c r="M21" s="82"/>
      <c r="N21" s="83"/>
      <c r="O21" s="463"/>
      <c r="P21" s="26"/>
    </row>
    <row r="22" spans="1:16" ht="15.75" customHeight="1">
      <c r="A22" s="59"/>
      <c r="B22" s="60"/>
      <c r="C22" s="61"/>
      <c r="D22" s="62"/>
      <c r="E22" s="62"/>
      <c r="F22" s="63"/>
      <c r="G22" s="64"/>
      <c r="H22" s="65"/>
      <c r="I22" s="27"/>
      <c r="J22" s="26"/>
      <c r="K22" s="80"/>
      <c r="L22" s="81"/>
      <c r="M22" s="82"/>
      <c r="N22" s="83"/>
      <c r="O22" s="463"/>
      <c r="P22" s="26"/>
    </row>
    <row r="23" spans="1:16" ht="15.75" customHeight="1">
      <c r="A23" s="59"/>
      <c r="B23" s="60"/>
      <c r="C23" s="61"/>
      <c r="D23" s="62"/>
      <c r="E23" s="62"/>
      <c r="F23" s="63"/>
      <c r="G23" s="64"/>
      <c r="H23" s="65"/>
      <c r="I23" s="65"/>
      <c r="J23" s="26"/>
      <c r="K23" s="80"/>
      <c r="L23" s="81"/>
      <c r="M23" s="82"/>
      <c r="N23" s="83"/>
      <c r="O23" s="463"/>
      <c r="P23" s="26"/>
    </row>
    <row r="24" spans="1:16" ht="15.75" customHeight="1">
      <c r="A24" s="59"/>
      <c r="B24" s="60"/>
      <c r="C24" s="61"/>
      <c r="D24" s="62"/>
      <c r="E24" s="62"/>
      <c r="F24" s="63"/>
      <c r="G24" s="64"/>
      <c r="H24" s="65"/>
      <c r="I24" s="27"/>
      <c r="J24" s="26"/>
      <c r="K24" s="80"/>
      <c r="L24" s="81"/>
      <c r="M24" s="82"/>
      <c r="N24" s="83"/>
      <c r="O24" s="463"/>
      <c r="P24" s="26"/>
    </row>
    <row r="25" spans="1:16" ht="15.75" customHeight="1">
      <c r="A25" s="59"/>
      <c r="B25" s="60"/>
      <c r="C25" s="61"/>
      <c r="D25" s="61"/>
      <c r="E25" s="61"/>
      <c r="F25" s="63"/>
      <c r="G25" s="64"/>
      <c r="H25" s="65"/>
      <c r="I25" s="61"/>
      <c r="J25" s="61"/>
      <c r="K25" s="80"/>
      <c r="L25" s="81"/>
      <c r="M25" s="82"/>
      <c r="N25" s="83"/>
      <c r="O25" s="583"/>
      <c r="P25" s="26"/>
    </row>
    <row r="26" spans="1:16" ht="15.75" customHeight="1">
      <c r="A26" s="59"/>
      <c r="B26" s="60"/>
      <c r="C26" s="61"/>
      <c r="D26" s="62"/>
      <c r="E26" s="62"/>
      <c r="F26" s="63"/>
      <c r="G26" s="64"/>
      <c r="H26" s="65"/>
      <c r="I26" s="27"/>
      <c r="J26" s="26"/>
      <c r="K26" s="80"/>
      <c r="L26" s="81"/>
      <c r="M26" s="82"/>
      <c r="N26" s="83"/>
      <c r="O26" s="463"/>
      <c r="P26" s="26"/>
    </row>
    <row r="27" spans="1:16" ht="15.75" customHeight="1">
      <c r="A27" s="59"/>
      <c r="B27" s="60"/>
      <c r="C27" s="61"/>
      <c r="D27" s="62"/>
      <c r="E27" s="62"/>
      <c r="F27" s="63"/>
      <c r="G27" s="64"/>
      <c r="H27" s="65"/>
      <c r="I27" s="27"/>
      <c r="J27" s="26"/>
      <c r="K27" s="80"/>
      <c r="L27" s="81"/>
      <c r="M27" s="82"/>
      <c r="N27" s="83"/>
      <c r="O27" s="463"/>
      <c r="P27" s="26"/>
    </row>
    <row r="28" spans="1:16" ht="15.75" customHeight="1">
      <c r="A28" s="59"/>
      <c r="B28" s="60"/>
      <c r="C28" s="61"/>
      <c r="D28" s="62"/>
      <c r="E28" s="62"/>
      <c r="F28" s="63"/>
      <c r="G28" s="64"/>
      <c r="H28" s="65"/>
      <c r="I28" s="27"/>
      <c r="J28" s="26"/>
      <c r="K28" s="80"/>
      <c r="L28" s="81"/>
      <c r="M28" s="82"/>
      <c r="N28" s="83"/>
      <c r="O28" s="463"/>
      <c r="P28" s="26"/>
    </row>
    <row r="29" spans="1:16" ht="15.75" customHeight="1">
      <c r="A29" s="59"/>
      <c r="B29" s="60"/>
      <c r="C29" s="61"/>
      <c r="D29" s="62"/>
      <c r="E29" s="62"/>
      <c r="F29" s="63"/>
      <c r="G29" s="64"/>
      <c r="H29" s="65"/>
      <c r="I29" s="27"/>
      <c r="J29" s="26"/>
      <c r="K29" s="80"/>
      <c r="L29" s="81"/>
      <c r="M29" s="82"/>
      <c r="N29" s="83"/>
      <c r="O29" s="463"/>
      <c r="P29" s="26"/>
    </row>
    <row r="30" spans="1:16" ht="15.75" customHeight="1">
      <c r="A30" s="59"/>
      <c r="B30" s="60"/>
      <c r="C30" s="61"/>
      <c r="D30" s="62"/>
      <c r="E30" s="62"/>
      <c r="F30" s="63"/>
      <c r="G30" s="64"/>
      <c r="H30" s="65"/>
      <c r="I30" s="27"/>
      <c r="J30" s="26"/>
      <c r="K30" s="80"/>
      <c r="L30" s="81"/>
      <c r="M30" s="82"/>
      <c r="N30" s="83"/>
      <c r="O30" s="463"/>
      <c r="P30" s="26"/>
    </row>
    <row r="31" spans="1:16" ht="15.75" customHeight="1">
      <c r="A31" s="59"/>
      <c r="B31" s="60"/>
      <c r="C31" s="61"/>
      <c r="D31" s="62"/>
      <c r="E31" s="62"/>
      <c r="F31" s="63"/>
      <c r="G31" s="64"/>
      <c r="H31" s="65"/>
      <c r="I31" s="27"/>
      <c r="J31" s="26"/>
      <c r="K31" s="80"/>
      <c r="L31" s="81"/>
      <c r="M31" s="82"/>
      <c r="N31" s="83"/>
      <c r="O31" s="463"/>
      <c r="P31" s="26"/>
    </row>
    <row r="32" spans="1:16" ht="15.75" customHeight="1">
      <c r="A32" s="59"/>
      <c r="B32" s="60"/>
      <c r="C32" s="61"/>
      <c r="D32" s="62"/>
      <c r="E32" s="62"/>
      <c r="F32" s="63"/>
      <c r="G32" s="64"/>
      <c r="H32" s="65"/>
      <c r="I32" s="27"/>
      <c r="J32" s="26"/>
      <c r="K32" s="80"/>
      <c r="L32" s="81"/>
      <c r="M32" s="82"/>
      <c r="N32" s="83"/>
      <c r="O32" s="463"/>
      <c r="P32" s="26"/>
    </row>
    <row r="33" spans="1:17" ht="15.75" customHeight="1">
      <c r="A33" s="59"/>
      <c r="B33" s="60"/>
      <c r="C33" s="61"/>
      <c r="D33" s="62"/>
      <c r="E33" s="62"/>
      <c r="F33" s="63"/>
      <c r="G33" s="64"/>
      <c r="H33" s="65"/>
      <c r="I33" s="27"/>
      <c r="J33" s="26"/>
      <c r="K33" s="80"/>
      <c r="L33" s="81"/>
      <c r="M33" s="82"/>
      <c r="N33" s="83"/>
      <c r="O33" s="463"/>
      <c r="P33" s="26"/>
    </row>
    <row r="34" spans="1:17" ht="15.75" customHeight="1">
      <c r="A34" s="59"/>
      <c r="B34" s="60"/>
      <c r="C34" s="61"/>
      <c r="D34" s="62"/>
      <c r="E34" s="62"/>
      <c r="F34" s="63"/>
      <c r="G34" s="64"/>
      <c r="H34" s="65"/>
      <c r="I34" s="27"/>
      <c r="J34" s="26"/>
      <c r="K34" s="80"/>
      <c r="L34" s="81"/>
      <c r="M34" s="82"/>
      <c r="N34" s="83"/>
      <c r="O34" s="463"/>
      <c r="P34" s="26"/>
    </row>
    <row r="35" spans="1:17" ht="15.75" customHeight="1">
      <c r="A35" s="59"/>
      <c r="B35" s="60"/>
      <c r="C35" s="61"/>
      <c r="D35" s="62"/>
      <c r="E35" s="62"/>
      <c r="F35" s="63"/>
      <c r="G35" s="64"/>
      <c r="H35" s="65"/>
      <c r="I35" s="27"/>
      <c r="J35" s="26"/>
      <c r="K35" s="80"/>
      <c r="L35" s="81"/>
      <c r="M35" s="82"/>
      <c r="N35" s="83"/>
      <c r="O35" s="463"/>
      <c r="P35" s="26"/>
    </row>
    <row r="36" spans="1:17" ht="15.75" customHeight="1">
      <c r="A36" s="59"/>
      <c r="B36" s="60"/>
      <c r="C36" s="61"/>
      <c r="D36" s="62"/>
      <c r="E36" s="62"/>
      <c r="F36" s="63"/>
      <c r="G36" s="64"/>
      <c r="H36" s="65"/>
      <c r="I36" s="27"/>
      <c r="J36" s="26"/>
      <c r="K36" s="80"/>
      <c r="L36" s="81"/>
      <c r="M36" s="82"/>
      <c r="N36" s="83"/>
      <c r="O36" s="463"/>
      <c r="P36" s="26"/>
    </row>
    <row r="37" spans="1:17" ht="15.75" customHeight="1">
      <c r="A37" s="59"/>
      <c r="B37" s="60"/>
      <c r="C37" s="61"/>
      <c r="D37" s="62"/>
      <c r="E37" s="62"/>
      <c r="F37" s="63"/>
      <c r="G37" s="64"/>
      <c r="H37" s="65"/>
      <c r="I37" s="27"/>
      <c r="J37" s="26"/>
      <c r="K37" s="80"/>
      <c r="L37" s="81"/>
      <c r="M37" s="82"/>
      <c r="N37" s="83"/>
      <c r="O37" s="463"/>
      <c r="P37" s="26"/>
    </row>
    <row r="38" spans="1:17" ht="15.75" customHeight="1">
      <c r="A38" s="59"/>
      <c r="B38" s="60"/>
      <c r="C38" s="61"/>
      <c r="D38" s="62"/>
      <c r="E38" s="62"/>
      <c r="F38" s="63"/>
      <c r="G38" s="64"/>
      <c r="H38" s="65"/>
      <c r="I38" s="27"/>
      <c r="J38" s="26"/>
      <c r="K38" s="80"/>
      <c r="L38" s="81"/>
      <c r="M38" s="82"/>
      <c r="N38" s="83"/>
      <c r="O38" s="463"/>
      <c r="P38" s="26"/>
    </row>
    <row r="39" spans="1:17" ht="15.75" customHeight="1">
      <c r="A39" s="59"/>
      <c r="B39" s="60"/>
      <c r="C39" s="61"/>
      <c r="D39" s="62"/>
      <c r="E39" s="62"/>
      <c r="F39" s="63"/>
      <c r="G39" s="64"/>
      <c r="H39" s="65"/>
      <c r="I39" s="27"/>
      <c r="J39" s="26"/>
      <c r="K39" s="80"/>
      <c r="L39" s="81"/>
      <c r="M39" s="82"/>
      <c r="N39" s="83"/>
      <c r="O39" s="463"/>
      <c r="P39" s="26"/>
    </row>
    <row r="40" spans="1:17" ht="15.75" customHeight="1">
      <c r="A40" s="59"/>
      <c r="B40" s="60"/>
      <c r="C40" s="61"/>
      <c r="D40" s="62"/>
      <c r="E40" s="62"/>
      <c r="F40" s="63"/>
      <c r="G40" s="64"/>
      <c r="H40" s="65"/>
      <c r="I40" s="27"/>
      <c r="J40" s="26"/>
      <c r="K40" s="80"/>
      <c r="L40" s="81"/>
      <c r="M40" s="82"/>
      <c r="N40" s="83"/>
      <c r="O40" s="463"/>
      <c r="P40" s="26"/>
    </row>
    <row r="41" spans="1:17" ht="15.75" customHeight="1">
      <c r="A41" s="59"/>
      <c r="B41" s="60"/>
      <c r="C41" s="61"/>
      <c r="D41" s="62"/>
      <c r="E41" s="62"/>
      <c r="F41" s="63"/>
      <c r="G41" s="64"/>
      <c r="H41" s="65"/>
      <c r="I41" s="27"/>
      <c r="J41" s="26"/>
      <c r="K41" s="80"/>
      <c r="L41" s="81"/>
      <c r="M41" s="82"/>
      <c r="N41" s="83"/>
      <c r="O41" s="463"/>
      <c r="P41" s="26"/>
    </row>
    <row r="42" spans="1:17" ht="15.75" customHeight="1">
      <c r="A42" s="59"/>
      <c r="B42" s="60"/>
      <c r="C42" s="61"/>
      <c r="D42" s="61"/>
      <c r="E42" s="61"/>
      <c r="F42" s="63"/>
      <c r="G42" s="64"/>
      <c r="H42" s="65"/>
      <c r="I42" s="61"/>
      <c r="J42" s="61"/>
      <c r="K42" s="80"/>
      <c r="L42" s="81"/>
      <c r="M42" s="82"/>
      <c r="N42" s="83"/>
      <c r="O42" s="61"/>
      <c r="P42" s="26"/>
    </row>
    <row r="43" spans="1:17" ht="15.75" customHeight="1">
      <c r="A43" s="59"/>
      <c r="B43" s="60"/>
      <c r="C43" s="61"/>
      <c r="D43" s="62"/>
      <c r="E43" s="62"/>
      <c r="F43" s="63"/>
      <c r="G43" s="64"/>
      <c r="H43" s="65"/>
      <c r="I43" s="27"/>
      <c r="J43" s="26"/>
      <c r="K43" s="80"/>
      <c r="L43" s="81"/>
      <c r="M43" s="82"/>
      <c r="N43" s="83"/>
      <c r="O43" s="463"/>
      <c r="P43" s="26"/>
    </row>
    <row r="44" spans="1:17" ht="15.75" customHeight="1">
      <c r="A44" s="59"/>
      <c r="B44" s="60"/>
      <c r="C44" s="61"/>
      <c r="D44" s="62"/>
      <c r="E44" s="62"/>
      <c r="F44" s="63"/>
      <c r="G44" s="64"/>
      <c r="H44" s="65"/>
      <c r="I44" s="27"/>
      <c r="J44" s="26"/>
      <c r="K44" s="80"/>
      <c r="L44" s="81"/>
      <c r="M44" s="82"/>
      <c r="N44" s="83"/>
      <c r="O44" s="463"/>
      <c r="P44" s="26"/>
    </row>
    <row r="45" spans="1:17" ht="15.75" customHeight="1">
      <c r="A45" s="59"/>
      <c r="B45" s="60"/>
      <c r="C45" s="61"/>
      <c r="D45" s="61"/>
      <c r="E45" s="61"/>
      <c r="F45" s="63"/>
      <c r="G45" s="64"/>
      <c r="H45" s="65"/>
      <c r="I45" s="61"/>
      <c r="J45" s="61"/>
      <c r="K45" s="80"/>
      <c r="L45" s="81"/>
      <c r="M45" s="82"/>
      <c r="N45" s="83"/>
      <c r="O45" s="61"/>
      <c r="P45" s="61"/>
    </row>
    <row r="46" spans="1:17" ht="15.75" customHeight="1">
      <c r="A46" s="59"/>
      <c r="B46" s="60"/>
      <c r="C46" s="61"/>
      <c r="D46" s="62"/>
      <c r="E46" s="62"/>
      <c r="F46" s="63"/>
      <c r="G46" s="64"/>
      <c r="H46" s="65"/>
      <c r="I46" s="27"/>
      <c r="J46" s="26"/>
      <c r="K46" s="80"/>
      <c r="L46" s="81"/>
      <c r="M46" s="82"/>
      <c r="N46" s="83"/>
      <c r="O46" s="463"/>
      <c r="P46" s="26"/>
    </row>
    <row r="47" spans="1:17" ht="15.75" customHeight="1">
      <c r="A47" s="59"/>
      <c r="B47" s="60"/>
      <c r="C47" s="61"/>
      <c r="D47" s="61"/>
      <c r="E47" s="61"/>
      <c r="F47" s="63"/>
      <c r="G47" s="64"/>
      <c r="H47" s="65"/>
      <c r="I47" s="61"/>
      <c r="J47" s="61"/>
      <c r="K47" s="80"/>
      <c r="L47" s="81"/>
      <c r="M47" s="82"/>
      <c r="N47" s="83"/>
      <c r="O47" s="61"/>
      <c r="P47" s="61"/>
      <c r="Q47" s="61"/>
    </row>
    <row r="48" spans="1:17" ht="15.75" customHeight="1">
      <c r="A48" s="59"/>
      <c r="B48" s="60"/>
      <c r="C48" s="61"/>
      <c r="D48" s="62"/>
      <c r="E48" s="62"/>
      <c r="F48" s="63"/>
      <c r="G48" s="64"/>
      <c r="H48" s="65"/>
      <c r="I48" s="27"/>
      <c r="J48" s="26"/>
      <c r="K48" s="80"/>
      <c r="L48" s="81"/>
      <c r="M48" s="82"/>
      <c r="N48" s="83"/>
      <c r="O48" s="463"/>
      <c r="P48" s="26"/>
    </row>
    <row r="49" spans="1:27" ht="15.75" customHeight="1">
      <c r="A49" s="59"/>
      <c r="B49" s="60"/>
      <c r="C49" s="61"/>
      <c r="D49" s="62"/>
      <c r="E49" s="62"/>
      <c r="F49" s="63"/>
      <c r="G49" s="64"/>
      <c r="H49" s="65"/>
      <c r="I49" s="65"/>
      <c r="J49" s="65"/>
      <c r="K49" s="80"/>
      <c r="L49" s="81"/>
      <c r="M49" s="82"/>
      <c r="N49" s="83"/>
      <c r="O49" s="463"/>
      <c r="P49" s="26"/>
    </row>
    <row r="50" spans="1:27" ht="15.75" customHeight="1">
      <c r="A50" s="59"/>
      <c r="B50" s="60"/>
      <c r="C50" s="61"/>
      <c r="D50" s="62"/>
      <c r="E50" s="62"/>
      <c r="F50" s="63"/>
      <c r="G50" s="64"/>
      <c r="H50" s="65"/>
      <c r="I50" s="65"/>
      <c r="J50" s="65"/>
      <c r="K50" s="80"/>
      <c r="L50" s="81"/>
      <c r="M50" s="82"/>
      <c r="N50" s="83"/>
      <c r="O50" s="463"/>
      <c r="P50" s="26"/>
    </row>
    <row r="51" spans="1:27" ht="15.75" customHeight="1">
      <c r="A51" s="59"/>
      <c r="B51" s="60"/>
      <c r="C51" s="61"/>
      <c r="D51" s="62"/>
      <c r="E51" s="62"/>
      <c r="F51" s="63"/>
      <c r="G51" s="64"/>
      <c r="H51" s="65"/>
      <c r="I51" s="65"/>
      <c r="J51" s="65"/>
      <c r="K51" s="80"/>
      <c r="L51" s="81"/>
      <c r="M51" s="82"/>
      <c r="N51" s="83"/>
      <c r="O51" s="463"/>
      <c r="P51" s="26"/>
    </row>
    <row r="52" spans="1:27" ht="15.75" customHeight="1">
      <c r="A52" s="59"/>
      <c r="B52" s="60"/>
      <c r="C52" s="61"/>
      <c r="D52" s="62"/>
      <c r="E52" s="62"/>
      <c r="F52" s="63"/>
      <c r="G52" s="64"/>
      <c r="H52" s="65"/>
      <c r="I52" s="65"/>
      <c r="J52" s="65"/>
      <c r="K52" s="80"/>
      <c r="L52" s="81"/>
      <c r="M52" s="82"/>
      <c r="N52" s="83"/>
      <c r="O52" s="463"/>
      <c r="P52" s="26"/>
    </row>
    <row r="53" spans="1:27" ht="15.75" customHeight="1">
      <c r="A53" s="59"/>
      <c r="B53" s="60"/>
      <c r="C53" s="61"/>
      <c r="D53" s="62"/>
      <c r="E53" s="62"/>
      <c r="F53" s="63"/>
      <c r="G53" s="64"/>
      <c r="H53" s="65"/>
      <c r="I53" s="65"/>
      <c r="J53" s="65"/>
      <c r="K53" s="80"/>
      <c r="L53" s="81"/>
      <c r="M53" s="82"/>
      <c r="N53" s="83"/>
      <c r="O53" s="463"/>
      <c r="P53" s="26"/>
    </row>
    <row r="54" spans="1:27" ht="15.75" customHeight="1">
      <c r="A54" s="59"/>
      <c r="B54" s="60"/>
      <c r="C54" s="61"/>
      <c r="D54" s="62"/>
      <c r="E54" s="62"/>
      <c r="F54" s="63"/>
      <c r="G54" s="64"/>
      <c r="H54" s="65"/>
      <c r="I54" s="65"/>
      <c r="J54" s="65"/>
      <c r="K54" s="80"/>
      <c r="L54" s="81"/>
      <c r="M54" s="82"/>
      <c r="N54" s="83"/>
      <c r="O54" s="463"/>
      <c r="P54" s="26"/>
    </row>
    <row r="55" spans="1:27" ht="15.75" customHeight="1">
      <c r="A55" s="59"/>
      <c r="B55" s="60"/>
      <c r="C55" s="61"/>
      <c r="D55" s="62"/>
      <c r="E55" s="62"/>
      <c r="F55" s="63"/>
      <c r="G55" s="64"/>
      <c r="H55" s="65"/>
      <c r="I55" s="65"/>
      <c r="J55" s="65"/>
      <c r="K55" s="80"/>
      <c r="L55" s="81"/>
      <c r="M55" s="82"/>
      <c r="N55" s="83"/>
      <c r="O55" s="463"/>
      <c r="P55" s="26"/>
    </row>
    <row r="56" spans="1:27" ht="15.75" customHeight="1">
      <c r="A56" s="59"/>
      <c r="B56" s="60"/>
      <c r="C56" s="61"/>
      <c r="D56" s="62"/>
      <c r="E56" s="62"/>
      <c r="F56" s="63"/>
      <c r="G56" s="64"/>
      <c r="H56" s="65"/>
      <c r="I56" s="65"/>
      <c r="J56" s="65"/>
      <c r="K56" s="80"/>
      <c r="L56" s="81"/>
      <c r="M56" s="82"/>
      <c r="N56" s="83"/>
      <c r="O56" s="463"/>
      <c r="P56" s="26"/>
    </row>
    <row r="57" spans="1:27" ht="15.75" customHeight="1">
      <c r="A57" s="59"/>
      <c r="B57" s="60"/>
      <c r="C57" s="61"/>
      <c r="D57" s="62"/>
      <c r="E57" s="62"/>
      <c r="F57" s="63"/>
      <c r="G57" s="64"/>
      <c r="H57" s="65"/>
      <c r="I57" s="65"/>
      <c r="J57" s="65"/>
      <c r="K57" s="80"/>
      <c r="L57" s="81"/>
      <c r="M57" s="82"/>
      <c r="N57" s="83"/>
      <c r="O57" s="463"/>
      <c r="P57" s="26"/>
    </row>
    <row r="58" spans="1:27" ht="15.75" customHeight="1">
      <c r="A58" s="59"/>
      <c r="B58" s="60"/>
      <c r="C58" s="61"/>
      <c r="D58" s="62"/>
      <c r="E58" s="62"/>
      <c r="F58" s="63"/>
      <c r="G58" s="64"/>
      <c r="H58" s="65"/>
      <c r="I58" s="65"/>
      <c r="J58" s="65"/>
      <c r="K58" s="80"/>
      <c r="L58" s="81"/>
      <c r="M58" s="82"/>
      <c r="N58" s="83"/>
      <c r="O58" s="463"/>
      <c r="P58" s="26"/>
    </row>
    <row r="59" spans="1:27" ht="15.75" customHeight="1">
      <c r="A59" s="59"/>
      <c r="B59" s="60"/>
      <c r="C59" s="61"/>
      <c r="D59" s="61"/>
      <c r="E59" s="61"/>
      <c r="F59" s="63"/>
      <c r="G59" s="64"/>
      <c r="H59" s="65"/>
      <c r="I59" s="61"/>
      <c r="J59" s="61"/>
      <c r="K59" s="80"/>
      <c r="L59" s="81"/>
      <c r="M59" s="82"/>
      <c r="N59" s="83"/>
      <c r="O59" s="61"/>
      <c r="P59" s="61"/>
    </row>
    <row r="60" spans="1:27" ht="15.75" customHeight="1">
      <c r="A60" s="59"/>
      <c r="B60" s="60"/>
      <c r="C60" s="61"/>
      <c r="D60" s="62"/>
      <c r="E60" s="62"/>
      <c r="F60" s="63"/>
      <c r="G60" s="64"/>
      <c r="H60" s="65"/>
      <c r="I60" s="27"/>
      <c r="J60" s="26"/>
      <c r="K60" s="80"/>
      <c r="L60" s="81"/>
      <c r="M60" s="82"/>
      <c r="N60" s="83"/>
      <c r="O60" s="463"/>
      <c r="P60" s="26"/>
    </row>
    <row r="61" spans="1:27" ht="15.75" customHeight="1">
      <c r="A61" s="59"/>
      <c r="B61" s="60"/>
      <c r="C61" s="61"/>
      <c r="D61" s="62"/>
      <c r="E61" s="62"/>
      <c r="F61" s="63"/>
      <c r="G61" s="64"/>
      <c r="H61" s="65"/>
      <c r="I61" s="27"/>
      <c r="J61" s="26"/>
      <c r="K61" s="80"/>
      <c r="L61" s="81"/>
      <c r="M61" s="82"/>
      <c r="N61" s="83"/>
      <c r="O61" s="463"/>
      <c r="P61" s="26"/>
    </row>
    <row r="62" spans="1:27" ht="15.75" customHeight="1">
      <c r="A62" s="59"/>
      <c r="B62" s="60"/>
      <c r="C62" s="61"/>
      <c r="D62" s="62"/>
      <c r="E62" s="62"/>
      <c r="F62" s="63"/>
      <c r="G62" s="64"/>
      <c r="H62" s="65"/>
      <c r="I62" s="27"/>
      <c r="J62" s="26"/>
      <c r="K62" s="80"/>
      <c r="L62" s="81"/>
      <c r="M62" s="82"/>
      <c r="N62" s="83"/>
      <c r="O62" s="463"/>
      <c r="P62" s="26"/>
    </row>
    <row r="63" spans="1:27" ht="15.75" customHeight="1">
      <c r="A63" s="59"/>
      <c r="B63" s="60"/>
      <c r="C63" s="61"/>
      <c r="D63" s="61"/>
      <c r="E63" s="61"/>
      <c r="F63" s="63"/>
      <c r="G63" s="64"/>
      <c r="H63" s="65"/>
      <c r="I63" s="61"/>
      <c r="J63" s="61"/>
      <c r="K63" s="80"/>
      <c r="L63" s="81"/>
      <c r="M63" s="82"/>
      <c r="N63" s="83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 spans="1:27" ht="15.75" customHeight="1">
      <c r="A64" s="59"/>
      <c r="B64" s="60"/>
      <c r="C64" s="61"/>
      <c r="D64" s="62"/>
      <c r="E64" s="62"/>
      <c r="F64" s="63"/>
      <c r="G64" s="64"/>
      <c r="H64" s="65"/>
      <c r="I64" s="27"/>
      <c r="J64" s="26"/>
      <c r="K64" s="80"/>
      <c r="L64" s="81"/>
      <c r="M64" s="82"/>
      <c r="N64" s="83"/>
      <c r="O64" s="463"/>
      <c r="P64" s="26"/>
    </row>
    <row r="65" spans="1:17" ht="15.75" customHeight="1">
      <c r="A65" s="59"/>
      <c r="B65" s="60"/>
      <c r="C65" s="61"/>
      <c r="D65" s="62"/>
      <c r="E65" s="62"/>
      <c r="F65" s="63"/>
      <c r="G65" s="64"/>
      <c r="H65" s="65"/>
      <c r="I65" s="65"/>
      <c r="J65" s="65"/>
      <c r="K65" s="80"/>
      <c r="L65" s="81"/>
      <c r="M65" s="82"/>
      <c r="N65" s="83"/>
      <c r="O65" s="463"/>
      <c r="P65" s="26"/>
    </row>
    <row r="66" spans="1:17" ht="15.75" customHeight="1">
      <c r="A66" s="59"/>
      <c r="B66" s="60"/>
      <c r="C66" s="61"/>
      <c r="D66" s="62"/>
      <c r="E66" s="62"/>
      <c r="F66" s="63"/>
      <c r="G66" s="64"/>
      <c r="H66" s="65"/>
      <c r="I66" s="27"/>
      <c r="J66" s="26"/>
      <c r="K66" s="80"/>
      <c r="L66" s="81"/>
      <c r="M66" s="82"/>
      <c r="N66" s="83"/>
      <c r="O66" s="463"/>
      <c r="P66" s="26"/>
    </row>
    <row r="67" spans="1:17" ht="15.75" customHeight="1">
      <c r="A67" s="59"/>
      <c r="B67" s="60"/>
      <c r="C67" s="61"/>
      <c r="D67" s="61"/>
      <c r="E67" s="61"/>
      <c r="F67" s="63"/>
      <c r="G67" s="64"/>
      <c r="H67" s="65"/>
      <c r="I67" s="61"/>
      <c r="J67" s="61"/>
      <c r="K67" s="80"/>
      <c r="L67" s="81"/>
      <c r="M67" s="82"/>
      <c r="N67" s="83"/>
      <c r="O67" s="61"/>
      <c r="P67" s="61"/>
      <c r="Q67" s="61"/>
    </row>
    <row r="68" spans="1:17" ht="15.75" customHeight="1">
      <c r="A68" s="59"/>
      <c r="B68" s="60"/>
      <c r="C68" s="61"/>
      <c r="D68" s="62"/>
      <c r="E68" s="62"/>
      <c r="F68" s="63"/>
      <c r="G68" s="64"/>
      <c r="H68" s="65"/>
      <c r="I68" s="27"/>
      <c r="J68" s="26"/>
      <c r="K68" s="80"/>
      <c r="L68" s="81"/>
      <c r="M68" s="82"/>
      <c r="N68" s="83"/>
      <c r="O68" s="463"/>
      <c r="P68" s="26"/>
    </row>
    <row r="69" spans="1:17" ht="15.75" customHeight="1">
      <c r="A69" s="59"/>
      <c r="B69" s="60"/>
      <c r="C69" s="61"/>
      <c r="D69" s="62"/>
      <c r="E69" s="62"/>
      <c r="F69" s="63"/>
      <c r="G69" s="64"/>
      <c r="H69" s="65"/>
      <c r="I69" s="65"/>
      <c r="J69" s="65"/>
      <c r="K69" s="80"/>
      <c r="L69" s="81"/>
      <c r="M69" s="82"/>
      <c r="N69" s="83"/>
      <c r="O69" s="463"/>
      <c r="P69" s="26"/>
    </row>
    <row r="70" spans="1:17" ht="15.75" customHeight="1">
      <c r="A70" s="59"/>
      <c r="B70" s="60"/>
      <c r="C70" s="61"/>
      <c r="D70" s="62"/>
      <c r="E70" s="62"/>
      <c r="F70" s="63"/>
      <c r="G70" s="64"/>
      <c r="H70" s="65"/>
      <c r="I70" s="65"/>
      <c r="J70" s="65"/>
      <c r="K70" s="80"/>
      <c r="L70" s="81"/>
      <c r="M70" s="82"/>
      <c r="N70" s="83"/>
      <c r="O70" s="463"/>
      <c r="P70" s="26"/>
    </row>
    <row r="71" spans="1:17" ht="15.75" customHeight="1">
      <c r="A71" s="59"/>
      <c r="B71" s="60"/>
      <c r="C71" s="61"/>
      <c r="D71" s="62"/>
      <c r="E71" s="62"/>
      <c r="F71" s="63"/>
      <c r="G71" s="64"/>
      <c r="H71" s="65"/>
      <c r="I71" s="65"/>
      <c r="J71" s="65"/>
      <c r="K71" s="80"/>
      <c r="L71" s="81"/>
      <c r="M71" s="82"/>
      <c r="N71" s="83"/>
      <c r="O71" s="463"/>
      <c r="P71" s="26"/>
    </row>
    <row r="72" spans="1:17" ht="15.75" customHeight="1">
      <c r="A72" s="59"/>
      <c r="B72" s="60"/>
      <c r="C72" s="61"/>
      <c r="D72" s="62"/>
      <c r="E72" s="62"/>
      <c r="F72" s="63"/>
      <c r="G72" s="64"/>
      <c r="H72" s="65"/>
      <c r="I72" s="65"/>
      <c r="J72" s="65"/>
      <c r="K72" s="80"/>
      <c r="L72" s="81"/>
      <c r="M72" s="82"/>
      <c r="N72" s="83"/>
      <c r="O72" s="463"/>
      <c r="P72" s="26"/>
    </row>
    <row r="73" spans="1:17" ht="15.75" customHeight="1">
      <c r="A73" s="59"/>
      <c r="B73" s="60"/>
      <c r="C73" s="61"/>
      <c r="D73" s="62"/>
      <c r="E73" s="62"/>
      <c r="F73" s="63"/>
      <c r="G73" s="64"/>
      <c r="H73" s="65"/>
      <c r="I73" s="65"/>
      <c r="J73" s="65"/>
      <c r="K73" s="80"/>
      <c r="L73" s="81"/>
      <c r="M73" s="82"/>
      <c r="N73" s="83"/>
      <c r="O73" s="463"/>
      <c r="P73" s="26"/>
    </row>
    <row r="74" spans="1:17" ht="15.75" customHeight="1">
      <c r="A74" s="59"/>
      <c r="B74" s="60"/>
      <c r="C74" s="61"/>
      <c r="D74" s="62"/>
      <c r="E74" s="62"/>
      <c r="F74" s="63"/>
      <c r="G74" s="64"/>
      <c r="H74" s="65"/>
      <c r="I74" s="65"/>
      <c r="J74" s="65"/>
      <c r="K74" s="80"/>
      <c r="L74" s="81"/>
      <c r="M74" s="82"/>
      <c r="N74" s="83"/>
      <c r="O74" s="463"/>
      <c r="P74" s="26"/>
    </row>
    <row r="75" spans="1:17" ht="15.75" customHeight="1">
      <c r="A75" s="59"/>
      <c r="B75" s="60"/>
      <c r="C75" s="61"/>
      <c r="D75" s="62"/>
      <c r="E75" s="62"/>
      <c r="F75" s="63"/>
      <c r="G75" s="64"/>
      <c r="H75" s="65"/>
      <c r="I75" s="65"/>
      <c r="J75" s="65"/>
      <c r="K75" s="80"/>
      <c r="L75" s="81"/>
      <c r="M75" s="82"/>
      <c r="N75" s="83"/>
      <c r="O75" s="463"/>
      <c r="P75" s="26"/>
    </row>
    <row r="76" spans="1:17" ht="15.75" customHeight="1">
      <c r="A76" s="59"/>
      <c r="B76" s="60"/>
      <c r="C76" s="61"/>
      <c r="D76" s="62"/>
      <c r="E76" s="62"/>
      <c r="F76" s="63"/>
      <c r="G76" s="64"/>
      <c r="H76" s="65"/>
      <c r="I76" s="65"/>
      <c r="J76" s="65"/>
      <c r="K76" s="80"/>
      <c r="L76" s="81"/>
      <c r="M76" s="82"/>
      <c r="N76" s="83"/>
      <c r="O76" s="463"/>
      <c r="P76" s="26"/>
    </row>
    <row r="77" spans="1:17" ht="15.75" customHeight="1">
      <c r="A77" s="59"/>
      <c r="B77" s="60"/>
      <c r="C77" s="61"/>
      <c r="D77" s="62"/>
      <c r="E77" s="62"/>
      <c r="F77" s="63"/>
      <c r="G77" s="64"/>
      <c r="H77" s="65"/>
      <c r="I77" s="65"/>
      <c r="J77" s="65"/>
      <c r="K77" s="80"/>
      <c r="L77" s="81"/>
      <c r="M77" s="82"/>
      <c r="N77" s="83"/>
      <c r="O77" s="463"/>
      <c r="P77" s="26"/>
    </row>
    <row r="78" spans="1:17" ht="15.75" customHeight="1">
      <c r="A78" s="59"/>
      <c r="B78" s="60"/>
      <c r="C78" s="61"/>
      <c r="D78" s="62"/>
      <c r="E78" s="62"/>
      <c r="F78" s="63"/>
      <c r="G78" s="64"/>
      <c r="H78" s="65"/>
      <c r="I78" s="65"/>
      <c r="J78" s="65"/>
      <c r="K78" s="80"/>
      <c r="L78" s="81"/>
      <c r="M78" s="82"/>
      <c r="N78" s="83"/>
      <c r="O78" s="463"/>
      <c r="P78" s="26"/>
    </row>
    <row r="79" spans="1:17" ht="15.75" customHeight="1">
      <c r="A79" s="59"/>
      <c r="B79" s="60"/>
      <c r="C79" s="61"/>
      <c r="D79" s="62"/>
      <c r="E79" s="62"/>
      <c r="F79" s="63"/>
      <c r="G79" s="64"/>
      <c r="H79" s="65"/>
      <c r="I79" s="65"/>
      <c r="J79" s="65"/>
      <c r="K79" s="80"/>
      <c r="L79" s="81"/>
      <c r="M79" s="82"/>
      <c r="N79" s="83"/>
      <c r="O79" s="463"/>
      <c r="P79" s="26"/>
    </row>
    <row r="80" spans="1:17" ht="15.75" customHeight="1">
      <c r="A80" s="59"/>
      <c r="B80" s="60"/>
      <c r="C80" s="61"/>
      <c r="D80" s="62"/>
      <c r="E80" s="62"/>
      <c r="F80" s="63"/>
      <c r="G80" s="64"/>
      <c r="H80" s="65"/>
      <c r="I80" s="65"/>
      <c r="J80" s="65"/>
      <c r="K80" s="80"/>
      <c r="L80" s="81"/>
      <c r="M80" s="82"/>
      <c r="N80" s="83"/>
      <c r="O80" s="463"/>
      <c r="P80" s="26"/>
    </row>
    <row r="81" spans="1:16" ht="15.75" customHeight="1">
      <c r="A81" s="59"/>
      <c r="B81" s="60"/>
      <c r="C81" s="61"/>
      <c r="D81" s="62"/>
      <c r="E81" s="62"/>
      <c r="F81" s="63"/>
      <c r="G81" s="64"/>
      <c r="H81" s="65"/>
      <c r="I81" s="65"/>
      <c r="J81" s="65"/>
      <c r="K81" s="80"/>
      <c r="L81" s="81"/>
      <c r="M81" s="82"/>
      <c r="N81" s="83"/>
      <c r="O81" s="463"/>
      <c r="P81" s="26"/>
    </row>
    <row r="82" spans="1:16" ht="15.75" customHeight="1">
      <c r="A82" s="59"/>
      <c r="B82" s="60"/>
      <c r="C82" s="61"/>
      <c r="D82" s="62"/>
      <c r="E82" s="62"/>
      <c r="F82" s="63"/>
      <c r="G82" s="64"/>
      <c r="H82" s="65"/>
      <c r="I82" s="65"/>
      <c r="J82" s="65"/>
      <c r="K82" s="80"/>
      <c r="L82" s="81"/>
      <c r="M82" s="82"/>
      <c r="N82" s="83"/>
      <c r="O82" s="463"/>
      <c r="P82" s="26"/>
    </row>
    <row r="83" spans="1:16" ht="15.75" customHeight="1">
      <c r="A83" s="59"/>
      <c r="B83" s="60"/>
      <c r="C83" s="61"/>
      <c r="D83" s="62"/>
      <c r="E83" s="62"/>
      <c r="F83" s="63"/>
      <c r="G83" s="64"/>
      <c r="H83" s="65"/>
      <c r="I83" s="65"/>
      <c r="J83" s="65"/>
      <c r="K83" s="80"/>
      <c r="L83" s="81"/>
      <c r="M83" s="82"/>
      <c r="N83" s="83"/>
      <c r="O83" s="463"/>
      <c r="P83" s="26"/>
    </row>
    <row r="84" spans="1:16" ht="15.75" customHeight="1">
      <c r="A84" s="59"/>
      <c r="B84" s="60"/>
      <c r="C84" s="61"/>
      <c r="D84" s="62"/>
      <c r="E84" s="62"/>
      <c r="F84" s="63"/>
      <c r="G84" s="64"/>
      <c r="H84" s="65"/>
      <c r="I84" s="65"/>
      <c r="J84" s="65"/>
      <c r="K84" s="80"/>
      <c r="L84" s="81"/>
      <c r="M84" s="82"/>
      <c r="N84" s="83"/>
      <c r="O84" s="463"/>
      <c r="P84" s="26"/>
    </row>
    <row r="85" spans="1:16" ht="15.75" customHeight="1">
      <c r="A85" s="59"/>
      <c r="B85" s="60"/>
      <c r="C85" s="61"/>
      <c r="D85" s="62"/>
      <c r="E85" s="62"/>
      <c r="F85" s="63"/>
      <c r="G85" s="64"/>
      <c r="H85" s="65"/>
      <c r="I85" s="65"/>
      <c r="J85" s="65"/>
      <c r="K85" s="80"/>
      <c r="L85" s="81"/>
      <c r="M85" s="82"/>
      <c r="N85" s="83"/>
      <c r="O85" s="463"/>
      <c r="P85" s="26"/>
    </row>
    <row r="86" spans="1:16" ht="15.75" customHeight="1">
      <c r="A86" s="59"/>
      <c r="B86" s="60"/>
      <c r="C86" s="61"/>
      <c r="D86" s="62"/>
      <c r="E86" s="62"/>
      <c r="F86" s="63"/>
      <c r="G86" s="64"/>
      <c r="H86" s="65"/>
      <c r="I86" s="65"/>
      <c r="J86" s="65"/>
      <c r="K86" s="80"/>
      <c r="L86" s="81"/>
      <c r="M86" s="82"/>
      <c r="N86" s="83"/>
      <c r="O86" s="463"/>
      <c r="P86" s="26"/>
    </row>
    <row r="87" spans="1:16" ht="15.75" customHeight="1">
      <c r="A87" s="59"/>
      <c r="B87" s="60"/>
      <c r="C87" s="61"/>
      <c r="D87" s="62"/>
      <c r="E87" s="62"/>
      <c r="F87" s="63"/>
      <c r="G87" s="64"/>
      <c r="H87" s="65"/>
      <c r="I87" s="65"/>
      <c r="J87" s="65"/>
      <c r="K87" s="80"/>
      <c r="L87" s="81"/>
      <c r="M87" s="82"/>
      <c r="N87" s="83"/>
      <c r="O87" s="463"/>
      <c r="P87" s="26"/>
    </row>
    <row r="88" spans="1:16" ht="15.75" customHeight="1">
      <c r="A88" s="59"/>
      <c r="B88" s="60"/>
      <c r="C88" s="61"/>
      <c r="D88" s="62"/>
      <c r="E88" s="62"/>
      <c r="F88" s="63"/>
      <c r="G88" s="64"/>
      <c r="H88" s="65"/>
      <c r="I88" s="65"/>
      <c r="J88" s="65"/>
      <c r="K88" s="80"/>
      <c r="L88" s="81"/>
      <c r="M88" s="82"/>
      <c r="N88" s="83"/>
      <c r="O88" s="463"/>
      <c r="P88" s="26"/>
    </row>
    <row r="89" spans="1:16" ht="15.75" customHeight="1">
      <c r="A89" s="59"/>
      <c r="B89" s="60"/>
      <c r="C89" s="61"/>
      <c r="D89" s="62"/>
      <c r="E89" s="62"/>
      <c r="F89" s="63"/>
      <c r="G89" s="64"/>
      <c r="H89" s="65"/>
      <c r="I89" s="65"/>
      <c r="J89" s="65"/>
      <c r="K89" s="80"/>
      <c r="L89" s="81"/>
      <c r="M89" s="82"/>
      <c r="N89" s="83"/>
      <c r="O89" s="463"/>
      <c r="P89" s="26"/>
    </row>
    <row r="90" spans="1:16" ht="15.75" customHeight="1">
      <c r="A90" s="59"/>
      <c r="B90" s="60"/>
      <c r="C90" s="61"/>
      <c r="D90" s="62"/>
      <c r="E90" s="62"/>
      <c r="F90" s="63"/>
      <c r="G90" s="64"/>
      <c r="H90" s="65"/>
      <c r="I90" s="27"/>
      <c r="J90" s="26"/>
      <c r="K90" s="80"/>
      <c r="L90" s="81"/>
      <c r="M90" s="82"/>
      <c r="N90" s="83"/>
      <c r="O90" s="463"/>
      <c r="P90" s="26"/>
    </row>
    <row r="91" spans="1:16" ht="15.75" customHeight="1">
      <c r="A91" s="59"/>
      <c r="B91" s="60"/>
      <c r="C91" s="61"/>
      <c r="D91" s="62"/>
      <c r="E91" s="62"/>
      <c r="F91" s="63"/>
      <c r="G91" s="64"/>
      <c r="H91" s="65"/>
      <c r="I91" s="65"/>
      <c r="J91" s="65"/>
      <c r="K91" s="80"/>
      <c r="L91" s="81"/>
      <c r="M91" s="82"/>
      <c r="N91" s="83"/>
      <c r="O91" s="463"/>
      <c r="P91" s="26"/>
    </row>
    <row r="92" spans="1:16" ht="15.75" customHeight="1">
      <c r="A92" s="59"/>
      <c r="B92" s="60"/>
      <c r="C92" s="61"/>
      <c r="D92" s="62"/>
      <c r="E92" s="62"/>
      <c r="F92" s="63"/>
      <c r="G92" s="64"/>
      <c r="H92" s="65"/>
      <c r="I92" s="65"/>
      <c r="J92" s="65"/>
      <c r="K92" s="80"/>
      <c r="L92" s="81"/>
      <c r="M92" s="82"/>
      <c r="N92" s="83"/>
      <c r="O92" s="463"/>
      <c r="P92" s="26"/>
    </row>
    <row r="93" spans="1:16" ht="15.75" customHeight="1">
      <c r="A93" s="59"/>
      <c r="B93" s="60"/>
      <c r="C93" s="61"/>
      <c r="D93" s="62"/>
      <c r="E93" s="62"/>
      <c r="F93" s="63"/>
      <c r="G93" s="64"/>
      <c r="H93" s="65"/>
      <c r="I93" s="65"/>
      <c r="J93" s="65"/>
      <c r="K93" s="80"/>
      <c r="L93" s="81"/>
      <c r="M93" s="82"/>
      <c r="N93" s="83"/>
      <c r="O93" s="463"/>
      <c r="P93" s="26"/>
    </row>
    <row r="94" spans="1:16" ht="15.75" customHeight="1">
      <c r="A94" s="59"/>
      <c r="B94" s="60"/>
      <c r="C94" s="61"/>
      <c r="D94" s="62"/>
      <c r="E94" s="62"/>
      <c r="F94" s="63"/>
      <c r="G94" s="64"/>
      <c r="H94" s="65"/>
      <c r="I94" s="65"/>
      <c r="J94" s="65"/>
      <c r="K94" s="80"/>
      <c r="L94" s="81"/>
      <c r="M94" s="82"/>
      <c r="N94" s="83"/>
      <c r="O94" s="463"/>
      <c r="P94" s="26"/>
    </row>
    <row r="95" spans="1:16" ht="15.75" customHeight="1">
      <c r="A95" s="59"/>
      <c r="B95" s="60"/>
      <c r="C95" s="61"/>
      <c r="D95" s="62"/>
      <c r="E95" s="62"/>
      <c r="F95" s="63"/>
      <c r="G95" s="64"/>
      <c r="H95" s="65"/>
      <c r="I95" s="65"/>
      <c r="J95" s="65"/>
      <c r="K95" s="80"/>
      <c r="L95" s="81"/>
      <c r="M95" s="82"/>
      <c r="N95" s="83"/>
      <c r="O95" s="463"/>
      <c r="P95" s="26"/>
    </row>
    <row r="96" spans="1:16" ht="15.75" customHeight="1">
      <c r="A96" s="59"/>
      <c r="B96" s="60"/>
      <c r="C96" s="61"/>
      <c r="D96" s="62"/>
      <c r="E96" s="62"/>
      <c r="F96" s="63"/>
      <c r="G96" s="64"/>
      <c r="H96" s="65"/>
      <c r="I96" s="65"/>
      <c r="J96" s="65"/>
      <c r="K96" s="80"/>
      <c r="L96" s="81"/>
      <c r="M96" s="82"/>
      <c r="N96" s="83"/>
      <c r="O96" s="463"/>
      <c r="P96" s="26"/>
    </row>
    <row r="97" spans="1:16" ht="15.75" customHeight="1">
      <c r="A97" s="59"/>
      <c r="B97" s="60"/>
      <c r="C97" s="61"/>
      <c r="D97" s="62"/>
      <c r="E97" s="62"/>
      <c r="F97" s="63"/>
      <c r="G97" s="64"/>
      <c r="H97" s="65"/>
      <c r="I97" s="65"/>
      <c r="J97" s="65"/>
      <c r="K97" s="80"/>
      <c r="L97" s="81"/>
      <c r="M97" s="82"/>
      <c r="N97" s="83"/>
      <c r="O97" s="463"/>
      <c r="P97" s="26"/>
    </row>
    <row r="98" spans="1:16" ht="15.75" customHeight="1">
      <c r="A98" s="59"/>
      <c r="B98" s="60"/>
      <c r="C98" s="61"/>
      <c r="D98" s="62"/>
      <c r="E98" s="62"/>
      <c r="F98" s="63"/>
      <c r="G98" s="64"/>
      <c r="H98" s="65"/>
      <c r="I98" s="65"/>
      <c r="J98" s="65"/>
      <c r="K98" s="80"/>
      <c r="L98" s="81"/>
      <c r="M98" s="82"/>
      <c r="N98" s="83"/>
      <c r="O98" s="463"/>
      <c r="P98" s="26"/>
    </row>
    <row r="99" spans="1:16" ht="15.75" customHeight="1">
      <c r="A99" s="59"/>
      <c r="B99" s="60"/>
      <c r="C99" s="61"/>
      <c r="D99" s="62"/>
      <c r="E99" s="62"/>
      <c r="F99" s="63"/>
      <c r="G99" s="64"/>
      <c r="H99" s="65"/>
      <c r="I99" s="65"/>
      <c r="J99" s="65"/>
      <c r="K99" s="80"/>
      <c r="L99" s="81"/>
      <c r="M99" s="82"/>
      <c r="N99" s="83"/>
      <c r="O99" s="463"/>
      <c r="P99" s="26"/>
    </row>
    <row r="100" spans="1:16" ht="15.75" customHeight="1">
      <c r="A100" s="59"/>
      <c r="B100" s="60"/>
      <c r="C100" s="61"/>
      <c r="D100" s="62"/>
      <c r="E100" s="62"/>
      <c r="F100" s="63"/>
      <c r="G100" s="64"/>
      <c r="H100" s="65"/>
      <c r="I100" s="65"/>
      <c r="J100" s="65"/>
      <c r="K100" s="80"/>
      <c r="L100" s="81"/>
      <c r="M100" s="82"/>
      <c r="N100" s="83"/>
      <c r="O100" s="463"/>
      <c r="P100" s="26"/>
    </row>
    <row r="101" spans="1:16" ht="15.75" customHeight="1">
      <c r="A101" s="59"/>
      <c r="B101" s="60"/>
      <c r="C101" s="61"/>
      <c r="D101" s="62"/>
      <c r="E101" s="62"/>
      <c r="F101" s="63"/>
      <c r="G101" s="64"/>
      <c r="H101" s="65"/>
      <c r="I101" s="65"/>
      <c r="J101" s="65"/>
      <c r="K101" s="80"/>
      <c r="L101" s="81"/>
      <c r="M101" s="82"/>
      <c r="N101" s="83"/>
      <c r="O101" s="463"/>
      <c r="P101" s="26"/>
    </row>
    <row r="102" spans="1:16" ht="15.75" customHeight="1">
      <c r="A102" s="59"/>
      <c r="B102" s="60"/>
      <c r="C102" s="61"/>
      <c r="D102" s="62"/>
      <c r="E102" s="62"/>
      <c r="F102" s="63"/>
      <c r="G102" s="64"/>
      <c r="H102" s="65"/>
      <c r="I102" s="65"/>
      <c r="J102" s="65"/>
      <c r="K102" s="80"/>
      <c r="L102" s="81"/>
      <c r="M102" s="82"/>
      <c r="N102" s="83"/>
      <c r="O102" s="463"/>
      <c r="P102" s="26"/>
    </row>
    <row r="103" spans="1:16" ht="15.75" customHeight="1">
      <c r="A103" s="59"/>
      <c r="B103" s="60"/>
      <c r="C103" s="61"/>
      <c r="D103" s="62"/>
      <c r="E103" s="62"/>
      <c r="F103" s="63"/>
      <c r="G103" s="64"/>
      <c r="H103" s="65"/>
      <c r="I103" s="65"/>
      <c r="J103" s="65"/>
      <c r="K103" s="80"/>
      <c r="L103" s="81"/>
      <c r="M103" s="82"/>
      <c r="N103" s="83"/>
      <c r="O103" s="463"/>
      <c r="P103" s="26"/>
    </row>
    <row r="104" spans="1:16" ht="15.75" customHeight="1">
      <c r="A104" s="59"/>
      <c r="B104" s="60"/>
      <c r="C104" s="61"/>
      <c r="D104" s="62"/>
      <c r="E104" s="62"/>
      <c r="F104" s="63"/>
      <c r="G104" s="64"/>
      <c r="H104" s="65"/>
      <c r="I104" s="65"/>
      <c r="J104" s="65"/>
      <c r="K104" s="80"/>
      <c r="L104" s="81"/>
      <c r="M104" s="82"/>
      <c r="N104" s="83"/>
      <c r="O104" s="463"/>
      <c r="P104" s="26"/>
    </row>
    <row r="105" spans="1:16" ht="15.75" customHeight="1">
      <c r="A105" s="59"/>
      <c r="B105" s="60"/>
      <c r="C105" s="61"/>
      <c r="D105" s="62"/>
      <c r="E105" s="62"/>
      <c r="F105" s="63"/>
      <c r="G105" s="64"/>
      <c r="H105" s="65"/>
      <c r="I105" s="65"/>
      <c r="J105" s="65"/>
      <c r="K105" s="80"/>
      <c r="L105" s="81"/>
      <c r="M105" s="82"/>
      <c r="N105" s="83"/>
      <c r="O105" s="463"/>
      <c r="P105" s="26"/>
    </row>
    <row r="106" spans="1:16" ht="15.75" customHeight="1">
      <c r="A106" s="59"/>
      <c r="B106" s="60"/>
      <c r="C106" s="61"/>
      <c r="D106" s="62"/>
      <c r="E106" s="62"/>
      <c r="F106" s="63"/>
      <c r="G106" s="64"/>
      <c r="H106" s="65"/>
      <c r="I106" s="65"/>
      <c r="J106" s="65"/>
      <c r="K106" s="80"/>
      <c r="L106" s="81"/>
      <c r="M106" s="82"/>
      <c r="N106" s="83"/>
      <c r="O106" s="463"/>
      <c r="P106" s="26"/>
    </row>
    <row r="107" spans="1:16" ht="15.75" customHeight="1">
      <c r="A107" s="59"/>
      <c r="B107" s="60"/>
      <c r="C107" s="61"/>
      <c r="D107" s="62"/>
      <c r="E107" s="62"/>
      <c r="F107" s="63"/>
      <c r="G107" s="64"/>
      <c r="H107" s="65"/>
      <c r="I107" s="65"/>
      <c r="J107" s="65"/>
      <c r="K107" s="80"/>
      <c r="L107" s="81"/>
      <c r="M107" s="82"/>
      <c r="N107" s="83"/>
      <c r="O107" s="463"/>
      <c r="P107" s="26"/>
    </row>
    <row r="108" spans="1:16" ht="15.75" customHeight="1">
      <c r="A108" s="59"/>
      <c r="B108" s="60"/>
      <c r="C108" s="61"/>
      <c r="D108" s="62"/>
      <c r="E108" s="62"/>
      <c r="F108" s="63"/>
      <c r="G108" s="64"/>
      <c r="H108" s="65"/>
      <c r="I108" s="62"/>
      <c r="J108" s="62"/>
      <c r="K108" s="80"/>
      <c r="L108" s="81"/>
      <c r="M108" s="82"/>
      <c r="N108" s="83"/>
      <c r="O108" s="463"/>
      <c r="P108" s="26"/>
    </row>
    <row r="109" spans="1:16" ht="15.75" customHeight="1">
      <c r="A109" s="59"/>
      <c r="B109" s="60"/>
      <c r="C109" s="61"/>
      <c r="D109" s="62"/>
      <c r="E109" s="62"/>
      <c r="F109" s="63"/>
      <c r="G109" s="64"/>
      <c r="H109" s="65"/>
      <c r="I109" s="27"/>
      <c r="J109" s="26"/>
      <c r="K109" s="80"/>
      <c r="L109" s="81"/>
      <c r="M109" s="82"/>
      <c r="N109" s="83"/>
      <c r="O109" s="463"/>
      <c r="P109" s="26"/>
    </row>
    <row r="110" spans="1:16" ht="15.75" customHeight="1">
      <c r="A110" s="59"/>
      <c r="B110" s="60"/>
      <c r="C110" s="61"/>
      <c r="D110" s="62"/>
      <c r="E110" s="62"/>
      <c r="F110" s="63"/>
      <c r="G110" s="64"/>
      <c r="H110" s="65"/>
      <c r="I110" s="27"/>
      <c r="J110" s="27"/>
      <c r="K110" s="80"/>
      <c r="L110" s="81"/>
      <c r="M110" s="82"/>
      <c r="N110" s="83"/>
      <c r="O110" s="463"/>
      <c r="P110" s="26"/>
    </row>
    <row r="111" spans="1:16" ht="15.75" customHeight="1">
      <c r="A111" s="59"/>
      <c r="B111" s="60"/>
      <c r="C111" s="61"/>
      <c r="D111" s="62"/>
      <c r="E111" s="62"/>
      <c r="F111" s="63"/>
      <c r="G111" s="64"/>
      <c r="H111" s="65"/>
      <c r="I111" s="27"/>
      <c r="J111" s="27"/>
      <c r="K111" s="80"/>
      <c r="L111" s="81"/>
      <c r="M111" s="82"/>
      <c r="N111" s="83"/>
      <c r="O111" s="463"/>
      <c r="P111" s="26"/>
    </row>
    <row r="112" spans="1:16" ht="15.75" customHeight="1">
      <c r="A112" s="59"/>
      <c r="B112" s="60"/>
      <c r="C112" s="61"/>
      <c r="D112" s="60"/>
      <c r="E112" s="59"/>
      <c r="F112" s="63"/>
      <c r="G112" s="64"/>
      <c r="H112" s="65"/>
      <c r="I112" s="59"/>
      <c r="J112" s="60"/>
      <c r="K112" s="80"/>
      <c r="L112" s="81"/>
      <c r="M112" s="82"/>
      <c r="N112" s="83"/>
      <c r="O112" s="59"/>
      <c r="P112" s="26"/>
    </row>
    <row r="113" spans="1:16" ht="15.75" customHeight="1">
      <c r="A113" s="59"/>
      <c r="B113" s="60"/>
      <c r="C113" s="61"/>
      <c r="D113" s="62"/>
      <c r="E113" s="62"/>
      <c r="F113" s="63"/>
      <c r="G113" s="64"/>
      <c r="H113" s="65"/>
      <c r="I113" s="27"/>
      <c r="J113" s="26"/>
      <c r="K113" s="80"/>
      <c r="L113" s="81"/>
      <c r="M113" s="82"/>
      <c r="N113" s="83"/>
      <c r="O113" s="463"/>
      <c r="P113" s="26"/>
    </row>
    <row r="114" spans="1:16" ht="15.75" customHeight="1">
      <c r="A114" s="59"/>
      <c r="B114" s="60"/>
      <c r="C114" s="61"/>
      <c r="D114" s="62"/>
      <c r="E114" s="62"/>
      <c r="F114" s="63"/>
      <c r="G114" s="64"/>
      <c r="H114" s="65"/>
      <c r="I114" s="65"/>
      <c r="J114" s="65"/>
      <c r="K114" s="80"/>
      <c r="L114" s="81"/>
      <c r="M114" s="82"/>
      <c r="N114" s="83"/>
      <c r="O114" s="463"/>
      <c r="P114" s="26"/>
    </row>
    <row r="115" spans="1:16" ht="15.75" customHeight="1">
      <c r="A115" s="59"/>
      <c r="B115" s="60"/>
      <c r="C115" s="61"/>
      <c r="D115" s="62"/>
      <c r="E115" s="62"/>
      <c r="F115" s="63"/>
      <c r="G115" s="64"/>
      <c r="H115" s="65"/>
      <c r="I115" s="65"/>
      <c r="J115" s="65"/>
      <c r="K115" s="80"/>
      <c r="L115" s="81"/>
      <c r="M115" s="82"/>
      <c r="N115" s="83"/>
      <c r="O115" s="463"/>
      <c r="P115" s="26"/>
    </row>
    <row r="116" spans="1:16" ht="15.75" customHeight="1">
      <c r="A116" s="59"/>
      <c r="B116" s="60"/>
      <c r="C116" s="61"/>
      <c r="D116" s="62"/>
      <c r="E116" s="62"/>
      <c r="F116" s="63"/>
      <c r="G116" s="64"/>
      <c r="H116" s="65"/>
      <c r="I116" s="65"/>
      <c r="J116" s="65"/>
      <c r="K116" s="80"/>
      <c r="L116" s="81"/>
      <c r="M116" s="82"/>
      <c r="N116" s="83"/>
      <c r="O116" s="463"/>
      <c r="P116" s="26"/>
    </row>
    <row r="117" spans="1:16" ht="15.75" customHeight="1">
      <c r="A117" s="59"/>
      <c r="B117" s="60"/>
      <c r="C117" s="61"/>
      <c r="D117" s="62"/>
      <c r="E117" s="62"/>
      <c r="F117" s="63"/>
      <c r="G117" s="64"/>
      <c r="H117" s="65"/>
      <c r="I117" s="65"/>
      <c r="J117" s="65"/>
      <c r="K117" s="80"/>
      <c r="L117" s="81"/>
      <c r="M117" s="82"/>
      <c r="N117" s="83"/>
      <c r="O117" s="463"/>
      <c r="P117" s="27"/>
    </row>
    <row r="118" spans="1:16" ht="15.75" customHeight="1">
      <c r="A118" s="59"/>
      <c r="B118" s="60"/>
      <c r="C118" s="61"/>
      <c r="D118" s="62"/>
      <c r="E118" s="62"/>
      <c r="F118" s="63"/>
      <c r="G118" s="64"/>
      <c r="H118" s="65"/>
      <c r="I118" s="65"/>
      <c r="J118" s="65"/>
      <c r="K118" s="80"/>
      <c r="L118" s="81"/>
      <c r="M118" s="82"/>
      <c r="N118" s="83"/>
      <c r="O118" s="463"/>
      <c r="P118" s="27"/>
    </row>
    <row r="119" spans="1:16" ht="15.75" customHeight="1">
      <c r="A119" s="59"/>
      <c r="B119" s="60"/>
      <c r="C119" s="61"/>
      <c r="D119" s="62"/>
      <c r="E119" s="62"/>
      <c r="F119" s="63"/>
      <c r="G119" s="64"/>
      <c r="H119" s="65"/>
      <c r="I119" s="65"/>
      <c r="J119" s="65"/>
      <c r="K119" s="80"/>
      <c r="L119" s="81"/>
      <c r="M119" s="82"/>
      <c r="N119" s="83"/>
      <c r="O119" s="463"/>
      <c r="P119" s="27"/>
    </row>
    <row r="120" spans="1:16" ht="15.75" customHeight="1">
      <c r="A120" s="59"/>
      <c r="B120" s="60"/>
      <c r="C120" s="61"/>
      <c r="D120" s="62"/>
      <c r="E120" s="62"/>
      <c r="F120" s="63"/>
      <c r="G120" s="64"/>
      <c r="H120" s="65"/>
      <c r="I120" s="65"/>
      <c r="J120" s="65"/>
      <c r="K120" s="80"/>
      <c r="L120" s="81"/>
      <c r="M120" s="82"/>
      <c r="N120" s="83"/>
      <c r="O120" s="463"/>
      <c r="P120" s="27"/>
    </row>
    <row r="121" spans="1:16" ht="15.75" customHeight="1">
      <c r="A121" s="59"/>
      <c r="B121" s="60"/>
      <c r="C121" s="61"/>
      <c r="D121" s="62"/>
      <c r="E121" s="62"/>
      <c r="F121" s="63"/>
      <c r="G121" s="64"/>
      <c r="H121" s="65"/>
      <c r="I121" s="65"/>
      <c r="J121" s="65"/>
      <c r="K121" s="80"/>
      <c r="L121" s="81"/>
      <c r="M121" s="82"/>
      <c r="N121" s="83"/>
      <c r="O121" s="463"/>
      <c r="P121" s="27"/>
    </row>
    <row r="122" spans="1:16" ht="15.75" customHeight="1">
      <c r="A122" s="59"/>
      <c r="B122" s="60"/>
      <c r="C122" s="61"/>
      <c r="D122" s="62"/>
      <c r="E122" s="62"/>
      <c r="F122" s="63"/>
      <c r="G122" s="64"/>
      <c r="H122" s="65"/>
      <c r="I122" s="65"/>
      <c r="J122" s="65"/>
      <c r="K122" s="80"/>
      <c r="L122" s="81"/>
      <c r="M122" s="82"/>
      <c r="N122" s="83"/>
      <c r="O122" s="463"/>
      <c r="P122" s="27"/>
    </row>
    <row r="123" spans="1:16" ht="15.75" customHeight="1">
      <c r="A123" s="59"/>
      <c r="B123" s="60"/>
      <c r="C123" s="61"/>
      <c r="D123" s="62"/>
      <c r="E123" s="62"/>
      <c r="F123" s="63"/>
      <c r="G123" s="64"/>
      <c r="H123" s="65"/>
      <c r="I123" s="65"/>
      <c r="J123" s="65"/>
      <c r="K123" s="80"/>
      <c r="L123" s="81"/>
      <c r="M123" s="82"/>
      <c r="N123" s="83"/>
      <c r="O123" s="463"/>
      <c r="P123" s="27"/>
    </row>
    <row r="124" spans="1:16" ht="15.75" customHeight="1">
      <c r="A124" s="59"/>
      <c r="B124" s="60"/>
      <c r="C124" s="61"/>
      <c r="D124" s="62"/>
      <c r="E124" s="62"/>
      <c r="F124" s="63"/>
      <c r="G124" s="64"/>
      <c r="H124" s="65"/>
      <c r="I124" s="65"/>
      <c r="J124" s="65"/>
      <c r="K124" s="80"/>
      <c r="L124" s="81"/>
      <c r="M124" s="82"/>
      <c r="N124" s="83"/>
      <c r="O124" s="463"/>
      <c r="P124" s="27"/>
    </row>
    <row r="125" spans="1:16" ht="15.75" customHeight="1">
      <c r="A125" s="59"/>
      <c r="B125" s="60"/>
      <c r="C125" s="61"/>
      <c r="D125" s="62"/>
      <c r="E125" s="62"/>
      <c r="F125" s="63"/>
      <c r="G125" s="64"/>
      <c r="H125" s="65"/>
      <c r="I125" s="65"/>
      <c r="J125" s="65"/>
      <c r="K125" s="80"/>
      <c r="L125" s="81"/>
      <c r="M125" s="82"/>
      <c r="N125" s="83"/>
      <c r="O125" s="463"/>
      <c r="P125" s="27"/>
    </row>
    <row r="126" spans="1:16" ht="15.75" customHeight="1">
      <c r="A126" s="59"/>
      <c r="B126" s="60"/>
      <c r="C126" s="61"/>
      <c r="D126" s="62"/>
      <c r="E126" s="62"/>
      <c r="F126" s="63"/>
      <c r="G126" s="64"/>
      <c r="H126" s="65"/>
      <c r="I126" s="65"/>
      <c r="J126" s="65"/>
      <c r="K126" s="80"/>
      <c r="L126" s="81"/>
      <c r="M126" s="82"/>
      <c r="N126" s="83"/>
      <c r="O126" s="463"/>
      <c r="P126" s="27"/>
    </row>
    <row r="127" spans="1:16" ht="15.75" customHeight="1">
      <c r="A127" s="59"/>
      <c r="B127" s="60"/>
      <c r="C127" s="61"/>
      <c r="D127" s="62"/>
      <c r="E127" s="62"/>
      <c r="F127" s="63"/>
      <c r="G127" s="64"/>
      <c r="H127" s="65"/>
      <c r="I127" s="65"/>
      <c r="J127" s="65"/>
      <c r="K127" s="80"/>
      <c r="L127" s="81"/>
      <c r="M127" s="82"/>
      <c r="N127" s="83"/>
      <c r="O127" s="463"/>
      <c r="P127" s="27"/>
    </row>
    <row r="128" spans="1:16" ht="15.75" customHeight="1">
      <c r="A128" s="59"/>
      <c r="B128" s="60"/>
      <c r="C128" s="61"/>
      <c r="D128" s="62"/>
      <c r="E128" s="62"/>
      <c r="F128" s="63"/>
      <c r="G128" s="64"/>
      <c r="H128" s="65"/>
      <c r="I128" s="65"/>
      <c r="J128" s="65"/>
      <c r="K128" s="80"/>
      <c r="L128" s="81"/>
      <c r="M128" s="82"/>
      <c r="N128" s="83"/>
      <c r="O128" s="463"/>
      <c r="P128" s="27"/>
    </row>
    <row r="129" spans="1:16" ht="15.75" customHeight="1">
      <c r="A129" s="59"/>
      <c r="B129" s="60"/>
      <c r="C129" s="61"/>
      <c r="D129" s="62"/>
      <c r="E129" s="62"/>
      <c r="F129" s="63"/>
      <c r="G129" s="64"/>
      <c r="H129" s="65"/>
      <c r="I129" s="65"/>
      <c r="J129" s="65"/>
      <c r="K129" s="80"/>
      <c r="L129" s="81"/>
      <c r="M129" s="82"/>
      <c r="N129" s="83"/>
      <c r="O129" s="463"/>
      <c r="P129" s="27"/>
    </row>
    <row r="130" spans="1:16" ht="15.75" customHeight="1">
      <c r="A130" s="59"/>
      <c r="B130" s="60"/>
      <c r="C130" s="61"/>
      <c r="D130" s="62"/>
      <c r="E130" s="62"/>
      <c r="F130" s="63"/>
      <c r="G130" s="64"/>
      <c r="H130" s="65"/>
      <c r="I130" s="65"/>
      <c r="J130" s="65"/>
      <c r="K130" s="80"/>
      <c r="L130" s="81"/>
      <c r="M130" s="82"/>
      <c r="N130" s="83"/>
      <c r="O130" s="463"/>
      <c r="P130" s="27"/>
    </row>
    <row r="131" spans="1:16" ht="15.75" customHeight="1">
      <c r="A131" s="59"/>
      <c r="B131" s="60"/>
      <c r="C131" s="61"/>
      <c r="D131" s="62"/>
      <c r="E131" s="62"/>
      <c r="F131" s="63"/>
      <c r="G131" s="64"/>
      <c r="H131" s="65"/>
      <c r="I131" s="65"/>
      <c r="J131" s="65"/>
      <c r="K131" s="80"/>
      <c r="L131" s="81"/>
      <c r="M131" s="82"/>
      <c r="N131" s="83"/>
      <c r="O131" s="463"/>
      <c r="P131" s="27"/>
    </row>
    <row r="132" spans="1:16" ht="15.75" customHeight="1">
      <c r="A132" s="59"/>
      <c r="B132" s="60"/>
      <c r="C132" s="61"/>
      <c r="D132" s="62"/>
      <c r="E132" s="62"/>
      <c r="F132" s="63"/>
      <c r="G132" s="64"/>
      <c r="H132" s="65"/>
      <c r="I132" s="65"/>
      <c r="J132" s="65"/>
      <c r="K132" s="80"/>
      <c r="L132" s="81"/>
      <c r="M132" s="82"/>
      <c r="N132" s="83"/>
      <c r="O132" s="463"/>
      <c r="P132" s="27"/>
    </row>
    <row r="133" spans="1:16" ht="15.75" customHeight="1">
      <c r="A133" s="59"/>
      <c r="B133" s="60"/>
      <c r="C133" s="61"/>
      <c r="D133" s="62"/>
      <c r="E133" s="62"/>
      <c r="F133" s="63"/>
      <c r="G133" s="64"/>
      <c r="H133" s="65"/>
      <c r="I133" s="65"/>
      <c r="J133" s="65"/>
      <c r="K133" s="80"/>
      <c r="L133" s="81"/>
      <c r="M133" s="82"/>
      <c r="N133" s="83"/>
      <c r="O133" s="463"/>
      <c r="P133" s="27"/>
    </row>
    <row r="134" spans="1:16" ht="15.75" customHeight="1">
      <c r="A134" s="59"/>
      <c r="B134" s="60"/>
      <c r="C134" s="61"/>
      <c r="D134" s="62"/>
      <c r="E134" s="62"/>
      <c r="F134" s="63"/>
      <c r="G134" s="64"/>
      <c r="H134" s="65"/>
      <c r="I134" s="65"/>
      <c r="J134" s="65"/>
      <c r="K134" s="80"/>
      <c r="L134" s="81"/>
      <c r="M134" s="82"/>
      <c r="N134" s="83"/>
      <c r="O134" s="463"/>
      <c r="P134" s="27"/>
    </row>
    <row r="135" spans="1:16" ht="15.75" customHeight="1">
      <c r="A135" s="59"/>
      <c r="B135" s="60"/>
      <c r="C135" s="61"/>
      <c r="D135" s="62"/>
      <c r="E135" s="62"/>
      <c r="F135" s="63"/>
      <c r="G135" s="64"/>
      <c r="H135" s="65"/>
      <c r="I135" s="65"/>
      <c r="J135" s="65"/>
      <c r="K135" s="80"/>
      <c r="L135" s="81"/>
      <c r="M135" s="82"/>
      <c r="N135" s="83"/>
      <c r="O135" s="463"/>
      <c r="P135" s="27"/>
    </row>
    <row r="136" spans="1:16" ht="15.75" customHeight="1">
      <c r="A136" s="59"/>
      <c r="B136" s="60"/>
      <c r="C136" s="61"/>
      <c r="D136" s="62"/>
      <c r="E136" s="62"/>
      <c r="F136" s="63"/>
      <c r="G136" s="64"/>
      <c r="H136" s="65"/>
      <c r="I136" s="65"/>
      <c r="J136" s="65"/>
      <c r="K136" s="80"/>
      <c r="L136" s="81"/>
      <c r="M136" s="82"/>
      <c r="N136" s="83"/>
      <c r="O136" s="463"/>
      <c r="P136" s="27"/>
    </row>
    <row r="137" spans="1:16" ht="15.75" customHeight="1">
      <c r="A137" s="59"/>
      <c r="B137" s="60"/>
      <c r="C137" s="61"/>
      <c r="D137" s="62"/>
      <c r="E137" s="62"/>
      <c r="F137" s="63"/>
      <c r="G137" s="64"/>
      <c r="H137" s="65"/>
      <c r="I137" s="65"/>
      <c r="J137" s="65"/>
      <c r="K137" s="80"/>
      <c r="L137" s="81"/>
      <c r="M137" s="82"/>
      <c r="N137" s="83"/>
      <c r="O137" s="463"/>
      <c r="P137" s="27"/>
    </row>
    <row r="138" spans="1:16" ht="15.75" customHeight="1">
      <c r="A138" s="59"/>
      <c r="B138" s="60"/>
      <c r="C138" s="61"/>
      <c r="D138" s="62"/>
      <c r="E138" s="62"/>
      <c r="F138" s="63"/>
      <c r="G138" s="64"/>
      <c r="H138" s="65"/>
      <c r="I138" s="65"/>
      <c r="J138" s="65"/>
      <c r="K138" s="80"/>
      <c r="L138" s="81"/>
      <c r="M138" s="82"/>
      <c r="N138" s="83"/>
      <c r="O138" s="463"/>
      <c r="P138" s="27"/>
    </row>
    <row r="139" spans="1:16" ht="15.75" customHeight="1">
      <c r="A139" s="59"/>
      <c r="B139" s="60"/>
      <c r="C139" s="61"/>
      <c r="D139" s="62"/>
      <c r="E139" s="62"/>
      <c r="F139" s="63"/>
      <c r="G139" s="64"/>
      <c r="H139" s="65"/>
      <c r="I139" s="65"/>
      <c r="J139" s="65"/>
      <c r="K139" s="80"/>
      <c r="L139" s="81"/>
      <c r="M139" s="82"/>
      <c r="N139" s="83"/>
      <c r="O139" s="463"/>
      <c r="P139" s="27"/>
    </row>
    <row r="140" spans="1:16" ht="15.75" customHeight="1">
      <c r="A140" s="59"/>
      <c r="B140" s="60"/>
      <c r="C140" s="61"/>
      <c r="D140" s="62"/>
      <c r="E140" s="62"/>
      <c r="F140" s="63"/>
      <c r="G140" s="64"/>
      <c r="H140" s="65"/>
      <c r="I140" s="65"/>
      <c r="J140" s="65"/>
      <c r="K140" s="80"/>
      <c r="L140" s="81"/>
      <c r="M140" s="82"/>
      <c r="N140" s="83"/>
      <c r="O140" s="463"/>
      <c r="P140" s="27"/>
    </row>
    <row r="141" spans="1:16" ht="15.75" customHeight="1">
      <c r="A141" s="59"/>
      <c r="B141" s="60"/>
      <c r="C141" s="61"/>
      <c r="D141" s="62"/>
      <c r="E141" s="62"/>
      <c r="F141" s="63"/>
      <c r="G141" s="64"/>
      <c r="H141" s="65"/>
      <c r="I141" s="65"/>
      <c r="J141" s="65"/>
      <c r="K141" s="80"/>
      <c r="L141" s="81"/>
      <c r="M141" s="82"/>
      <c r="N141" s="83"/>
      <c r="O141" s="463"/>
      <c r="P141" s="27"/>
    </row>
    <row r="142" spans="1:16" ht="15.75" customHeight="1">
      <c r="A142" s="59"/>
      <c r="B142" s="60"/>
      <c r="C142" s="61"/>
      <c r="D142" s="62"/>
      <c r="E142" s="62"/>
      <c r="F142" s="63"/>
      <c r="G142" s="64"/>
      <c r="H142" s="65"/>
      <c r="I142" s="65"/>
      <c r="J142" s="65"/>
      <c r="K142" s="80"/>
      <c r="L142" s="81"/>
      <c r="M142" s="82"/>
      <c r="N142" s="83"/>
      <c r="O142" s="463"/>
      <c r="P142" s="27"/>
    </row>
    <row r="143" spans="1:16" ht="15.75" customHeight="1">
      <c r="A143" s="59"/>
      <c r="B143" s="60"/>
      <c r="C143" s="61"/>
      <c r="D143" s="62"/>
      <c r="E143" s="62"/>
      <c r="F143" s="63"/>
      <c r="G143" s="64"/>
      <c r="H143" s="65"/>
      <c r="I143" s="65"/>
      <c r="J143" s="65"/>
      <c r="K143" s="80"/>
      <c r="L143" s="81"/>
      <c r="M143" s="82"/>
      <c r="N143" s="83"/>
      <c r="O143" s="463"/>
      <c r="P143" s="27"/>
    </row>
    <row r="144" spans="1:16" ht="15.75" customHeight="1">
      <c r="A144" s="59"/>
      <c r="B144" s="60"/>
      <c r="C144" s="61"/>
      <c r="D144" s="62"/>
      <c r="E144" s="62"/>
      <c r="F144" s="63"/>
      <c r="G144" s="64"/>
      <c r="H144" s="65"/>
      <c r="I144" s="65"/>
      <c r="J144" s="65"/>
      <c r="K144" s="80"/>
      <c r="L144" s="81"/>
      <c r="M144" s="82"/>
      <c r="N144" s="83"/>
      <c r="O144" s="463"/>
      <c r="P144" s="27"/>
    </row>
    <row r="145" spans="1:16" ht="15.75" customHeight="1">
      <c r="A145" s="59"/>
      <c r="B145" s="60"/>
      <c r="C145" s="61"/>
      <c r="D145" s="62"/>
      <c r="E145" s="62"/>
      <c r="F145" s="63"/>
      <c r="G145" s="64"/>
      <c r="H145" s="65"/>
      <c r="I145" s="65"/>
      <c r="J145" s="65"/>
      <c r="K145" s="80"/>
      <c r="L145" s="81"/>
      <c r="M145" s="82"/>
      <c r="N145" s="83"/>
      <c r="O145" s="463"/>
      <c r="P145" s="27"/>
    </row>
    <row r="146" spans="1:16" ht="15.75" customHeight="1">
      <c r="A146" s="59"/>
      <c r="B146" s="60"/>
      <c r="C146" s="61"/>
      <c r="D146" s="62"/>
      <c r="E146" s="62"/>
      <c r="F146" s="63"/>
      <c r="G146" s="64"/>
      <c r="H146" s="65"/>
      <c r="I146" s="65"/>
      <c r="J146" s="65"/>
      <c r="K146" s="80"/>
      <c r="L146" s="81"/>
      <c r="M146" s="82"/>
      <c r="N146" s="83"/>
      <c r="O146" s="463"/>
      <c r="P146" s="27"/>
    </row>
    <row r="147" spans="1:16" ht="15.75" customHeight="1">
      <c r="A147" s="59"/>
      <c r="B147" s="60"/>
      <c r="C147" s="61"/>
      <c r="D147" s="62"/>
      <c r="E147" s="62"/>
      <c r="F147" s="63"/>
      <c r="G147" s="64"/>
      <c r="H147" s="65"/>
      <c r="I147" s="65"/>
      <c r="J147" s="65"/>
      <c r="K147" s="80"/>
      <c r="L147" s="81"/>
      <c r="M147" s="82"/>
      <c r="N147" s="83"/>
      <c r="O147" s="463"/>
      <c r="P147" s="27"/>
    </row>
    <row r="148" spans="1:16" ht="15.75" customHeight="1">
      <c r="A148" s="59"/>
      <c r="B148" s="60"/>
      <c r="C148" s="61"/>
      <c r="D148" s="62"/>
      <c r="E148" s="62"/>
      <c r="F148" s="63"/>
      <c r="G148" s="64"/>
      <c r="H148" s="65"/>
      <c r="I148" s="65"/>
      <c r="J148" s="65"/>
      <c r="K148" s="80"/>
      <c r="L148" s="81"/>
      <c r="M148" s="82"/>
      <c r="N148" s="83"/>
      <c r="O148" s="463"/>
      <c r="P148" s="27"/>
    </row>
    <row r="149" spans="1:16" ht="15.75" customHeight="1">
      <c r="A149" s="59"/>
      <c r="B149" s="60"/>
      <c r="C149" s="61"/>
      <c r="D149" s="62"/>
      <c r="E149" s="62"/>
      <c r="F149" s="63"/>
      <c r="G149" s="64"/>
      <c r="H149" s="65"/>
      <c r="I149" s="65"/>
      <c r="J149" s="65"/>
      <c r="K149" s="80"/>
      <c r="L149" s="81"/>
      <c r="M149" s="82"/>
      <c r="N149" s="83"/>
      <c r="O149" s="463"/>
      <c r="P149" s="27"/>
    </row>
    <row r="150" spans="1:16" ht="15.75" customHeight="1">
      <c r="A150" s="59"/>
      <c r="B150" s="60"/>
      <c r="C150" s="61"/>
      <c r="D150" s="62"/>
      <c r="E150" s="62"/>
      <c r="F150" s="63"/>
      <c r="G150" s="64"/>
      <c r="H150" s="65"/>
      <c r="I150" s="65"/>
      <c r="J150" s="65"/>
      <c r="K150" s="80"/>
      <c r="L150" s="81"/>
      <c r="M150" s="82"/>
      <c r="N150" s="83"/>
      <c r="O150" s="463"/>
      <c r="P150" s="27"/>
    </row>
    <row r="151" spans="1:16" ht="15.75" customHeight="1">
      <c r="A151" s="59"/>
      <c r="B151" s="60"/>
      <c r="C151" s="61"/>
      <c r="D151" s="62"/>
      <c r="E151" s="62"/>
      <c r="F151" s="63"/>
      <c r="G151" s="64"/>
      <c r="H151" s="65"/>
      <c r="I151" s="65"/>
      <c r="J151" s="65"/>
      <c r="K151" s="80"/>
      <c r="L151" s="81"/>
      <c r="M151" s="82"/>
      <c r="N151" s="83"/>
      <c r="O151" s="463"/>
      <c r="P151" s="27"/>
    </row>
    <row r="152" spans="1:16" ht="15.75" customHeight="1">
      <c r="A152" s="59"/>
      <c r="B152" s="60"/>
      <c r="C152" s="61"/>
      <c r="D152" s="62"/>
      <c r="E152" s="62"/>
      <c r="F152" s="63"/>
      <c r="G152" s="64"/>
      <c r="H152" s="65"/>
      <c r="I152" s="65"/>
      <c r="J152" s="65"/>
      <c r="K152" s="80"/>
      <c r="L152" s="81"/>
      <c r="M152" s="82"/>
      <c r="N152" s="83"/>
      <c r="O152" s="463"/>
      <c r="P152" s="27"/>
    </row>
    <row r="153" spans="1:16" ht="15.75" customHeight="1">
      <c r="A153" s="59"/>
      <c r="B153" s="60"/>
      <c r="C153" s="61"/>
      <c r="D153" s="62"/>
      <c r="E153" s="62"/>
      <c r="F153" s="63"/>
      <c r="G153" s="64"/>
      <c r="H153" s="65"/>
      <c r="I153" s="65"/>
      <c r="J153" s="65"/>
      <c r="K153" s="80"/>
      <c r="L153" s="81"/>
      <c r="M153" s="82"/>
      <c r="N153" s="83"/>
      <c r="O153" s="463"/>
      <c r="P153" s="27"/>
    </row>
    <row r="154" spans="1:16" ht="15.75" customHeight="1">
      <c r="A154" s="59"/>
      <c r="B154" s="60"/>
      <c r="C154" s="61"/>
      <c r="D154" s="62"/>
      <c r="E154" s="62"/>
      <c r="F154" s="63"/>
      <c r="G154" s="64"/>
      <c r="H154" s="65"/>
      <c r="I154" s="65"/>
      <c r="J154" s="65"/>
      <c r="K154" s="80"/>
      <c r="L154" s="81"/>
      <c r="M154" s="82"/>
      <c r="N154" s="83"/>
      <c r="O154" s="463"/>
      <c r="P154" s="27"/>
    </row>
    <row r="155" spans="1:16" ht="15.75" customHeight="1">
      <c r="A155" s="59"/>
      <c r="B155" s="60"/>
      <c r="C155" s="61"/>
      <c r="D155" s="62"/>
      <c r="E155" s="62"/>
      <c r="F155" s="63"/>
      <c r="G155" s="64"/>
      <c r="H155" s="65"/>
      <c r="I155" s="65"/>
      <c r="J155" s="65"/>
      <c r="K155" s="80"/>
      <c r="L155" s="81"/>
      <c r="M155" s="82"/>
      <c r="N155" s="83"/>
      <c r="O155" s="463"/>
      <c r="P155" s="27"/>
    </row>
    <row r="156" spans="1:16" ht="15.75" customHeight="1">
      <c r="A156" s="59"/>
      <c r="B156" s="60"/>
      <c r="C156" s="61"/>
      <c r="D156" s="62"/>
      <c r="E156" s="62"/>
      <c r="F156" s="63"/>
      <c r="G156" s="64"/>
      <c r="H156" s="65"/>
      <c r="I156" s="65"/>
      <c r="J156" s="65"/>
      <c r="K156" s="80"/>
      <c r="L156" s="81"/>
      <c r="M156" s="82"/>
      <c r="N156" s="83"/>
      <c r="O156" s="463"/>
      <c r="P156" s="27"/>
    </row>
    <row r="157" spans="1:16" ht="15.75" customHeight="1">
      <c r="A157" s="59"/>
      <c r="B157" s="60"/>
      <c r="C157" s="61"/>
      <c r="D157" s="62"/>
      <c r="E157" s="62"/>
      <c r="F157" s="63"/>
      <c r="G157" s="64"/>
      <c r="H157" s="65"/>
      <c r="I157" s="65"/>
      <c r="J157" s="65"/>
      <c r="K157" s="80"/>
      <c r="L157" s="81"/>
      <c r="M157" s="82"/>
      <c r="N157" s="83"/>
      <c r="O157" s="463"/>
      <c r="P157" s="27"/>
    </row>
    <row r="158" spans="1:16" ht="15.75" customHeight="1">
      <c r="A158" s="59"/>
      <c r="B158" s="60"/>
      <c r="C158" s="61"/>
      <c r="D158" s="62"/>
      <c r="E158" s="62"/>
      <c r="F158" s="63"/>
      <c r="G158" s="64"/>
      <c r="H158" s="65"/>
      <c r="I158" s="65"/>
      <c r="J158" s="65"/>
      <c r="K158" s="80"/>
      <c r="L158" s="81"/>
      <c r="M158" s="82"/>
      <c r="N158" s="83"/>
      <c r="O158" s="463"/>
      <c r="P158" s="27"/>
    </row>
    <row r="159" spans="1:16" ht="15.75" customHeight="1">
      <c r="A159" s="59"/>
      <c r="B159" s="60"/>
      <c r="C159" s="61"/>
      <c r="D159" s="62"/>
      <c r="E159" s="62"/>
      <c r="F159" s="63"/>
      <c r="G159" s="64"/>
      <c r="H159" s="65"/>
      <c r="I159" s="65"/>
      <c r="J159" s="65"/>
      <c r="K159" s="80"/>
      <c r="L159" s="81"/>
      <c r="M159" s="82"/>
      <c r="N159" s="83"/>
      <c r="O159" s="463"/>
      <c r="P159" s="27"/>
    </row>
    <row r="160" spans="1:16" ht="15.75" customHeight="1">
      <c r="A160" s="59"/>
      <c r="B160" s="60"/>
      <c r="C160" s="61"/>
      <c r="D160" s="62"/>
      <c r="E160" s="62"/>
      <c r="F160" s="63"/>
      <c r="G160" s="64"/>
      <c r="H160" s="65"/>
      <c r="I160" s="27"/>
      <c r="J160" s="26"/>
      <c r="K160" s="80"/>
      <c r="L160" s="81"/>
      <c r="M160" s="82"/>
      <c r="N160" s="83"/>
      <c r="O160" s="463"/>
      <c r="P160" s="26"/>
    </row>
    <row r="161" spans="1:16" ht="15.75" customHeight="1">
      <c r="A161" s="59"/>
      <c r="B161" s="60"/>
      <c r="C161" s="61"/>
      <c r="D161" s="59"/>
      <c r="E161" s="59"/>
      <c r="F161" s="63"/>
      <c r="G161" s="64"/>
      <c r="H161" s="65"/>
      <c r="I161" s="59"/>
      <c r="J161" s="59"/>
      <c r="K161" s="80"/>
      <c r="L161" s="81"/>
      <c r="M161" s="82"/>
      <c r="N161" s="83"/>
      <c r="O161" s="59"/>
      <c r="P161" s="26"/>
    </row>
    <row r="162" spans="1:16" ht="15.75" customHeight="1">
      <c r="A162" s="59"/>
      <c r="B162" s="60"/>
      <c r="C162" s="61"/>
      <c r="D162" s="62"/>
      <c r="E162" s="62"/>
      <c r="F162" s="63"/>
      <c r="G162" s="64"/>
      <c r="H162" s="65"/>
      <c r="I162" s="27"/>
      <c r="J162" s="26"/>
      <c r="K162" s="80"/>
      <c r="L162" s="81"/>
      <c r="M162" s="82"/>
      <c r="N162" s="83"/>
      <c r="O162" s="463"/>
      <c r="P162" s="26"/>
    </row>
    <row r="163" spans="1:16" ht="15.75" customHeight="1">
      <c r="A163" s="59"/>
      <c r="B163" s="60"/>
      <c r="C163" s="61"/>
      <c r="D163" s="62"/>
      <c r="E163" s="62"/>
      <c r="F163" s="63"/>
      <c r="G163" s="64"/>
      <c r="H163" s="65"/>
      <c r="I163" s="65"/>
      <c r="J163" s="65"/>
      <c r="K163" s="80"/>
      <c r="L163" s="81"/>
      <c r="M163" s="82"/>
      <c r="N163" s="83"/>
      <c r="O163" s="463"/>
      <c r="P163" s="26"/>
    </row>
    <row r="164" spans="1:16" ht="15.75" customHeight="1">
      <c r="A164" s="59"/>
      <c r="B164" s="60"/>
      <c r="C164" s="61"/>
      <c r="D164" s="62"/>
      <c r="E164" s="62"/>
      <c r="F164" s="63"/>
      <c r="G164" s="64"/>
      <c r="H164" s="65"/>
      <c r="I164" s="65"/>
      <c r="J164" s="65"/>
      <c r="K164" s="80"/>
      <c r="L164" s="81"/>
      <c r="M164" s="82"/>
      <c r="N164" s="83"/>
      <c r="O164" s="463"/>
      <c r="P164" s="26"/>
    </row>
    <row r="165" spans="1:16" ht="15.75" customHeight="1">
      <c r="A165" s="59"/>
      <c r="B165" s="60"/>
      <c r="C165" s="61"/>
      <c r="D165" s="62"/>
      <c r="E165" s="62"/>
      <c r="F165" s="63"/>
      <c r="G165" s="64"/>
      <c r="H165" s="65"/>
      <c r="I165" s="65"/>
      <c r="J165" s="65"/>
      <c r="K165" s="80"/>
      <c r="L165" s="81"/>
      <c r="M165" s="82"/>
      <c r="N165" s="83"/>
      <c r="O165" s="463"/>
      <c r="P165" s="26"/>
    </row>
    <row r="166" spans="1:16" ht="15.75" customHeight="1">
      <c r="A166" s="59"/>
      <c r="B166" s="60"/>
      <c r="C166" s="61"/>
      <c r="D166" s="61"/>
      <c r="E166" s="61"/>
      <c r="F166" s="63"/>
      <c r="G166" s="64"/>
      <c r="H166" s="65"/>
      <c r="I166" s="61"/>
      <c r="J166" s="61"/>
      <c r="K166" s="80"/>
      <c r="L166" s="81"/>
      <c r="M166" s="82"/>
      <c r="N166" s="83"/>
      <c r="O166" s="61"/>
      <c r="P166" s="26"/>
    </row>
    <row r="167" spans="1:16" ht="15.75" customHeight="1">
      <c r="A167" s="59"/>
      <c r="B167" s="60"/>
      <c r="C167" s="61"/>
      <c r="D167" s="62"/>
      <c r="E167" s="62"/>
      <c r="F167" s="63"/>
      <c r="G167" s="64"/>
      <c r="H167" s="65"/>
      <c r="I167" s="27"/>
      <c r="J167" s="26"/>
      <c r="K167" s="80"/>
      <c r="L167" s="81"/>
      <c r="M167" s="82"/>
      <c r="N167" s="83"/>
      <c r="O167" s="463"/>
      <c r="P167" s="26"/>
    </row>
    <row r="168" spans="1:16" ht="15.75" customHeight="1">
      <c r="A168" s="59"/>
      <c r="B168" s="60"/>
      <c r="C168" s="61"/>
      <c r="D168" s="62"/>
      <c r="E168" s="62"/>
      <c r="F168" s="63"/>
      <c r="G168" s="64"/>
      <c r="H168" s="65"/>
      <c r="I168" s="65"/>
      <c r="J168" s="65"/>
      <c r="K168" s="80"/>
      <c r="L168" s="81"/>
      <c r="M168" s="82"/>
      <c r="N168" s="83"/>
      <c r="O168" s="463"/>
      <c r="P168" s="26"/>
    </row>
    <row r="169" spans="1:16" ht="15.75" customHeight="1">
      <c r="A169" s="59"/>
      <c r="B169" s="60"/>
      <c r="C169" s="61"/>
      <c r="D169" s="62"/>
      <c r="E169" s="62"/>
      <c r="F169" s="63"/>
      <c r="G169" s="64"/>
      <c r="H169" s="65"/>
      <c r="I169" s="65"/>
      <c r="J169" s="65"/>
      <c r="K169" s="80"/>
      <c r="L169" s="81"/>
      <c r="M169" s="82"/>
      <c r="N169" s="83"/>
      <c r="O169" s="463"/>
      <c r="P169" s="26"/>
    </row>
    <row r="170" spans="1:16" ht="15.75" customHeight="1">
      <c r="A170" s="59"/>
      <c r="B170" s="60"/>
      <c r="C170" s="61"/>
      <c r="D170" s="62"/>
      <c r="E170" s="62"/>
      <c r="F170" s="63"/>
      <c r="G170" s="64"/>
      <c r="H170" s="65"/>
      <c r="I170" s="65"/>
      <c r="J170" s="65"/>
      <c r="K170" s="80"/>
      <c r="L170" s="81"/>
      <c r="M170" s="82"/>
      <c r="N170" s="83"/>
      <c r="O170" s="463"/>
      <c r="P170" s="26"/>
    </row>
    <row r="171" spans="1:16" ht="15.75" customHeight="1">
      <c r="A171" s="59"/>
      <c r="B171" s="60"/>
      <c r="C171" s="61"/>
      <c r="D171" s="62"/>
      <c r="E171" s="62"/>
      <c r="F171" s="63"/>
      <c r="G171" s="64"/>
      <c r="H171" s="65"/>
      <c r="I171" s="65"/>
      <c r="J171" s="65"/>
      <c r="K171" s="80"/>
      <c r="L171" s="81"/>
      <c r="M171" s="82"/>
      <c r="N171" s="83"/>
      <c r="O171" s="463"/>
      <c r="P171" s="26"/>
    </row>
    <row r="172" spans="1:16" ht="15.75" customHeight="1">
      <c r="A172" s="59"/>
      <c r="B172" s="60"/>
      <c r="C172" s="61"/>
      <c r="D172" s="62"/>
      <c r="E172" s="62"/>
      <c r="F172" s="63"/>
      <c r="G172" s="64"/>
      <c r="H172" s="65"/>
      <c r="I172" s="65"/>
      <c r="J172" s="65"/>
      <c r="K172" s="80"/>
      <c r="L172" s="81"/>
      <c r="M172" s="82"/>
      <c r="N172" s="83"/>
      <c r="O172" s="463"/>
      <c r="P172" s="26"/>
    </row>
    <row r="173" spans="1:16" ht="15.75" customHeight="1">
      <c r="A173" s="59"/>
      <c r="B173" s="60"/>
      <c r="C173" s="61"/>
      <c r="D173" s="62"/>
      <c r="E173" s="62"/>
      <c r="F173" s="63"/>
      <c r="G173" s="64"/>
      <c r="H173" s="65"/>
      <c r="I173" s="65"/>
      <c r="J173" s="65"/>
      <c r="K173" s="80"/>
      <c r="L173" s="81"/>
      <c r="M173" s="82"/>
      <c r="N173" s="83"/>
      <c r="O173" s="463"/>
      <c r="P173" s="26"/>
    </row>
    <row r="174" spans="1:16" ht="15.75" customHeight="1">
      <c r="A174" s="59"/>
      <c r="B174" s="60"/>
      <c r="C174" s="61"/>
      <c r="D174" s="62"/>
      <c r="E174" s="62"/>
      <c r="F174" s="63"/>
      <c r="G174" s="64"/>
      <c r="H174" s="65"/>
      <c r="I174" s="65"/>
      <c r="J174" s="65"/>
      <c r="K174" s="80"/>
      <c r="L174" s="81"/>
      <c r="M174" s="82"/>
      <c r="N174" s="83"/>
      <c r="O174" s="463"/>
      <c r="P174" s="26"/>
    </row>
    <row r="175" spans="1:16" ht="15.75" customHeight="1">
      <c r="A175" s="59"/>
      <c r="B175" s="60"/>
      <c r="C175" s="61"/>
      <c r="D175" s="62"/>
      <c r="E175" s="62"/>
      <c r="F175" s="63"/>
      <c r="G175" s="64"/>
      <c r="H175" s="65"/>
      <c r="I175" s="65"/>
      <c r="J175" s="65"/>
      <c r="K175" s="80"/>
      <c r="L175" s="81"/>
      <c r="M175" s="82"/>
      <c r="N175" s="83"/>
      <c r="O175" s="463"/>
      <c r="P175" s="26"/>
    </row>
    <row r="176" spans="1:16" ht="15.75" customHeight="1">
      <c r="A176" s="59"/>
      <c r="B176" s="60"/>
      <c r="C176" s="61"/>
      <c r="D176" s="62"/>
      <c r="E176" s="62"/>
      <c r="F176" s="63"/>
      <c r="G176" s="64"/>
      <c r="H176" s="65"/>
      <c r="I176" s="65"/>
      <c r="J176" s="65"/>
      <c r="K176" s="80"/>
      <c r="L176" s="81"/>
      <c r="M176" s="82"/>
      <c r="N176" s="83"/>
      <c r="O176" s="463"/>
      <c r="P176" s="26"/>
    </row>
    <row r="177" spans="1:16" ht="15.75" customHeight="1">
      <c r="A177" s="59"/>
      <c r="B177" s="60"/>
      <c r="C177" s="61"/>
      <c r="D177" s="62"/>
      <c r="E177" s="62"/>
      <c r="F177" s="63"/>
      <c r="G177" s="64"/>
      <c r="H177" s="65"/>
      <c r="I177" s="65"/>
      <c r="J177" s="65"/>
      <c r="K177" s="80"/>
      <c r="L177" s="81"/>
      <c r="M177" s="82"/>
      <c r="N177" s="83"/>
      <c r="O177" s="463"/>
      <c r="P177" s="26"/>
    </row>
    <row r="178" spans="1:16" ht="15.75" customHeight="1">
      <c r="A178" s="59"/>
      <c r="B178" s="60"/>
      <c r="C178" s="61"/>
      <c r="D178" s="62"/>
      <c r="E178" s="62"/>
      <c r="F178" s="63"/>
      <c r="G178" s="64"/>
      <c r="H178" s="65"/>
      <c r="I178" s="65"/>
      <c r="J178" s="65"/>
      <c r="K178" s="80"/>
      <c r="L178" s="81"/>
      <c r="M178" s="82"/>
      <c r="N178" s="83"/>
      <c r="O178" s="463"/>
      <c r="P178" s="26"/>
    </row>
    <row r="179" spans="1:16" ht="15.75" customHeight="1">
      <c r="A179" s="59"/>
      <c r="B179" s="60"/>
      <c r="C179" s="61"/>
      <c r="D179" s="62"/>
      <c r="E179" s="62"/>
      <c r="F179" s="63"/>
      <c r="G179" s="64"/>
      <c r="H179" s="65"/>
      <c r="I179" s="65"/>
      <c r="J179" s="65"/>
      <c r="K179" s="80"/>
      <c r="L179" s="81"/>
      <c r="M179" s="82"/>
      <c r="N179" s="83"/>
      <c r="O179" s="463"/>
      <c r="P179" s="26"/>
    </row>
    <row r="180" spans="1:16" ht="15.75" customHeight="1">
      <c r="A180" s="59"/>
      <c r="B180" s="60"/>
      <c r="C180" s="61"/>
      <c r="D180" s="62"/>
      <c r="E180" s="62"/>
      <c r="F180" s="63"/>
      <c r="G180" s="64"/>
      <c r="H180" s="65"/>
      <c r="I180" s="65"/>
      <c r="J180" s="65"/>
      <c r="K180" s="80"/>
      <c r="L180" s="81"/>
      <c r="M180" s="82"/>
      <c r="N180" s="83"/>
      <c r="O180" s="463"/>
      <c r="P180" s="26"/>
    </row>
    <row r="181" spans="1:16" ht="15.75" customHeight="1">
      <c r="A181" s="59"/>
      <c r="B181" s="60"/>
      <c r="C181" s="61"/>
      <c r="D181" s="62"/>
      <c r="E181" s="62"/>
      <c r="F181" s="63"/>
      <c r="G181" s="64"/>
      <c r="H181" s="65"/>
      <c r="I181" s="65"/>
      <c r="J181" s="65"/>
      <c r="K181" s="80"/>
      <c r="L181" s="81"/>
      <c r="M181" s="82"/>
      <c r="N181" s="83"/>
      <c r="O181" s="463"/>
      <c r="P181" s="26"/>
    </row>
    <row r="182" spans="1:16" ht="15.75" customHeight="1">
      <c r="A182" s="59"/>
      <c r="B182" s="60"/>
      <c r="C182" s="61"/>
      <c r="D182" s="62"/>
      <c r="E182" s="62"/>
      <c r="F182" s="63"/>
      <c r="G182" s="64"/>
      <c r="H182" s="65"/>
      <c r="I182" s="65"/>
      <c r="J182" s="65"/>
      <c r="K182" s="80"/>
      <c r="L182" s="81"/>
      <c r="M182" s="82"/>
      <c r="N182" s="83"/>
      <c r="O182" s="463"/>
      <c r="P182" s="26"/>
    </row>
    <row r="183" spans="1:16" ht="15.75" customHeight="1">
      <c r="A183" s="59"/>
      <c r="B183" s="60"/>
      <c r="C183" s="61"/>
      <c r="D183" s="62"/>
      <c r="E183" s="62"/>
      <c r="F183" s="63"/>
      <c r="G183" s="64"/>
      <c r="H183" s="65"/>
      <c r="I183" s="65"/>
      <c r="J183" s="65"/>
      <c r="K183" s="80"/>
      <c r="L183" s="81"/>
      <c r="M183" s="82"/>
      <c r="N183" s="83"/>
      <c r="O183" s="463"/>
      <c r="P183" s="26"/>
    </row>
    <row r="184" spans="1:16" ht="15.75" customHeight="1">
      <c r="A184" s="59"/>
      <c r="B184" s="60"/>
      <c r="C184" s="61"/>
      <c r="D184" s="62"/>
      <c r="E184" s="62"/>
      <c r="F184" s="63"/>
      <c r="G184" s="64"/>
      <c r="H184" s="65"/>
      <c r="I184" s="65"/>
      <c r="J184" s="65"/>
      <c r="K184" s="80"/>
      <c r="L184" s="81"/>
      <c r="M184" s="82"/>
      <c r="N184" s="83"/>
      <c r="O184" s="463"/>
      <c r="P184" s="26"/>
    </row>
    <row r="185" spans="1:16" ht="15.75" customHeight="1">
      <c r="A185" s="59"/>
      <c r="B185" s="60"/>
      <c r="C185" s="61"/>
      <c r="D185" s="61"/>
      <c r="E185" s="61"/>
      <c r="F185" s="63"/>
      <c r="G185" s="64"/>
      <c r="H185" s="65"/>
      <c r="I185" s="61"/>
      <c r="J185" s="61"/>
      <c r="K185" s="80"/>
      <c r="L185" s="81"/>
      <c r="M185" s="82"/>
      <c r="N185" s="83"/>
      <c r="O185" s="61"/>
      <c r="P185" s="61"/>
    </row>
    <row r="186" spans="1:16" ht="15.75" customHeight="1">
      <c r="A186" s="59"/>
      <c r="B186" s="60"/>
      <c r="C186" s="61"/>
      <c r="D186" s="62"/>
      <c r="E186" s="62"/>
      <c r="F186" s="63"/>
      <c r="G186" s="64"/>
      <c r="H186" s="65"/>
      <c r="I186" s="27"/>
      <c r="J186" s="26"/>
      <c r="K186" s="80"/>
      <c r="L186" s="81"/>
      <c r="M186" s="82"/>
      <c r="N186" s="83"/>
      <c r="O186" s="463"/>
      <c r="P186" s="26"/>
    </row>
    <row r="187" spans="1:16" ht="15.75" customHeight="1">
      <c r="A187" s="59"/>
      <c r="B187" s="60"/>
      <c r="C187" s="61"/>
      <c r="D187" s="62"/>
      <c r="E187" s="62"/>
      <c r="F187" s="63"/>
      <c r="G187" s="64"/>
      <c r="H187" s="65"/>
      <c r="I187" s="27"/>
      <c r="J187" s="26"/>
      <c r="K187" s="80"/>
      <c r="L187" s="81"/>
      <c r="M187" s="82"/>
      <c r="N187" s="83"/>
      <c r="O187" s="463"/>
      <c r="P187" s="26"/>
    </row>
    <row r="188" spans="1:16" ht="15.75" customHeight="1">
      <c r="A188" s="59"/>
      <c r="B188" s="60"/>
      <c r="C188" s="61"/>
      <c r="D188" s="62"/>
      <c r="E188" s="62"/>
      <c r="F188" s="63"/>
      <c r="G188" s="64"/>
      <c r="H188" s="65"/>
      <c r="I188" s="27"/>
      <c r="J188" s="26"/>
      <c r="K188" s="80"/>
      <c r="L188" s="81"/>
      <c r="M188" s="82"/>
      <c r="N188" s="83"/>
      <c r="O188" s="463"/>
      <c r="P188" s="26"/>
    </row>
    <row r="189" spans="1:16" ht="15.75" customHeight="1">
      <c r="A189" s="59"/>
      <c r="B189" s="60"/>
      <c r="C189" s="61"/>
      <c r="D189" s="62"/>
      <c r="E189" s="62"/>
      <c r="F189" s="63"/>
      <c r="G189" s="64"/>
      <c r="H189" s="65"/>
      <c r="I189" s="27"/>
      <c r="J189" s="26"/>
      <c r="K189" s="80"/>
      <c r="L189" s="81"/>
      <c r="M189" s="82"/>
      <c r="N189" s="83"/>
      <c r="O189" s="463"/>
      <c r="P189" s="26"/>
    </row>
    <row r="190" spans="1:16" ht="15.75" customHeight="1">
      <c r="A190" s="59"/>
      <c r="B190" s="60"/>
      <c r="C190" s="61"/>
      <c r="D190" s="62"/>
      <c r="E190" s="62"/>
      <c r="F190" s="63"/>
      <c r="G190" s="64"/>
      <c r="H190" s="65"/>
      <c r="I190" s="27"/>
      <c r="J190" s="26"/>
      <c r="K190" s="80"/>
      <c r="L190" s="81"/>
      <c r="M190" s="82"/>
      <c r="N190" s="83"/>
      <c r="O190" s="463"/>
      <c r="P190" s="26"/>
    </row>
    <row r="191" spans="1:16" ht="15.75" customHeight="1">
      <c r="A191" s="59"/>
      <c r="B191" s="60"/>
      <c r="C191" s="61"/>
      <c r="D191" s="62"/>
      <c r="E191" s="62"/>
      <c r="F191" s="63"/>
      <c r="G191" s="64"/>
      <c r="H191" s="65"/>
      <c r="I191" s="27"/>
      <c r="J191" s="26"/>
      <c r="K191" s="80"/>
      <c r="L191" s="81"/>
      <c r="M191" s="82"/>
      <c r="N191" s="83"/>
      <c r="O191" s="463"/>
      <c r="P191" s="26"/>
    </row>
    <row r="192" spans="1:16" ht="15.75" customHeight="1">
      <c r="A192" s="59"/>
      <c r="B192" s="60"/>
      <c r="C192" s="61"/>
      <c r="D192" s="62"/>
      <c r="E192" s="62"/>
      <c r="F192" s="63"/>
      <c r="G192" s="64"/>
      <c r="H192" s="65"/>
      <c r="I192" s="27"/>
      <c r="J192" s="26"/>
      <c r="K192" s="80"/>
      <c r="L192" s="81"/>
      <c r="M192" s="82"/>
      <c r="N192" s="83"/>
      <c r="O192" s="463"/>
      <c r="P192" s="26"/>
    </row>
    <row r="193" spans="1:17" ht="15.75" customHeight="1">
      <c r="A193" s="59"/>
      <c r="B193" s="60"/>
      <c r="C193" s="61"/>
      <c r="D193" s="62"/>
      <c r="E193" s="62"/>
      <c r="F193" s="63"/>
      <c r="G193" s="64"/>
      <c r="H193" s="65"/>
      <c r="I193" s="27"/>
      <c r="J193" s="26"/>
      <c r="K193" s="80"/>
      <c r="L193" s="81"/>
      <c r="M193" s="82"/>
      <c r="N193" s="83"/>
      <c r="O193" s="463"/>
      <c r="P193" s="26"/>
    </row>
    <row r="194" spans="1:17" ht="15.75" customHeight="1">
      <c r="A194" s="59"/>
      <c r="B194" s="60"/>
      <c r="C194" s="61"/>
      <c r="D194" s="62"/>
      <c r="E194" s="62"/>
      <c r="F194" s="63"/>
      <c r="G194" s="64"/>
      <c r="H194" s="65"/>
      <c r="I194" s="27"/>
      <c r="J194" s="26"/>
      <c r="K194" s="80"/>
      <c r="L194" s="81"/>
      <c r="M194" s="82"/>
      <c r="N194" s="83"/>
      <c r="O194" s="463"/>
      <c r="P194" s="26"/>
    </row>
    <row r="195" spans="1:17" ht="15.75" customHeight="1">
      <c r="A195" s="59"/>
      <c r="B195" s="60"/>
      <c r="C195" s="61"/>
      <c r="D195" s="62"/>
      <c r="E195" s="62"/>
      <c r="F195" s="63"/>
      <c r="G195" s="64"/>
      <c r="H195" s="65"/>
      <c r="I195" s="27"/>
      <c r="J195" s="26"/>
      <c r="K195" s="80"/>
      <c r="L195" s="81"/>
      <c r="M195" s="82"/>
      <c r="N195" s="83"/>
      <c r="O195" s="463"/>
      <c r="P195" s="26"/>
    </row>
    <row r="196" spans="1:17" ht="15.75" customHeight="1">
      <c r="A196" s="59"/>
      <c r="B196" s="60"/>
      <c r="C196" s="61"/>
      <c r="D196" s="62"/>
      <c r="E196" s="62"/>
      <c r="F196" s="63"/>
      <c r="G196" s="64"/>
      <c r="H196" s="65"/>
      <c r="I196" s="27"/>
      <c r="J196" s="26"/>
      <c r="K196" s="80"/>
      <c r="L196" s="81"/>
      <c r="M196" s="82"/>
      <c r="N196" s="83"/>
      <c r="O196" s="463"/>
      <c r="P196" s="26"/>
    </row>
    <row r="197" spans="1:17" ht="15.75" customHeight="1">
      <c r="A197" s="59"/>
      <c r="B197" s="60"/>
      <c r="C197" s="61"/>
      <c r="D197" s="61"/>
      <c r="E197" s="61"/>
      <c r="F197" s="63"/>
      <c r="G197" s="64"/>
      <c r="H197" s="65"/>
      <c r="I197" s="61"/>
      <c r="J197" s="61"/>
      <c r="K197" s="80"/>
      <c r="L197" s="81"/>
      <c r="M197" s="82"/>
      <c r="N197" s="83"/>
      <c r="O197" s="463"/>
      <c r="P197" s="61"/>
      <c r="Q197" s="61"/>
    </row>
    <row r="198" spans="1:17" ht="15.75" customHeight="1">
      <c r="A198" s="59"/>
      <c r="B198" s="60"/>
      <c r="C198" s="61"/>
      <c r="D198" s="62"/>
      <c r="E198" s="62"/>
      <c r="F198" s="63"/>
      <c r="G198" s="64"/>
      <c r="H198" s="65"/>
      <c r="I198" s="27"/>
      <c r="J198" s="26"/>
      <c r="K198" s="80"/>
      <c r="L198" s="81"/>
      <c r="M198" s="82"/>
      <c r="N198" s="83"/>
      <c r="O198" s="463"/>
      <c r="P198" s="26"/>
    </row>
    <row r="199" spans="1:17" ht="15.75" customHeight="1">
      <c r="A199" s="59"/>
      <c r="B199" s="60"/>
      <c r="C199" s="61"/>
      <c r="D199" s="59"/>
      <c r="E199" s="59"/>
      <c r="F199" s="63"/>
      <c r="G199" s="64"/>
      <c r="H199" s="65"/>
      <c r="I199" s="59"/>
      <c r="J199" s="59"/>
      <c r="K199" s="80"/>
      <c r="L199" s="81"/>
      <c r="M199" s="82"/>
      <c r="N199" s="83"/>
      <c r="O199" s="463"/>
      <c r="P199" s="59"/>
      <c r="Q199" s="59"/>
    </row>
    <row r="200" spans="1:17" ht="15.75" customHeight="1">
      <c r="A200" s="59"/>
      <c r="B200" s="60"/>
      <c r="C200" s="61"/>
      <c r="D200" s="62"/>
      <c r="E200" s="62"/>
      <c r="F200" s="63"/>
      <c r="G200" s="64"/>
      <c r="H200" s="65"/>
      <c r="I200" s="27"/>
      <c r="J200" s="26"/>
      <c r="K200" s="80"/>
      <c r="L200" s="81"/>
      <c r="M200" s="82"/>
      <c r="N200" s="83"/>
      <c r="O200" s="463"/>
      <c r="P200" s="26"/>
    </row>
    <row r="201" spans="1:17" ht="15.75" customHeight="1">
      <c r="A201" s="59"/>
      <c r="B201" s="60"/>
      <c r="C201" s="61"/>
      <c r="D201" s="62"/>
      <c r="E201" s="62"/>
      <c r="F201" s="63"/>
      <c r="G201" s="64"/>
      <c r="H201" s="65"/>
      <c r="I201" s="65"/>
      <c r="J201" s="65"/>
      <c r="K201" s="80"/>
      <c r="L201" s="81"/>
      <c r="M201" s="82"/>
      <c r="N201" s="83"/>
      <c r="O201" s="463"/>
      <c r="P201" s="26"/>
    </row>
    <row r="202" spans="1:17" ht="15.75" customHeight="1">
      <c r="A202" s="59"/>
      <c r="B202" s="60"/>
      <c r="C202" s="61"/>
      <c r="D202" s="61"/>
      <c r="E202" s="61"/>
      <c r="F202" s="63"/>
      <c r="G202" s="64"/>
      <c r="H202" s="65"/>
      <c r="I202" s="61"/>
      <c r="J202" s="61"/>
      <c r="K202" s="80"/>
      <c r="L202" s="81"/>
      <c r="M202" s="82"/>
      <c r="N202" s="83"/>
      <c r="O202" s="463"/>
      <c r="P202" s="61"/>
    </row>
    <row r="203" spans="1:17" ht="15.75" customHeight="1">
      <c r="A203" s="59"/>
      <c r="B203" s="60"/>
      <c r="C203" s="61"/>
      <c r="D203" s="62"/>
      <c r="E203" s="62"/>
      <c r="F203" s="63"/>
      <c r="G203" s="64"/>
      <c r="H203" s="65"/>
      <c r="I203" s="27"/>
      <c r="J203" s="26"/>
      <c r="K203" s="80"/>
      <c r="L203" s="81"/>
      <c r="M203" s="82"/>
      <c r="N203" s="83"/>
      <c r="O203" s="463"/>
      <c r="P203" s="26"/>
    </row>
    <row r="204" spans="1:17" ht="15.75" customHeight="1">
      <c r="A204" s="59"/>
      <c r="B204" s="60"/>
      <c r="C204" s="61"/>
      <c r="D204" s="62"/>
      <c r="E204" s="62"/>
      <c r="F204" s="63"/>
      <c r="G204" s="64"/>
      <c r="H204" s="65"/>
      <c r="I204" s="65"/>
      <c r="J204" s="65"/>
      <c r="K204" s="80"/>
      <c r="L204" s="81"/>
      <c r="M204" s="82"/>
      <c r="N204" s="83"/>
      <c r="O204" s="463"/>
      <c r="P204" s="26"/>
    </row>
    <row r="205" spans="1:17" ht="15.75" customHeight="1">
      <c r="A205" s="59"/>
      <c r="B205" s="60"/>
      <c r="C205" s="61"/>
      <c r="D205" s="62"/>
      <c r="E205" s="62"/>
      <c r="F205" s="63"/>
      <c r="G205" s="64"/>
      <c r="H205" s="65"/>
      <c r="I205" s="65"/>
      <c r="J205" s="65"/>
      <c r="K205" s="80"/>
      <c r="L205" s="81"/>
      <c r="M205" s="82"/>
      <c r="N205" s="83"/>
      <c r="O205" s="463"/>
      <c r="P205" s="26"/>
    </row>
    <row r="206" spans="1:17" ht="15.75" customHeight="1">
      <c r="A206" s="59"/>
      <c r="B206" s="60"/>
      <c r="C206" s="61"/>
      <c r="D206" s="62"/>
      <c r="E206" s="62"/>
      <c r="F206" s="63"/>
      <c r="G206" s="64"/>
      <c r="H206" s="65"/>
      <c r="I206" s="65"/>
      <c r="J206" s="65"/>
      <c r="K206" s="80"/>
      <c r="L206" s="81"/>
      <c r="M206" s="82"/>
      <c r="N206" s="83"/>
      <c r="O206" s="463"/>
      <c r="P206" s="26"/>
    </row>
    <row r="207" spans="1:17" ht="15.75" customHeight="1">
      <c r="A207" s="59"/>
      <c r="B207" s="60"/>
      <c r="C207" s="61"/>
      <c r="D207" s="62"/>
      <c r="E207" s="62"/>
      <c r="F207" s="63"/>
      <c r="G207" s="64"/>
      <c r="H207" s="65"/>
      <c r="I207" s="65"/>
      <c r="J207" s="65"/>
      <c r="K207" s="80"/>
      <c r="L207" s="81"/>
      <c r="M207" s="82"/>
      <c r="N207" s="83"/>
      <c r="O207" s="463"/>
      <c r="P207" s="26"/>
    </row>
    <row r="208" spans="1:17" ht="15.75" customHeight="1">
      <c r="A208" s="59"/>
      <c r="B208" s="60"/>
      <c r="C208" s="61"/>
      <c r="D208" s="62"/>
      <c r="E208" s="62"/>
      <c r="F208" s="63"/>
      <c r="G208" s="64"/>
      <c r="H208" s="65"/>
      <c r="I208" s="65"/>
      <c r="J208" s="65"/>
      <c r="K208" s="80"/>
      <c r="L208" s="81"/>
      <c r="M208" s="82"/>
      <c r="N208" s="83"/>
      <c r="O208" s="463"/>
      <c r="P208" s="26"/>
    </row>
    <row r="209" spans="1:18" ht="15.75" customHeight="1">
      <c r="A209" s="1159"/>
      <c r="B209" s="1160"/>
      <c r="C209" s="1160"/>
      <c r="D209" s="1160"/>
      <c r="E209" s="1160"/>
      <c r="F209" s="1160"/>
      <c r="G209" s="1160"/>
      <c r="H209" s="1160"/>
      <c r="I209" s="1160"/>
      <c r="J209" s="1160"/>
      <c r="K209" s="1160"/>
      <c r="L209" s="1160"/>
      <c r="M209" s="1160"/>
      <c r="N209" s="1160"/>
      <c r="O209" s="1160"/>
      <c r="P209" s="1161"/>
    </row>
    <row r="210" spans="1:18" ht="15.75" customHeight="1">
      <c r="A210" s="59"/>
      <c r="B210" s="60"/>
      <c r="C210" s="61"/>
      <c r="D210" s="62"/>
      <c r="E210" s="62"/>
      <c r="F210" s="63"/>
      <c r="G210" s="64"/>
      <c r="H210" s="65"/>
      <c r="I210" s="65"/>
      <c r="J210" s="65"/>
      <c r="K210" s="80"/>
      <c r="L210" s="81"/>
      <c r="M210" s="82"/>
      <c r="N210" s="83"/>
      <c r="O210" s="463"/>
      <c r="P210" s="26"/>
    </row>
    <row r="211" spans="1:18" ht="15.75" customHeight="1">
      <c r="A211" s="59"/>
      <c r="B211" s="60"/>
      <c r="C211" s="61"/>
      <c r="D211" s="62"/>
      <c r="E211" s="62"/>
      <c r="F211" s="63"/>
      <c r="G211" s="64"/>
      <c r="H211" s="65"/>
      <c r="I211" s="65"/>
      <c r="J211" s="65"/>
      <c r="K211" s="80"/>
      <c r="L211" s="81"/>
      <c r="M211" s="82"/>
      <c r="N211" s="83"/>
      <c r="O211" s="463"/>
      <c r="P211" s="26"/>
    </row>
    <row r="212" spans="1:18" ht="15.75" customHeight="1">
      <c r="A212" s="59"/>
      <c r="B212" s="60"/>
      <c r="C212" s="61"/>
      <c r="D212" s="62"/>
      <c r="E212" s="62"/>
      <c r="F212" s="63"/>
      <c r="G212" s="64"/>
      <c r="H212" s="65"/>
      <c r="I212" s="65"/>
      <c r="J212" s="65"/>
      <c r="K212" s="80"/>
      <c r="L212" s="81"/>
      <c r="M212" s="82"/>
      <c r="N212" s="83"/>
      <c r="O212" s="463"/>
      <c r="P212" s="26"/>
    </row>
    <row r="213" spans="1:18" ht="15.75" customHeight="1">
      <c r="A213" s="59"/>
      <c r="B213" s="60"/>
      <c r="C213" s="61"/>
      <c r="D213" s="62"/>
      <c r="E213" s="62"/>
      <c r="F213" s="63"/>
      <c r="G213" s="64"/>
      <c r="H213" s="65"/>
      <c r="I213" s="65"/>
      <c r="J213" s="65"/>
      <c r="K213" s="80"/>
      <c r="L213" s="81"/>
      <c r="M213" s="82"/>
      <c r="N213" s="83"/>
      <c r="O213" s="463"/>
      <c r="P213" s="26"/>
    </row>
    <row r="214" spans="1:18" ht="15.75" customHeight="1">
      <c r="A214" s="59"/>
      <c r="B214" s="60"/>
      <c r="C214" s="61"/>
      <c r="D214" s="62"/>
      <c r="E214" s="62"/>
      <c r="F214" s="63"/>
      <c r="G214" s="64"/>
      <c r="H214" s="65"/>
      <c r="I214" s="65"/>
      <c r="J214" s="65"/>
      <c r="K214" s="80"/>
      <c r="L214" s="81"/>
      <c r="M214" s="82"/>
      <c r="N214" s="83"/>
      <c r="O214" s="463"/>
      <c r="P214" s="26"/>
    </row>
    <row r="215" spans="1:18" ht="15.75" customHeight="1">
      <c r="A215" s="59"/>
      <c r="B215" s="60"/>
      <c r="C215" s="61"/>
      <c r="D215" s="62"/>
      <c r="E215" s="62"/>
      <c r="F215" s="63"/>
      <c r="G215" s="64"/>
      <c r="H215" s="65"/>
      <c r="I215" s="65"/>
      <c r="J215" s="65"/>
      <c r="K215" s="80"/>
      <c r="L215" s="81"/>
      <c r="M215" s="82"/>
      <c r="N215" s="83"/>
      <c r="O215" s="463"/>
      <c r="P215" s="26"/>
    </row>
    <row r="216" spans="1:18" ht="15.75" customHeight="1">
      <c r="A216" s="59"/>
      <c r="B216" s="60"/>
      <c r="C216" s="61"/>
      <c r="D216" s="62"/>
      <c r="E216" s="62"/>
      <c r="F216" s="63"/>
      <c r="G216" s="64"/>
      <c r="H216" s="65"/>
      <c r="I216" s="65"/>
      <c r="J216" s="65"/>
      <c r="K216" s="80"/>
      <c r="L216" s="81"/>
      <c r="M216" s="82"/>
      <c r="N216" s="83"/>
      <c r="O216" s="463"/>
      <c r="P216" s="27"/>
    </row>
    <row r="217" spans="1:18" ht="15.75" customHeight="1">
      <c r="A217" s="59"/>
      <c r="B217" s="60"/>
      <c r="C217" s="61"/>
      <c r="D217" s="62"/>
      <c r="E217" s="62"/>
      <c r="F217" s="63"/>
      <c r="G217" s="64"/>
      <c r="H217" s="65"/>
      <c r="I217" s="65"/>
      <c r="J217" s="65"/>
      <c r="K217" s="80"/>
      <c r="L217" s="81"/>
      <c r="M217" s="82"/>
      <c r="N217" s="83"/>
      <c r="O217" s="463"/>
      <c r="P217" s="27"/>
    </row>
    <row r="218" spans="1:18" ht="15.75" customHeight="1">
      <c r="A218" s="59"/>
      <c r="B218" s="60"/>
      <c r="C218" s="61"/>
      <c r="D218" s="62"/>
      <c r="E218" s="62"/>
      <c r="F218" s="63"/>
      <c r="G218" s="64"/>
      <c r="H218" s="65"/>
      <c r="I218" s="65"/>
      <c r="J218" s="65"/>
      <c r="K218" s="80"/>
      <c r="L218" s="81"/>
      <c r="M218" s="82"/>
      <c r="N218" s="83"/>
      <c r="O218" s="463"/>
      <c r="P218" s="27"/>
    </row>
    <row r="219" spans="1:18" ht="15.75" customHeight="1">
      <c r="A219" s="59"/>
      <c r="B219" s="60"/>
      <c r="C219" s="61"/>
      <c r="D219" s="62"/>
      <c r="E219" s="62"/>
      <c r="F219" s="63"/>
      <c r="G219" s="64"/>
      <c r="H219" s="65"/>
      <c r="I219" s="65"/>
      <c r="J219" s="65"/>
      <c r="K219" s="80"/>
      <c r="L219" s="81"/>
      <c r="M219" s="82"/>
      <c r="N219" s="83"/>
      <c r="O219" s="463"/>
      <c r="P219" s="27"/>
    </row>
    <row r="220" spans="1:18" ht="15.75" customHeight="1">
      <c r="A220" s="59"/>
      <c r="B220" s="60"/>
      <c r="C220" s="61"/>
      <c r="D220" s="62"/>
      <c r="E220" s="62"/>
      <c r="F220" s="63"/>
      <c r="G220" s="64"/>
      <c r="H220" s="65"/>
      <c r="I220" s="65"/>
      <c r="J220" s="65"/>
      <c r="K220" s="80"/>
      <c r="L220" s="81"/>
      <c r="M220" s="82"/>
      <c r="N220" s="83"/>
      <c r="O220" s="463"/>
      <c r="P220" s="27"/>
    </row>
    <row r="221" spans="1:18" ht="15.75" customHeight="1">
      <c r="A221" s="59"/>
      <c r="B221" s="60"/>
      <c r="C221" s="61"/>
      <c r="D221" s="61"/>
      <c r="E221" s="61"/>
      <c r="F221" s="63"/>
      <c r="G221" s="64"/>
      <c r="H221" s="65"/>
      <c r="I221" s="61"/>
      <c r="J221" s="61"/>
      <c r="K221" s="80"/>
      <c r="L221" s="81"/>
      <c r="M221" s="82"/>
      <c r="N221" s="83"/>
      <c r="O221" s="463"/>
      <c r="P221" s="61"/>
      <c r="Q221" s="61"/>
      <c r="R221" s="61"/>
    </row>
    <row r="222" spans="1:18" ht="15.75" customHeight="1">
      <c r="A222" s="59"/>
      <c r="B222" s="60"/>
      <c r="C222" s="61"/>
      <c r="D222" s="62"/>
      <c r="E222" s="62"/>
      <c r="F222" s="63"/>
      <c r="G222" s="64"/>
      <c r="H222" s="65"/>
      <c r="I222" s="27"/>
      <c r="J222" s="26"/>
      <c r="K222" s="80"/>
      <c r="L222" s="81"/>
      <c r="M222" s="82"/>
      <c r="N222" s="83"/>
      <c r="O222" s="463"/>
      <c r="P222" s="26"/>
    </row>
    <row r="223" spans="1:18" ht="15.75" customHeight="1">
      <c r="A223" s="59"/>
      <c r="B223" s="60"/>
      <c r="C223" s="61"/>
      <c r="D223" s="62"/>
      <c r="E223" s="62"/>
      <c r="F223" s="63"/>
      <c r="G223" s="64"/>
      <c r="H223" s="65"/>
      <c r="I223" s="27"/>
      <c r="J223" s="26"/>
      <c r="K223" s="80"/>
      <c r="L223" s="81"/>
      <c r="M223" s="82"/>
      <c r="N223" s="83"/>
      <c r="O223" s="463"/>
      <c r="P223" s="26"/>
    </row>
    <row r="224" spans="1:18" ht="15.75" customHeight="1">
      <c r="A224" s="59"/>
      <c r="B224" s="60"/>
      <c r="C224" s="61"/>
      <c r="D224" s="62"/>
      <c r="E224" s="62"/>
      <c r="F224" s="63"/>
      <c r="G224" s="64"/>
      <c r="H224" s="65"/>
      <c r="I224" s="27"/>
      <c r="J224" s="26"/>
      <c r="K224" s="80"/>
      <c r="L224" s="81"/>
      <c r="M224" s="82"/>
      <c r="N224" s="83"/>
      <c r="O224" s="463"/>
      <c r="P224" s="26"/>
    </row>
    <row r="225" spans="1:18" ht="15.75" customHeight="1">
      <c r="A225" s="59"/>
      <c r="B225" s="60"/>
      <c r="C225" s="61"/>
      <c r="D225" s="62"/>
      <c r="E225" s="62"/>
      <c r="F225" s="63"/>
      <c r="G225" s="64"/>
      <c r="H225" s="65"/>
      <c r="I225" s="27"/>
      <c r="J225" s="26"/>
      <c r="K225" s="80"/>
      <c r="L225" s="81"/>
      <c r="M225" s="82"/>
      <c r="N225" s="83"/>
      <c r="O225" s="463"/>
      <c r="P225" s="26"/>
    </row>
    <row r="226" spans="1:18" ht="15.75" customHeight="1">
      <c r="A226" s="59"/>
      <c r="B226" s="60"/>
      <c r="C226" s="61"/>
      <c r="D226" s="62"/>
      <c r="E226" s="62"/>
      <c r="F226" s="63"/>
      <c r="G226" s="64"/>
      <c r="H226" s="65"/>
      <c r="I226" s="27"/>
      <c r="J226" s="26"/>
      <c r="K226" s="80"/>
      <c r="L226" s="81"/>
      <c r="M226" s="82"/>
      <c r="N226" s="83"/>
      <c r="O226" s="463"/>
      <c r="P226" s="26"/>
    </row>
    <row r="227" spans="1:18" ht="15.75" customHeight="1">
      <c r="A227" s="59"/>
      <c r="B227" s="60"/>
      <c r="C227" s="61"/>
      <c r="D227" s="62"/>
      <c r="E227" s="62"/>
      <c r="F227" s="63"/>
      <c r="G227" s="64"/>
      <c r="H227" s="65"/>
      <c r="I227" s="27"/>
      <c r="J227" s="26"/>
      <c r="K227" s="80"/>
      <c r="L227" s="81"/>
      <c r="M227" s="82"/>
      <c r="N227" s="83"/>
      <c r="O227" s="463"/>
      <c r="P227" s="26"/>
    </row>
    <row r="228" spans="1:18" ht="15.75" customHeight="1">
      <c r="A228" s="59"/>
      <c r="B228" s="60"/>
      <c r="C228" s="61"/>
      <c r="D228" s="62"/>
      <c r="E228" s="62"/>
      <c r="F228" s="63"/>
      <c r="G228" s="64"/>
      <c r="H228" s="65"/>
      <c r="I228" s="27"/>
      <c r="J228" s="26"/>
      <c r="K228" s="80"/>
      <c r="L228" s="81"/>
      <c r="M228" s="82"/>
      <c r="N228" s="83"/>
      <c r="O228" s="463"/>
      <c r="P228" s="26"/>
    </row>
    <row r="229" spans="1:18" ht="15.75" customHeight="1">
      <c r="A229" s="59"/>
      <c r="B229" s="60"/>
      <c r="C229" s="61"/>
      <c r="D229" s="62"/>
      <c r="E229" s="62"/>
      <c r="F229" s="63"/>
      <c r="G229" s="64"/>
      <c r="H229" s="65"/>
      <c r="I229" s="27"/>
      <c r="J229" s="26"/>
      <c r="K229" s="80"/>
      <c r="L229" s="81"/>
      <c r="M229" s="82"/>
      <c r="N229" s="83"/>
      <c r="O229" s="463"/>
      <c r="P229" s="26"/>
    </row>
    <row r="230" spans="1:18" ht="15.75" customHeight="1">
      <c r="A230" s="59"/>
      <c r="B230" s="60"/>
      <c r="C230" s="61"/>
      <c r="D230" s="62"/>
      <c r="E230" s="62"/>
      <c r="F230" s="63"/>
      <c r="G230" s="64"/>
      <c r="H230" s="65"/>
      <c r="I230" s="27"/>
      <c r="J230" s="26"/>
      <c r="K230" s="80"/>
      <c r="L230" s="81"/>
      <c r="M230" s="82"/>
      <c r="N230" s="83"/>
      <c r="O230" s="463"/>
      <c r="P230" s="26"/>
    </row>
    <row r="231" spans="1:18" ht="15.75" customHeight="1">
      <c r="A231" s="59"/>
      <c r="B231" s="60"/>
      <c r="C231" s="61"/>
      <c r="D231" s="62"/>
      <c r="E231" s="62"/>
      <c r="F231" s="63"/>
      <c r="G231" s="64"/>
      <c r="H231" s="65"/>
      <c r="I231" s="27"/>
      <c r="J231" s="26"/>
      <c r="K231" s="80"/>
      <c r="L231" s="81"/>
      <c r="M231" s="82"/>
      <c r="N231" s="83"/>
      <c r="O231" s="463"/>
      <c r="P231" s="26"/>
    </row>
    <row r="232" spans="1:18" ht="15.75" customHeight="1">
      <c r="A232" s="59"/>
      <c r="B232" s="60"/>
      <c r="C232" s="61"/>
      <c r="D232" s="62"/>
      <c r="E232" s="62"/>
      <c r="F232" s="63"/>
      <c r="G232" s="64"/>
      <c r="H232" s="65"/>
      <c r="I232" s="27"/>
      <c r="J232" s="26"/>
      <c r="K232" s="80"/>
      <c r="L232" s="81"/>
      <c r="M232" s="82"/>
      <c r="N232" s="83"/>
      <c r="O232" s="463"/>
      <c r="P232" s="26"/>
    </row>
    <row r="233" spans="1:18" ht="15.75" customHeight="1">
      <c r="A233" s="59"/>
      <c r="B233" s="60"/>
      <c r="C233" s="61"/>
      <c r="D233" s="62"/>
      <c r="E233" s="62"/>
      <c r="F233" s="63"/>
      <c r="G233" s="64"/>
      <c r="H233" s="65"/>
      <c r="I233" s="27"/>
      <c r="J233" s="26"/>
      <c r="K233" s="80"/>
      <c r="L233" s="81"/>
      <c r="M233" s="82"/>
      <c r="N233" s="83"/>
      <c r="O233" s="463"/>
      <c r="P233" s="26"/>
    </row>
    <row r="234" spans="1:18" ht="15.75" customHeight="1">
      <c r="A234" s="59"/>
      <c r="B234" s="60"/>
      <c r="C234" s="61"/>
      <c r="D234" s="62"/>
      <c r="E234" s="62"/>
      <c r="F234" s="63"/>
      <c r="G234" s="64"/>
      <c r="H234" s="65"/>
      <c r="I234" s="27"/>
      <c r="J234" s="26"/>
      <c r="K234" s="80"/>
      <c r="L234" s="81"/>
      <c r="M234" s="82"/>
      <c r="N234" s="83"/>
      <c r="O234" s="463"/>
      <c r="P234" s="26"/>
    </row>
    <row r="235" spans="1:18" ht="15.75" customHeight="1">
      <c r="A235" s="59"/>
      <c r="B235" s="60"/>
      <c r="C235" s="61"/>
      <c r="D235" s="61"/>
      <c r="E235" s="61"/>
      <c r="F235" s="63"/>
      <c r="G235" s="64"/>
      <c r="H235" s="65"/>
      <c r="I235" s="61"/>
      <c r="J235" s="61"/>
      <c r="K235" s="80"/>
      <c r="L235" s="81"/>
      <c r="M235" s="82"/>
      <c r="N235" s="83"/>
      <c r="O235" s="463"/>
      <c r="P235" s="26"/>
    </row>
    <row r="236" spans="1:18" ht="15.75" customHeight="1">
      <c r="A236" s="59"/>
      <c r="B236" s="60"/>
      <c r="C236" s="61"/>
      <c r="D236" s="62"/>
      <c r="E236" s="62"/>
      <c r="F236" s="63"/>
      <c r="G236" s="64"/>
      <c r="H236" s="65"/>
      <c r="I236" s="27"/>
      <c r="J236" s="26"/>
      <c r="K236" s="80"/>
      <c r="L236" s="81"/>
      <c r="M236" s="82"/>
      <c r="N236" s="83"/>
      <c r="O236" s="463"/>
      <c r="P236" s="26"/>
    </row>
    <row r="237" spans="1:18" ht="15.75" customHeight="1">
      <c r="A237" s="59"/>
      <c r="B237" s="60"/>
      <c r="C237" s="61"/>
      <c r="D237" s="62"/>
      <c r="E237" s="62"/>
      <c r="F237" s="63"/>
      <c r="G237" s="64"/>
      <c r="H237" s="65"/>
      <c r="I237" s="27"/>
      <c r="J237" s="26"/>
      <c r="K237" s="80"/>
      <c r="L237" s="81"/>
      <c r="M237" s="82"/>
      <c r="N237" s="83"/>
      <c r="O237" s="463"/>
      <c r="P237" s="26"/>
    </row>
    <row r="238" spans="1:18" ht="15.75" customHeight="1">
      <c r="A238" s="59"/>
      <c r="B238" s="60"/>
      <c r="C238" s="61"/>
      <c r="D238" s="62"/>
      <c r="E238" s="62"/>
      <c r="F238" s="63"/>
      <c r="G238" s="64"/>
      <c r="H238" s="65"/>
      <c r="I238" s="27"/>
      <c r="J238" s="26"/>
      <c r="K238" s="80"/>
      <c r="L238" s="81"/>
      <c r="M238" s="82"/>
      <c r="N238" s="83"/>
      <c r="O238" s="463"/>
      <c r="P238" s="26"/>
    </row>
    <row r="239" spans="1:18" ht="15.75" customHeight="1">
      <c r="A239" s="59"/>
      <c r="B239" s="60"/>
      <c r="C239" s="61"/>
      <c r="D239" s="61"/>
      <c r="E239" s="61"/>
      <c r="F239" s="63"/>
      <c r="G239" s="64"/>
      <c r="H239" s="65"/>
      <c r="I239" s="61"/>
      <c r="J239" s="61"/>
      <c r="K239" s="80"/>
      <c r="L239" s="81"/>
      <c r="M239" s="82"/>
      <c r="N239" s="83"/>
      <c r="O239" s="463"/>
      <c r="P239" s="61"/>
      <c r="Q239" s="61"/>
      <c r="R239" s="61"/>
    </row>
    <row r="240" spans="1:18" ht="15.75" customHeight="1">
      <c r="A240" s="59"/>
      <c r="B240" s="60"/>
      <c r="C240" s="61"/>
      <c r="D240" s="62"/>
      <c r="E240" s="62"/>
      <c r="F240" s="63"/>
      <c r="G240" s="64"/>
      <c r="H240" s="65"/>
      <c r="I240" s="27"/>
      <c r="J240" s="26"/>
      <c r="K240" s="80"/>
      <c r="L240" s="81"/>
      <c r="M240" s="82"/>
      <c r="N240" s="83"/>
      <c r="O240" s="463"/>
      <c r="P240" s="26"/>
    </row>
    <row r="241" spans="1:18" ht="15.75" customHeight="1">
      <c r="A241" s="59"/>
      <c r="B241" s="60"/>
      <c r="C241" s="61"/>
      <c r="D241" s="62"/>
      <c r="E241" s="62"/>
      <c r="F241" s="63"/>
      <c r="G241" s="64"/>
      <c r="H241" s="65"/>
      <c r="I241" s="27"/>
      <c r="J241" s="26"/>
      <c r="K241" s="80"/>
      <c r="L241" s="81"/>
      <c r="M241" s="82"/>
      <c r="N241" s="83"/>
      <c r="O241" s="463"/>
      <c r="P241" s="26"/>
    </row>
    <row r="242" spans="1:18" ht="15.75" customHeight="1">
      <c r="A242" s="59"/>
      <c r="B242" s="60"/>
      <c r="C242" s="61"/>
      <c r="D242" s="62"/>
      <c r="E242" s="62"/>
      <c r="F242" s="63"/>
      <c r="G242" s="64"/>
      <c r="H242" s="65"/>
      <c r="I242" s="27"/>
      <c r="J242" s="26"/>
      <c r="K242" s="80"/>
      <c r="L242" s="81"/>
      <c r="M242" s="82"/>
      <c r="N242" s="83"/>
      <c r="O242" s="463"/>
      <c r="P242" s="26"/>
    </row>
    <row r="243" spans="1:18" ht="15.75" customHeight="1">
      <c r="A243" s="59"/>
      <c r="B243" s="60"/>
      <c r="C243" s="61"/>
      <c r="D243" s="62"/>
      <c r="E243" s="62"/>
      <c r="F243" s="63"/>
      <c r="G243" s="64"/>
      <c r="H243" s="65"/>
      <c r="I243" s="65"/>
      <c r="J243" s="65"/>
      <c r="K243" s="80"/>
      <c r="L243" s="81"/>
      <c r="M243" s="82"/>
      <c r="N243" s="83"/>
      <c r="O243" s="463"/>
      <c r="P243" s="26"/>
    </row>
    <row r="244" spans="1:18" ht="15.75" customHeight="1">
      <c r="A244" s="59"/>
      <c r="B244" s="60"/>
      <c r="C244" s="61"/>
      <c r="D244" s="62"/>
      <c r="E244" s="62"/>
      <c r="F244" s="63"/>
      <c r="G244" s="64"/>
      <c r="H244" s="65"/>
      <c r="I244" s="65"/>
      <c r="J244" s="65"/>
      <c r="K244" s="80"/>
      <c r="L244" s="81"/>
      <c r="M244" s="82"/>
      <c r="N244" s="83"/>
      <c r="O244" s="463"/>
      <c r="P244" s="26"/>
    </row>
    <row r="245" spans="1:18" ht="15.75" customHeight="1">
      <c r="A245" s="59"/>
      <c r="B245" s="60"/>
      <c r="C245" s="61"/>
      <c r="D245" s="62"/>
      <c r="E245" s="62"/>
      <c r="F245" s="63"/>
      <c r="G245" s="64"/>
      <c r="H245" s="65"/>
      <c r="I245" s="65"/>
      <c r="J245" s="65"/>
      <c r="K245" s="80"/>
      <c r="L245" s="81"/>
      <c r="M245" s="82"/>
      <c r="N245" s="83"/>
      <c r="O245" s="463"/>
      <c r="P245" s="26"/>
    </row>
    <row r="246" spans="1:18" ht="15.75" customHeight="1">
      <c r="A246" s="1159"/>
      <c r="B246" s="1160"/>
      <c r="C246" s="1160"/>
      <c r="D246" s="1160"/>
      <c r="E246" s="1160"/>
      <c r="F246" s="1160"/>
      <c r="G246" s="1160"/>
      <c r="H246" s="1160"/>
      <c r="I246" s="1160"/>
      <c r="J246" s="1160"/>
      <c r="K246" s="1160"/>
      <c r="L246" s="1160"/>
      <c r="M246" s="1160"/>
      <c r="N246" s="1160"/>
      <c r="O246" s="1160"/>
      <c r="P246" s="1161"/>
    </row>
    <row r="247" spans="1:18" ht="15.75" customHeight="1">
      <c r="A247" s="59"/>
      <c r="B247" s="60"/>
      <c r="C247" s="61"/>
      <c r="D247" s="62"/>
      <c r="E247" s="62"/>
      <c r="F247" s="63"/>
      <c r="G247" s="64"/>
      <c r="H247" s="65"/>
      <c r="I247" s="65"/>
      <c r="J247" s="65"/>
      <c r="K247" s="80"/>
      <c r="L247" s="81"/>
      <c r="M247" s="82"/>
      <c r="N247" s="83"/>
      <c r="O247" s="463"/>
      <c r="P247" s="26"/>
    </row>
    <row r="248" spans="1:18" ht="15.75" customHeight="1">
      <c r="A248" s="59"/>
      <c r="B248" s="60"/>
      <c r="C248" s="61"/>
      <c r="D248" s="62"/>
      <c r="E248" s="62"/>
      <c r="F248" s="63"/>
      <c r="G248" s="64"/>
      <c r="H248" s="65"/>
      <c r="I248" s="65"/>
      <c r="J248" s="65"/>
      <c r="K248" s="80"/>
      <c r="L248" s="81"/>
      <c r="M248" s="82"/>
      <c r="N248" s="83"/>
      <c r="O248" s="463"/>
      <c r="P248" s="26"/>
    </row>
    <row r="249" spans="1:18" ht="15.75" customHeight="1">
      <c r="A249" s="59"/>
      <c r="B249" s="60"/>
      <c r="C249" s="61"/>
      <c r="D249" s="62"/>
      <c r="E249" s="62"/>
      <c r="F249" s="63"/>
      <c r="G249" s="64"/>
      <c r="H249" s="65"/>
      <c r="I249" s="65"/>
      <c r="J249" s="65"/>
      <c r="K249" s="80"/>
      <c r="L249" s="81"/>
      <c r="M249" s="82"/>
      <c r="N249" s="83"/>
      <c r="O249" s="463"/>
      <c r="P249" s="26"/>
    </row>
    <row r="250" spans="1:18" ht="15.75" customHeight="1">
      <c r="A250" s="59"/>
      <c r="B250" s="60"/>
      <c r="C250" s="61"/>
      <c r="D250" s="62"/>
      <c r="E250" s="62"/>
      <c r="F250" s="63"/>
      <c r="G250" s="64"/>
      <c r="H250" s="65"/>
      <c r="I250" s="65"/>
      <c r="J250" s="65"/>
      <c r="K250" s="80"/>
      <c r="L250" s="81"/>
      <c r="M250" s="82"/>
      <c r="N250" s="83"/>
      <c r="O250" s="463"/>
      <c r="P250" s="26"/>
    </row>
    <row r="251" spans="1:18" ht="15.75" customHeight="1">
      <c r="A251" s="59"/>
      <c r="B251" s="60"/>
      <c r="C251" s="61"/>
      <c r="D251" s="62"/>
      <c r="E251" s="62"/>
      <c r="F251" s="63"/>
      <c r="G251" s="64"/>
      <c r="H251" s="65"/>
      <c r="I251" s="65"/>
      <c r="J251" s="65"/>
      <c r="K251" s="80"/>
      <c r="L251" s="81"/>
      <c r="M251" s="82"/>
      <c r="N251" s="83"/>
      <c r="O251" s="463"/>
      <c r="P251" s="26"/>
    </row>
    <row r="252" spans="1:18" ht="15.75" customHeight="1">
      <c r="A252" s="1159"/>
      <c r="B252" s="1160"/>
      <c r="C252" s="1160"/>
      <c r="D252" s="1160"/>
      <c r="E252" s="1160"/>
      <c r="F252" s="1160"/>
      <c r="G252" s="1160"/>
      <c r="H252" s="1160"/>
      <c r="I252" s="1160"/>
      <c r="J252" s="1160"/>
      <c r="K252" s="1160"/>
      <c r="L252" s="1160"/>
      <c r="M252" s="1160"/>
      <c r="N252" s="1160"/>
      <c r="O252" s="1160"/>
      <c r="P252" s="1161"/>
      <c r="Q252" s="61"/>
      <c r="R252" s="61"/>
    </row>
    <row r="253" spans="1:18" ht="15.75" customHeight="1">
      <c r="A253" s="59"/>
      <c r="B253" s="60"/>
      <c r="C253" s="61"/>
      <c r="D253" s="62"/>
      <c r="E253" s="62"/>
      <c r="F253" s="63"/>
      <c r="G253" s="64"/>
      <c r="H253" s="65"/>
      <c r="I253" s="27"/>
      <c r="J253" s="26"/>
      <c r="K253" s="80"/>
      <c r="L253" s="81"/>
      <c r="M253" s="82"/>
      <c r="N253" s="83"/>
      <c r="O253" s="463"/>
      <c r="P253" s="26"/>
    </row>
    <row r="254" spans="1:18" ht="15.75" customHeight="1">
      <c r="A254" s="59"/>
      <c r="B254" s="60"/>
      <c r="C254" s="61"/>
      <c r="D254" s="62"/>
      <c r="E254" s="62"/>
      <c r="F254" s="63"/>
      <c r="G254" s="64"/>
      <c r="H254" s="65"/>
      <c r="I254" s="65"/>
      <c r="J254" s="65"/>
      <c r="K254" s="80"/>
      <c r="L254" s="81"/>
      <c r="M254" s="82"/>
      <c r="N254" s="83"/>
      <c r="O254" s="463"/>
      <c r="P254" s="26"/>
    </row>
    <row r="255" spans="1:18" ht="15.75" customHeight="1">
      <c r="A255" s="59"/>
      <c r="B255" s="60"/>
      <c r="C255" s="61"/>
      <c r="D255" s="62"/>
      <c r="E255" s="62"/>
      <c r="F255" s="63"/>
      <c r="G255" s="64"/>
      <c r="H255" s="65"/>
      <c r="I255" s="65"/>
      <c r="J255" s="65"/>
      <c r="K255" s="80"/>
      <c r="L255" s="81"/>
      <c r="M255" s="82"/>
      <c r="N255" s="83"/>
      <c r="O255" s="463"/>
      <c r="P255" s="26"/>
    </row>
    <row r="256" spans="1:18" ht="15.75" customHeight="1">
      <c r="A256" s="59"/>
      <c r="B256" s="60"/>
      <c r="C256" s="61"/>
      <c r="D256" s="61"/>
      <c r="E256" s="61"/>
      <c r="F256" s="63"/>
      <c r="G256" s="64"/>
      <c r="H256" s="65"/>
      <c r="I256" s="61"/>
      <c r="J256" s="61"/>
      <c r="K256" s="80"/>
      <c r="L256" s="81"/>
      <c r="M256" s="82"/>
      <c r="N256" s="83"/>
      <c r="O256" s="463"/>
      <c r="P256" s="61"/>
    </row>
    <row r="257" spans="1:16" ht="15.75" customHeight="1">
      <c r="A257" s="59"/>
      <c r="B257" s="60"/>
      <c r="C257" s="61"/>
      <c r="D257" s="62"/>
      <c r="E257" s="62"/>
      <c r="F257" s="63"/>
      <c r="G257" s="64"/>
      <c r="H257" s="65"/>
      <c r="I257" s="27"/>
      <c r="J257" s="26"/>
      <c r="K257" s="80"/>
      <c r="L257" s="81"/>
      <c r="M257" s="82"/>
      <c r="N257" s="83"/>
      <c r="O257" s="463"/>
      <c r="P257" s="26"/>
    </row>
    <row r="258" spans="1:16" ht="15.75" customHeight="1">
      <c r="A258" s="59"/>
      <c r="B258" s="60"/>
      <c r="C258" s="61"/>
      <c r="D258" s="62"/>
      <c r="E258" s="62"/>
      <c r="F258" s="63"/>
      <c r="G258" s="64"/>
      <c r="H258" s="65"/>
      <c r="I258" s="27"/>
      <c r="J258" s="26"/>
      <c r="K258" s="80"/>
      <c r="L258" s="81"/>
      <c r="M258" s="82"/>
      <c r="N258" s="83"/>
      <c r="O258" s="463"/>
      <c r="P258" s="26"/>
    </row>
    <row r="259" spans="1:16" ht="15.75" customHeight="1">
      <c r="A259" s="59"/>
      <c r="B259" s="60"/>
      <c r="C259" s="61"/>
      <c r="D259" s="62"/>
      <c r="E259" s="62"/>
      <c r="F259" s="63"/>
      <c r="G259" s="64"/>
      <c r="H259" s="65"/>
      <c r="I259" s="27"/>
      <c r="J259" s="26"/>
      <c r="K259" s="80"/>
      <c r="L259" s="81"/>
      <c r="M259" s="82"/>
      <c r="N259" s="83"/>
      <c r="O259" s="463"/>
      <c r="P259" s="26"/>
    </row>
    <row r="260" spans="1:16" ht="15.75" customHeight="1">
      <c r="A260" s="59"/>
      <c r="B260" s="60"/>
      <c r="C260" s="61"/>
      <c r="D260" s="62"/>
      <c r="E260" s="62"/>
      <c r="F260" s="63"/>
      <c r="G260" s="64"/>
      <c r="H260" s="65"/>
      <c r="I260" s="27"/>
      <c r="J260" s="27"/>
      <c r="K260" s="80"/>
      <c r="L260" s="81"/>
      <c r="M260" s="82"/>
      <c r="N260" s="83"/>
      <c r="O260" s="463"/>
      <c r="P260" s="27"/>
    </row>
    <row r="261" spans="1:16" ht="15.75" customHeight="1">
      <c r="A261" s="59"/>
      <c r="B261" s="60"/>
      <c r="C261" s="61"/>
      <c r="D261" s="62"/>
      <c r="E261" s="62"/>
      <c r="F261" s="63"/>
      <c r="G261" s="64"/>
      <c r="H261" s="65"/>
      <c r="I261" s="27"/>
      <c r="J261" s="27"/>
      <c r="K261" s="80"/>
      <c r="L261" s="81"/>
      <c r="M261" s="82"/>
      <c r="N261" s="83"/>
      <c r="O261" s="463"/>
      <c r="P261" s="27"/>
    </row>
    <row r="262" spans="1:16" ht="15.75" customHeight="1">
      <c r="A262" s="59"/>
      <c r="B262" s="60"/>
      <c r="C262" s="61"/>
      <c r="D262" s="62"/>
      <c r="E262" s="62"/>
      <c r="F262" s="63"/>
      <c r="G262" s="64"/>
      <c r="H262" s="65"/>
      <c r="I262" s="27"/>
      <c r="J262" s="27"/>
      <c r="K262" s="80"/>
      <c r="L262" s="81"/>
      <c r="M262" s="82"/>
      <c r="N262" s="83"/>
      <c r="O262" s="463"/>
      <c r="P262" s="27"/>
    </row>
    <row r="263" spans="1:16" ht="15.75" customHeight="1">
      <c r="A263" s="59"/>
      <c r="B263" s="60"/>
      <c r="C263" s="61"/>
      <c r="D263" s="62"/>
      <c r="E263" s="62"/>
      <c r="F263" s="63"/>
      <c r="G263" s="64"/>
      <c r="H263" s="65"/>
      <c r="I263" s="27"/>
      <c r="J263" s="27"/>
      <c r="K263" s="80"/>
      <c r="L263" s="81"/>
      <c r="M263" s="82"/>
      <c r="N263" s="83"/>
      <c r="O263" s="463"/>
      <c r="P263" s="27"/>
    </row>
    <row r="264" spans="1:16" ht="15.75" customHeight="1">
      <c r="A264" s="59"/>
      <c r="B264" s="60"/>
      <c r="C264" s="61"/>
      <c r="D264" s="62"/>
      <c r="E264" s="62"/>
      <c r="F264" s="63"/>
      <c r="G264" s="64"/>
      <c r="H264" s="65"/>
      <c r="I264" s="27"/>
      <c r="J264" s="27"/>
      <c r="K264" s="80"/>
      <c r="L264" s="81"/>
      <c r="M264" s="82"/>
      <c r="N264" s="83"/>
      <c r="O264" s="463"/>
      <c r="P264" s="27"/>
    </row>
    <row r="265" spans="1:16" ht="15.75" customHeight="1">
      <c r="A265" s="59"/>
      <c r="B265" s="60"/>
      <c r="C265" s="61"/>
      <c r="D265" s="62"/>
      <c r="E265" s="62"/>
      <c r="F265" s="63"/>
      <c r="G265" s="64"/>
      <c r="H265" s="65"/>
      <c r="I265" s="27"/>
      <c r="J265" s="27"/>
      <c r="K265" s="80"/>
      <c r="L265" s="81"/>
      <c r="M265" s="82"/>
      <c r="N265" s="83"/>
      <c r="O265" s="463"/>
      <c r="P265" s="27"/>
    </row>
    <row r="266" spans="1:16" ht="15.75" customHeight="1">
      <c r="A266" s="59"/>
      <c r="B266" s="60"/>
      <c r="C266" s="61"/>
      <c r="D266" s="62"/>
      <c r="E266" s="62"/>
      <c r="F266" s="63"/>
      <c r="G266" s="64"/>
      <c r="H266" s="65"/>
      <c r="I266" s="27"/>
      <c r="J266" s="27"/>
      <c r="K266" s="80"/>
      <c r="L266" s="81"/>
      <c r="M266" s="82"/>
      <c r="N266" s="83"/>
      <c r="O266" s="463"/>
      <c r="P266" s="27"/>
    </row>
    <row r="267" spans="1:16" ht="15.75" customHeight="1">
      <c r="A267" s="59"/>
      <c r="B267" s="60"/>
      <c r="C267" s="61"/>
      <c r="D267" s="62"/>
      <c r="E267" s="62"/>
      <c r="F267" s="63"/>
      <c r="G267" s="64"/>
      <c r="H267" s="65"/>
      <c r="I267" s="27"/>
      <c r="J267" s="27"/>
      <c r="K267" s="80"/>
      <c r="L267" s="81"/>
      <c r="M267" s="82"/>
      <c r="N267" s="83"/>
      <c r="O267" s="463"/>
      <c r="P267" s="27"/>
    </row>
    <row r="268" spans="1:16" ht="15.75" customHeight="1">
      <c r="A268" s="59"/>
      <c r="B268" s="60"/>
      <c r="C268" s="61"/>
      <c r="D268" s="62"/>
      <c r="E268" s="62"/>
      <c r="F268" s="63"/>
      <c r="G268" s="64"/>
      <c r="H268" s="65"/>
      <c r="I268" s="27"/>
      <c r="J268" s="27"/>
      <c r="K268" s="80"/>
      <c r="L268" s="81"/>
      <c r="M268" s="82"/>
      <c r="N268" s="83"/>
      <c r="O268" s="463"/>
      <c r="P268" s="27"/>
    </row>
    <row r="269" spans="1:16" ht="15.75" customHeight="1">
      <c r="A269" s="59"/>
      <c r="B269" s="60"/>
      <c r="C269" s="61"/>
      <c r="D269" s="62"/>
      <c r="E269" s="62"/>
      <c r="F269" s="63"/>
      <c r="G269" s="64"/>
      <c r="H269" s="65"/>
      <c r="I269" s="27"/>
      <c r="J269" s="27"/>
      <c r="K269" s="80"/>
      <c r="L269" s="81"/>
      <c r="M269" s="82"/>
      <c r="N269" s="83"/>
      <c r="O269" s="463"/>
      <c r="P269" s="27"/>
    </row>
    <row r="270" spans="1:16" ht="15.75" customHeight="1">
      <c r="A270" s="59"/>
      <c r="B270" s="60"/>
      <c r="C270" s="61"/>
      <c r="D270" s="62"/>
      <c r="E270" s="62"/>
      <c r="F270" s="63"/>
      <c r="G270" s="64"/>
      <c r="H270" s="65"/>
      <c r="I270" s="27"/>
      <c r="J270" s="27"/>
      <c r="K270" s="80"/>
      <c r="L270" s="81"/>
      <c r="M270" s="82"/>
      <c r="N270" s="83"/>
      <c r="O270" s="463"/>
      <c r="P270" s="27"/>
    </row>
    <row r="271" spans="1:16" ht="15.75" customHeight="1">
      <c r="A271" s="59"/>
      <c r="B271" s="60"/>
      <c r="C271" s="61"/>
      <c r="D271" s="62"/>
      <c r="E271" s="62"/>
      <c r="F271" s="63"/>
      <c r="G271" s="64"/>
      <c r="H271" s="65"/>
      <c r="I271" s="27"/>
      <c r="J271" s="27"/>
      <c r="K271" s="80"/>
      <c r="L271" s="81"/>
      <c r="M271" s="82"/>
      <c r="N271" s="83"/>
      <c r="O271" s="463"/>
      <c r="P271" s="27"/>
    </row>
    <row r="272" spans="1:16" ht="15.75" customHeight="1">
      <c r="A272" s="59"/>
      <c r="B272" s="60"/>
      <c r="C272" s="61"/>
      <c r="D272" s="62"/>
      <c r="E272" s="62"/>
      <c r="F272" s="63"/>
      <c r="G272" s="64"/>
      <c r="H272" s="65"/>
      <c r="I272" s="27"/>
      <c r="J272" s="27"/>
      <c r="K272" s="80"/>
      <c r="L272" s="81"/>
      <c r="M272" s="82"/>
      <c r="N272" s="83"/>
      <c r="O272" s="463"/>
      <c r="P272" s="27"/>
    </row>
    <row r="273" spans="1:16" ht="15.75" customHeight="1">
      <c r="A273" s="59"/>
      <c r="B273" s="60"/>
      <c r="C273" s="61"/>
      <c r="D273" s="62"/>
      <c r="E273" s="62"/>
      <c r="F273" s="63"/>
      <c r="G273" s="64"/>
      <c r="H273" s="65"/>
      <c r="I273" s="27"/>
      <c r="J273" s="27"/>
      <c r="K273" s="80"/>
      <c r="L273" s="81"/>
      <c r="M273" s="82"/>
      <c r="N273" s="83"/>
      <c r="O273" s="463"/>
      <c r="P273" s="27"/>
    </row>
    <row r="274" spans="1:16" ht="15.75" customHeight="1">
      <c r="A274" s="59"/>
      <c r="B274" s="60"/>
      <c r="C274" s="61"/>
      <c r="D274" s="62"/>
      <c r="E274" s="62"/>
      <c r="F274" s="63"/>
      <c r="G274" s="64"/>
      <c r="H274" s="65"/>
      <c r="I274" s="27"/>
      <c r="J274" s="27"/>
      <c r="K274" s="80"/>
      <c r="L274" s="81"/>
      <c r="M274" s="82"/>
      <c r="N274" s="83"/>
      <c r="O274" s="463"/>
      <c r="P274" s="27"/>
    </row>
    <row r="275" spans="1:16" ht="15.75" customHeight="1">
      <c r="A275" s="59"/>
      <c r="B275" s="60"/>
      <c r="C275" s="61"/>
      <c r="D275" s="62"/>
      <c r="E275" s="62"/>
      <c r="F275" s="63"/>
      <c r="G275" s="64"/>
      <c r="H275" s="65"/>
      <c r="I275" s="27"/>
      <c r="J275" s="27"/>
      <c r="K275" s="80"/>
      <c r="L275" s="81"/>
      <c r="M275" s="82"/>
      <c r="N275" s="83"/>
      <c r="O275" s="463"/>
      <c r="P275" s="27"/>
    </row>
    <row r="276" spans="1:16" ht="15.75" customHeight="1">
      <c r="A276" s="59"/>
      <c r="B276" s="60"/>
      <c r="C276" s="61"/>
      <c r="D276" s="62"/>
      <c r="E276" s="62"/>
      <c r="F276" s="63"/>
      <c r="G276" s="64"/>
      <c r="H276" s="65"/>
      <c r="I276" s="27"/>
      <c r="J276" s="27"/>
      <c r="K276" s="80"/>
      <c r="L276" s="81"/>
      <c r="M276" s="82"/>
      <c r="N276" s="83"/>
      <c r="O276" s="463"/>
      <c r="P276" s="27"/>
    </row>
    <row r="277" spans="1:16" ht="15.75" customHeight="1">
      <c r="A277" s="59"/>
      <c r="B277" s="60"/>
      <c r="C277" s="61"/>
      <c r="D277" s="62"/>
      <c r="E277" s="62"/>
      <c r="F277" s="63"/>
      <c r="G277" s="64"/>
      <c r="H277" s="65"/>
      <c r="I277" s="27"/>
      <c r="J277" s="27"/>
      <c r="K277" s="80"/>
      <c r="L277" s="81"/>
      <c r="M277" s="82"/>
      <c r="N277" s="83"/>
      <c r="O277" s="463"/>
      <c r="P277" s="27"/>
    </row>
    <row r="278" spans="1:16" ht="15.75" customHeight="1">
      <c r="A278" s="59"/>
      <c r="B278" s="60"/>
      <c r="C278" s="61"/>
      <c r="D278" s="62"/>
      <c r="E278" s="62"/>
      <c r="F278" s="63"/>
      <c r="G278" s="64"/>
      <c r="H278" s="65"/>
      <c r="I278" s="27"/>
      <c r="J278" s="27"/>
      <c r="K278" s="80"/>
      <c r="L278" s="81"/>
      <c r="M278" s="82"/>
      <c r="N278" s="83"/>
      <c r="O278" s="463"/>
      <c r="P278" s="27"/>
    </row>
    <row r="279" spans="1:16" ht="15.75" customHeight="1">
      <c r="A279" s="59"/>
      <c r="B279" s="60"/>
      <c r="C279" s="61"/>
      <c r="D279" s="62"/>
      <c r="E279" s="62"/>
      <c r="F279" s="63"/>
      <c r="G279" s="64"/>
      <c r="H279" s="65"/>
      <c r="I279" s="27"/>
      <c r="J279" s="27"/>
      <c r="K279" s="80"/>
      <c r="L279" s="81"/>
      <c r="M279" s="82"/>
      <c r="N279" s="83"/>
      <c r="O279" s="463"/>
      <c r="P279" s="27"/>
    </row>
    <row r="280" spans="1:16" ht="15.75" customHeight="1">
      <c r="A280" s="59"/>
      <c r="B280" s="60"/>
      <c r="C280" s="61"/>
      <c r="D280" s="62"/>
      <c r="E280" s="62"/>
      <c r="F280" s="63"/>
      <c r="G280" s="64"/>
      <c r="H280" s="65"/>
      <c r="I280" s="27"/>
      <c r="J280" s="27"/>
      <c r="K280" s="80"/>
      <c r="L280" s="81"/>
      <c r="M280" s="82"/>
      <c r="N280" s="83"/>
      <c r="O280" s="463"/>
      <c r="P280" s="27"/>
    </row>
    <row r="281" spans="1:16" ht="15.75" customHeight="1">
      <c r="A281" s="59"/>
      <c r="B281" s="60"/>
      <c r="C281" s="61"/>
      <c r="D281" s="62"/>
      <c r="E281" s="62"/>
      <c r="F281" s="63"/>
      <c r="G281" s="64"/>
      <c r="H281" s="65"/>
      <c r="I281" s="27"/>
      <c r="J281" s="27"/>
      <c r="K281" s="80"/>
      <c r="L281" s="81"/>
      <c r="M281" s="82"/>
      <c r="N281" s="83"/>
      <c r="O281" s="463"/>
      <c r="P281" s="27"/>
    </row>
    <row r="282" spans="1:16" ht="15.75" customHeight="1">
      <c r="A282" s="59"/>
      <c r="B282" s="60"/>
      <c r="C282" s="61"/>
      <c r="D282" s="62"/>
      <c r="E282" s="62"/>
      <c r="F282" s="63"/>
      <c r="G282" s="64"/>
      <c r="H282" s="65"/>
      <c r="I282" s="27"/>
      <c r="J282" s="27"/>
      <c r="K282" s="80"/>
      <c r="L282" s="81"/>
      <c r="M282" s="82"/>
      <c r="N282" s="83"/>
      <c r="O282" s="463"/>
      <c r="P282" s="27"/>
    </row>
    <row r="283" spans="1:16" ht="15.75" customHeight="1">
      <c r="A283" s="59"/>
      <c r="B283" s="60"/>
      <c r="C283" s="61"/>
      <c r="D283" s="62"/>
      <c r="E283" s="62"/>
      <c r="F283" s="63"/>
      <c r="G283" s="64"/>
      <c r="H283" s="65"/>
      <c r="I283" s="27"/>
      <c r="J283" s="27"/>
      <c r="K283" s="80"/>
      <c r="L283" s="81"/>
      <c r="M283" s="82"/>
      <c r="N283" s="83"/>
      <c r="O283" s="463"/>
      <c r="P283" s="27"/>
    </row>
    <row r="284" spans="1:16" ht="15.75" customHeight="1">
      <c r="A284" s="59"/>
      <c r="B284" s="60"/>
      <c r="C284" s="61"/>
      <c r="D284" s="62"/>
      <c r="E284" s="62"/>
      <c r="F284" s="63"/>
      <c r="G284" s="64"/>
      <c r="H284" s="65"/>
      <c r="I284" s="27"/>
      <c r="J284" s="27"/>
      <c r="K284" s="80"/>
      <c r="L284" s="81"/>
      <c r="M284" s="82"/>
      <c r="N284" s="83"/>
      <c r="O284" s="463"/>
      <c r="P284" s="27"/>
    </row>
    <row r="285" spans="1:16" ht="15.75" customHeight="1">
      <c r="A285" s="59"/>
      <c r="B285" s="60"/>
      <c r="C285" s="61"/>
      <c r="D285" s="62"/>
      <c r="E285" s="62"/>
      <c r="F285" s="63"/>
      <c r="G285" s="64"/>
      <c r="H285" s="65"/>
      <c r="I285" s="27"/>
      <c r="J285" s="27"/>
      <c r="K285" s="80"/>
      <c r="L285" s="81"/>
      <c r="M285" s="82"/>
      <c r="N285" s="83"/>
      <c r="O285" s="463"/>
      <c r="P285" s="27"/>
    </row>
    <row r="286" spans="1:16" ht="15.75" customHeight="1">
      <c r="A286" s="59"/>
      <c r="B286" s="60"/>
      <c r="C286" s="61"/>
      <c r="D286" s="62"/>
      <c r="E286" s="62"/>
      <c r="F286" s="63"/>
      <c r="G286" s="64"/>
      <c r="H286" s="65"/>
      <c r="I286" s="27"/>
      <c r="J286" s="27"/>
      <c r="K286" s="80"/>
      <c r="L286" s="81"/>
      <c r="M286" s="82"/>
      <c r="N286" s="83"/>
      <c r="O286" s="463"/>
      <c r="P286" s="27"/>
    </row>
    <row r="287" spans="1:16" ht="15.75" customHeight="1">
      <c r="A287" s="59"/>
      <c r="B287" s="60"/>
      <c r="C287" s="61"/>
      <c r="D287" s="62"/>
      <c r="E287" s="62"/>
      <c r="F287" s="63"/>
      <c r="G287" s="64"/>
      <c r="H287" s="65"/>
      <c r="I287" s="27"/>
      <c r="J287" s="27"/>
      <c r="K287" s="80"/>
      <c r="L287" s="81"/>
      <c r="M287" s="82"/>
      <c r="N287" s="83"/>
      <c r="O287" s="463"/>
      <c r="P287" s="27"/>
    </row>
    <row r="288" spans="1:16" ht="15.75" customHeight="1">
      <c r="A288" s="59"/>
      <c r="B288" s="60"/>
      <c r="C288" s="61"/>
      <c r="D288" s="62"/>
      <c r="E288" s="62"/>
      <c r="F288" s="63"/>
      <c r="G288" s="64"/>
      <c r="H288" s="65"/>
      <c r="I288" s="27"/>
      <c r="J288" s="27"/>
      <c r="K288" s="80"/>
      <c r="L288" s="81"/>
      <c r="M288" s="82"/>
      <c r="N288" s="83"/>
      <c r="O288" s="463"/>
      <c r="P288" s="27"/>
    </row>
    <row r="289" spans="1:16" ht="15.75" customHeight="1">
      <c r="A289" s="59"/>
      <c r="B289" s="60"/>
      <c r="C289" s="61"/>
      <c r="D289" s="62"/>
      <c r="E289" s="62"/>
      <c r="F289" s="63"/>
      <c r="G289" s="64"/>
      <c r="H289" s="65"/>
      <c r="I289" s="27"/>
      <c r="J289" s="27"/>
      <c r="K289" s="80"/>
      <c r="L289" s="81"/>
      <c r="M289" s="82"/>
      <c r="N289" s="83"/>
      <c r="O289" s="463"/>
      <c r="P289" s="27"/>
    </row>
    <row r="290" spans="1:16" ht="15.75" customHeight="1">
      <c r="A290" s="59"/>
      <c r="B290" s="60"/>
      <c r="C290" s="61"/>
      <c r="D290" s="62"/>
      <c r="E290" s="62"/>
      <c r="F290" s="63"/>
      <c r="G290" s="64"/>
      <c r="H290" s="65"/>
      <c r="I290" s="27"/>
      <c r="J290" s="27"/>
      <c r="K290" s="80"/>
      <c r="L290" s="81"/>
      <c r="M290" s="82"/>
      <c r="N290" s="83"/>
      <c r="O290" s="463"/>
      <c r="P290" s="27"/>
    </row>
    <row r="291" spans="1:16" ht="15.75" customHeight="1">
      <c r="A291" s="59"/>
      <c r="B291" s="60"/>
      <c r="C291" s="61"/>
      <c r="D291" s="62"/>
      <c r="E291" s="62"/>
      <c r="F291" s="63"/>
      <c r="G291" s="64"/>
      <c r="H291" s="65"/>
      <c r="I291" s="27"/>
      <c r="J291" s="27"/>
      <c r="K291" s="80"/>
      <c r="L291" s="81"/>
      <c r="M291" s="82"/>
      <c r="N291" s="83"/>
      <c r="O291" s="463"/>
      <c r="P291" s="27"/>
    </row>
    <row r="292" spans="1:16" ht="15.75" customHeight="1">
      <c r="A292" s="59"/>
      <c r="B292" s="60"/>
      <c r="C292" s="61"/>
      <c r="D292" s="62"/>
      <c r="E292" s="62"/>
      <c r="F292" s="63"/>
      <c r="G292" s="64"/>
      <c r="H292" s="65"/>
      <c r="I292" s="27"/>
      <c r="J292" s="27"/>
      <c r="K292" s="80"/>
      <c r="L292" s="81"/>
      <c r="M292" s="82"/>
      <c r="N292" s="83"/>
      <c r="O292" s="463"/>
      <c r="P292" s="27"/>
    </row>
    <row r="293" spans="1:16" ht="15.75" customHeight="1">
      <c r="A293" s="59"/>
      <c r="B293" s="60"/>
      <c r="C293" s="61"/>
      <c r="D293" s="62"/>
      <c r="E293" s="62"/>
      <c r="F293" s="63"/>
      <c r="G293" s="64"/>
      <c r="H293" s="65"/>
      <c r="I293" s="27"/>
      <c r="J293" s="27"/>
      <c r="K293" s="80"/>
      <c r="L293" s="81"/>
      <c r="M293" s="82"/>
      <c r="N293" s="83"/>
      <c r="O293" s="463"/>
      <c r="P293" s="27"/>
    </row>
    <row r="294" spans="1:16" ht="15.75" customHeight="1">
      <c r="A294" s="59"/>
      <c r="B294" s="60"/>
      <c r="C294" s="61"/>
      <c r="D294" s="62"/>
      <c r="E294" s="62"/>
      <c r="F294" s="63"/>
      <c r="G294" s="64"/>
      <c r="H294" s="65"/>
      <c r="I294" s="27"/>
      <c r="J294" s="27"/>
      <c r="K294" s="80"/>
      <c r="L294" s="81"/>
      <c r="M294" s="82"/>
      <c r="N294" s="83"/>
      <c r="O294" s="463"/>
      <c r="P294" s="27"/>
    </row>
    <row r="295" spans="1:16" ht="15.75" customHeight="1">
      <c r="A295" s="59"/>
      <c r="B295" s="60"/>
      <c r="C295" s="61"/>
      <c r="D295" s="62"/>
      <c r="E295" s="61"/>
      <c r="F295" s="63"/>
      <c r="G295" s="64"/>
      <c r="H295" s="65"/>
      <c r="I295" s="61"/>
      <c r="J295" s="62"/>
      <c r="K295" s="80"/>
      <c r="L295" s="81"/>
      <c r="M295" s="82"/>
      <c r="N295" s="83"/>
      <c r="O295" s="61"/>
      <c r="P295" s="62"/>
    </row>
    <row r="296" spans="1:16" ht="15.75" customHeight="1">
      <c r="A296" s="59"/>
      <c r="B296" s="60"/>
      <c r="C296" s="61"/>
      <c r="D296" s="62"/>
      <c r="E296" s="61"/>
      <c r="F296" s="63"/>
      <c r="G296" s="64"/>
      <c r="H296" s="65"/>
      <c r="I296" s="61"/>
      <c r="J296" s="62"/>
      <c r="K296" s="80"/>
      <c r="L296" s="81"/>
      <c r="M296" s="82"/>
      <c r="N296" s="83"/>
      <c r="O296" s="603"/>
      <c r="P296" s="62"/>
    </row>
    <row r="297" spans="1:16" ht="15.75" customHeight="1">
      <c r="A297" s="59"/>
      <c r="B297" s="60"/>
      <c r="C297" s="61"/>
      <c r="D297" s="62"/>
      <c r="E297" s="61"/>
      <c r="F297" s="63"/>
      <c r="G297" s="64"/>
      <c r="H297" s="65"/>
      <c r="I297" s="61"/>
      <c r="J297" s="62"/>
      <c r="K297" s="80"/>
      <c r="L297" s="81"/>
      <c r="M297" s="82"/>
      <c r="N297" s="83"/>
      <c r="O297" s="61"/>
      <c r="P297" s="62"/>
    </row>
    <row r="298" spans="1:16" ht="15.75" customHeight="1">
      <c r="A298" s="59"/>
      <c r="B298" s="60"/>
      <c r="C298" s="61"/>
      <c r="D298" s="62"/>
      <c r="E298" s="61"/>
      <c r="F298" s="63"/>
      <c r="G298" s="64"/>
      <c r="H298" s="65"/>
      <c r="I298" s="61"/>
      <c r="J298" s="62"/>
      <c r="K298" s="80"/>
      <c r="L298" s="81"/>
      <c r="M298" s="82"/>
      <c r="N298" s="83"/>
      <c r="O298" s="61"/>
      <c r="P298" s="62"/>
    </row>
    <row r="299" spans="1:16" ht="15.75" customHeight="1">
      <c r="A299" s="1159"/>
      <c r="B299" s="1160"/>
      <c r="C299" s="1160"/>
      <c r="D299" s="1160"/>
      <c r="E299" s="1160"/>
      <c r="F299" s="1160"/>
      <c r="G299" s="1160"/>
      <c r="H299" s="1160"/>
      <c r="I299" s="1160"/>
      <c r="J299" s="1160"/>
      <c r="K299" s="1160"/>
      <c r="L299" s="1160"/>
      <c r="M299" s="1160"/>
      <c r="N299" s="1160"/>
      <c r="O299" s="1160"/>
      <c r="P299" s="1161"/>
    </row>
    <row r="300" spans="1:16" ht="15.75" customHeight="1">
      <c r="A300" s="59"/>
      <c r="B300" s="60"/>
      <c r="C300" s="61"/>
      <c r="D300" s="62"/>
      <c r="E300" s="61"/>
      <c r="F300" s="63"/>
      <c r="G300" s="64"/>
      <c r="H300" s="65"/>
      <c r="I300" s="61"/>
      <c r="J300" s="62"/>
      <c r="K300" s="80"/>
      <c r="L300" s="81"/>
      <c r="M300" s="82"/>
      <c r="N300" s="83"/>
      <c r="O300" s="61"/>
      <c r="P300" s="62"/>
    </row>
    <row r="301" spans="1:16" ht="15.75" customHeight="1">
      <c r="A301" s="59"/>
      <c r="B301" s="60"/>
      <c r="C301" s="61"/>
      <c r="D301" s="62"/>
      <c r="E301" s="61"/>
      <c r="F301" s="63"/>
      <c r="G301" s="64"/>
      <c r="H301" s="65"/>
      <c r="I301" s="61"/>
      <c r="J301" s="62"/>
      <c r="K301" s="80"/>
      <c r="L301" s="81"/>
      <c r="M301" s="82"/>
      <c r="N301" s="83"/>
      <c r="O301" s="61"/>
      <c r="P301" s="62"/>
    </row>
    <row r="302" spans="1:16" ht="15.75" customHeight="1">
      <c r="A302" s="59"/>
      <c r="B302" s="60"/>
      <c r="C302" s="61"/>
      <c r="D302" s="62"/>
      <c r="E302" s="61"/>
      <c r="F302" s="63"/>
      <c r="G302" s="64"/>
      <c r="H302" s="65"/>
      <c r="I302" s="61"/>
      <c r="J302" s="62"/>
      <c r="K302" s="80"/>
      <c r="L302" s="81"/>
      <c r="M302" s="82"/>
      <c r="N302" s="83"/>
      <c r="O302" s="61"/>
      <c r="P302" s="62"/>
    </row>
    <row r="303" spans="1:16" ht="15.75" customHeight="1">
      <c r="A303" s="59"/>
      <c r="B303" s="60"/>
      <c r="C303" s="61"/>
      <c r="D303" s="62"/>
      <c r="E303" s="61"/>
      <c r="F303" s="63"/>
      <c r="G303" s="64"/>
      <c r="H303" s="65"/>
      <c r="I303" s="61"/>
      <c r="J303" s="62"/>
      <c r="K303" s="80"/>
      <c r="L303" s="81"/>
      <c r="M303" s="82"/>
      <c r="N303" s="83"/>
      <c r="O303" s="61"/>
      <c r="P303" s="62"/>
    </row>
    <row r="304" spans="1:16" ht="15.75" customHeight="1">
      <c r="A304" s="59"/>
      <c r="B304" s="60"/>
      <c r="C304" s="61"/>
      <c r="D304" s="62"/>
      <c r="E304" s="61"/>
      <c r="F304" s="63"/>
      <c r="G304" s="64"/>
      <c r="H304" s="65"/>
      <c r="I304" s="61"/>
      <c r="J304" s="62"/>
      <c r="K304" s="80"/>
      <c r="L304" s="81"/>
      <c r="M304" s="82"/>
      <c r="N304" s="83"/>
      <c r="O304" s="61"/>
      <c r="P304" s="62"/>
    </row>
    <row r="305" spans="1:16" ht="15.75" customHeight="1">
      <c r="A305" s="59"/>
      <c r="B305" s="60"/>
      <c r="C305" s="61"/>
      <c r="D305" s="62"/>
      <c r="E305" s="61"/>
      <c r="F305" s="63"/>
      <c r="G305" s="64"/>
      <c r="H305" s="65"/>
      <c r="I305" s="61"/>
      <c r="J305" s="62"/>
      <c r="K305" s="80"/>
      <c r="L305" s="81"/>
      <c r="M305" s="82"/>
      <c r="N305" s="83"/>
      <c r="O305" s="61"/>
      <c r="P305" s="62"/>
    </row>
    <row r="306" spans="1:16" ht="15.75" customHeight="1">
      <c r="A306" s="59"/>
      <c r="B306" s="60"/>
      <c r="C306" s="61"/>
      <c r="D306" s="62"/>
      <c r="E306" s="61"/>
      <c r="F306" s="63"/>
      <c r="G306" s="64"/>
      <c r="H306" s="65"/>
      <c r="I306" s="61"/>
      <c r="J306" s="62"/>
      <c r="K306" s="80"/>
      <c r="L306" s="81"/>
      <c r="M306" s="82"/>
      <c r="N306" s="83"/>
      <c r="O306" s="61"/>
      <c r="P306" s="62"/>
    </row>
    <row r="307" spans="1:16" ht="15.75" customHeight="1">
      <c r="A307" s="59"/>
      <c r="B307" s="60"/>
      <c r="C307" s="61"/>
      <c r="D307" s="62"/>
      <c r="E307" s="61"/>
      <c r="F307" s="63"/>
      <c r="G307" s="64"/>
      <c r="H307" s="65"/>
      <c r="I307" s="61"/>
      <c r="J307" s="62"/>
      <c r="K307" s="80"/>
      <c r="L307" s="81"/>
      <c r="M307" s="82"/>
      <c r="N307" s="83"/>
      <c r="O307" s="61"/>
      <c r="P307" s="62"/>
    </row>
    <row r="308" spans="1:16" ht="15.75" customHeight="1">
      <c r="A308" s="59"/>
      <c r="B308" s="60"/>
      <c r="C308" s="61"/>
      <c r="D308" s="62"/>
      <c r="E308" s="61"/>
      <c r="F308" s="63"/>
      <c r="G308" s="64"/>
      <c r="H308" s="65"/>
      <c r="I308" s="61"/>
      <c r="J308" s="62"/>
      <c r="K308" s="80"/>
      <c r="L308" s="81"/>
      <c r="M308" s="82"/>
      <c r="N308" s="83"/>
      <c r="O308" s="61"/>
      <c r="P308" s="62"/>
    </row>
    <row r="309" spans="1:16" ht="15.75" customHeight="1">
      <c r="A309" s="59"/>
      <c r="B309" s="60"/>
      <c r="C309" s="61"/>
      <c r="D309" s="62"/>
      <c r="E309" s="61"/>
      <c r="F309" s="63"/>
      <c r="G309" s="64"/>
      <c r="H309" s="65"/>
      <c r="I309" s="61"/>
      <c r="J309" s="62"/>
      <c r="K309" s="80"/>
      <c r="L309" s="81"/>
      <c r="M309" s="82"/>
      <c r="N309" s="83"/>
      <c r="O309" s="61"/>
      <c r="P309" s="62"/>
    </row>
    <row r="310" spans="1:16" ht="15.75" customHeight="1">
      <c r="A310" s="59"/>
      <c r="B310" s="60"/>
      <c r="C310" s="61"/>
      <c r="D310" s="62"/>
      <c r="E310" s="61"/>
      <c r="F310" s="63"/>
      <c r="G310" s="64"/>
      <c r="H310" s="65"/>
      <c r="I310" s="61"/>
      <c r="J310" s="62"/>
      <c r="K310" s="80"/>
      <c r="L310" s="81"/>
      <c r="M310" s="82"/>
      <c r="N310" s="83"/>
      <c r="O310" s="61"/>
      <c r="P310" s="62"/>
    </row>
    <row r="311" spans="1:16" ht="15.75" customHeight="1">
      <c r="A311" s="59"/>
      <c r="B311" s="60"/>
      <c r="C311" s="61"/>
      <c r="D311" s="62"/>
      <c r="E311" s="61"/>
      <c r="F311" s="63"/>
      <c r="G311" s="64"/>
      <c r="H311" s="65"/>
      <c r="I311" s="61"/>
      <c r="J311" s="62"/>
      <c r="K311" s="80"/>
      <c r="L311" s="81"/>
      <c r="M311" s="82"/>
      <c r="N311" s="83"/>
      <c r="O311" s="61"/>
      <c r="P311" s="62"/>
    </row>
    <row r="312" spans="1:16" ht="15.75" customHeight="1">
      <c r="A312" s="59"/>
      <c r="B312" s="60"/>
      <c r="C312" s="61"/>
      <c r="D312" s="62"/>
      <c r="E312" s="61"/>
      <c r="F312" s="63"/>
      <c r="G312" s="64"/>
      <c r="H312" s="65"/>
      <c r="I312" s="61"/>
      <c r="J312" s="62"/>
      <c r="K312" s="80"/>
      <c r="L312" s="81"/>
      <c r="M312" s="82"/>
      <c r="N312" s="83"/>
      <c r="O312" s="61"/>
      <c r="P312" s="62"/>
    </row>
    <row r="313" spans="1:16" ht="15.75" customHeight="1">
      <c r="A313" s="59"/>
      <c r="B313" s="60"/>
      <c r="C313" s="61"/>
      <c r="D313" s="62"/>
      <c r="E313" s="61"/>
      <c r="F313" s="63"/>
      <c r="G313" s="64"/>
      <c r="H313" s="65"/>
      <c r="I313" s="61"/>
      <c r="J313" s="62"/>
      <c r="K313" s="80"/>
      <c r="L313" s="81"/>
      <c r="M313" s="82"/>
      <c r="N313" s="83"/>
      <c r="O313" s="61"/>
      <c r="P313" s="62"/>
    </row>
    <row r="314" spans="1:16" ht="15.75" customHeight="1">
      <c r="A314" s="59"/>
      <c r="B314" s="60"/>
      <c r="C314" s="61"/>
      <c r="D314" s="62"/>
      <c r="E314" s="61"/>
      <c r="F314" s="63"/>
      <c r="G314" s="64"/>
      <c r="H314" s="65"/>
      <c r="I314" s="61"/>
      <c r="J314" s="62"/>
      <c r="K314" s="80"/>
      <c r="L314" s="81"/>
      <c r="M314" s="82"/>
      <c r="N314" s="83"/>
      <c r="O314" s="61"/>
      <c r="P314" s="62"/>
    </row>
    <row r="315" spans="1:16" ht="15.75" customHeight="1">
      <c r="A315" s="59"/>
      <c r="B315" s="60"/>
      <c r="C315" s="61"/>
      <c r="D315" s="62"/>
      <c r="E315" s="61"/>
      <c r="F315" s="63"/>
      <c r="G315" s="64"/>
      <c r="H315" s="65"/>
      <c r="I315" s="61"/>
      <c r="J315" s="62"/>
      <c r="K315" s="80"/>
      <c r="L315" s="81"/>
      <c r="M315" s="82"/>
      <c r="N315" s="83"/>
      <c r="O315" s="61"/>
      <c r="P315" s="62"/>
    </row>
    <row r="316" spans="1:16" ht="15.75" customHeight="1">
      <c r="A316" s="59"/>
      <c r="B316" s="60"/>
      <c r="C316" s="61"/>
      <c r="D316" s="62"/>
      <c r="E316" s="61"/>
      <c r="F316" s="63"/>
      <c r="G316" s="64"/>
      <c r="H316" s="65"/>
      <c r="I316" s="61"/>
      <c r="J316" s="62"/>
      <c r="K316" s="80"/>
      <c r="L316" s="81"/>
      <c r="M316" s="82"/>
      <c r="N316" s="83"/>
      <c r="O316" s="61"/>
      <c r="P316" s="62"/>
    </row>
    <row r="317" spans="1:16" ht="15.75" customHeight="1">
      <c r="A317" s="59"/>
      <c r="B317" s="60"/>
      <c r="C317" s="61"/>
      <c r="D317" s="62"/>
      <c r="E317" s="61"/>
      <c r="F317" s="63"/>
      <c r="G317" s="64"/>
      <c r="H317" s="65"/>
      <c r="I317" s="61"/>
      <c r="J317" s="62"/>
      <c r="K317" s="80"/>
      <c r="L317" s="81"/>
      <c r="M317" s="82"/>
      <c r="N317" s="83"/>
      <c r="O317" s="61"/>
      <c r="P317" s="62"/>
    </row>
    <row r="318" spans="1:16" ht="15.75" customHeight="1">
      <c r="A318" s="59"/>
      <c r="B318" s="60"/>
      <c r="C318" s="61"/>
      <c r="D318" s="62"/>
      <c r="E318" s="61"/>
      <c r="F318" s="63"/>
      <c r="G318" s="64"/>
      <c r="H318" s="65"/>
      <c r="I318" s="61"/>
      <c r="J318" s="62"/>
      <c r="K318" s="80"/>
      <c r="L318" s="81"/>
      <c r="M318" s="82"/>
      <c r="N318" s="83"/>
      <c r="O318" s="61"/>
      <c r="P318" s="62"/>
    </row>
    <row r="319" spans="1:16" ht="15.75" customHeight="1">
      <c r="A319" s="59"/>
      <c r="B319" s="60"/>
      <c r="C319" s="61"/>
      <c r="D319" s="62"/>
      <c r="E319" s="61"/>
      <c r="F319" s="63"/>
      <c r="G319" s="64"/>
      <c r="H319" s="65"/>
      <c r="I319" s="61"/>
      <c r="J319" s="62"/>
      <c r="K319" s="80"/>
      <c r="L319" s="81"/>
      <c r="M319" s="82"/>
      <c r="N319" s="83"/>
      <c r="O319" s="61"/>
      <c r="P319" s="62"/>
    </row>
    <row r="320" spans="1:16" ht="15.75" customHeight="1">
      <c r="A320" s="59"/>
      <c r="B320" s="60"/>
      <c r="C320" s="61"/>
      <c r="D320" s="62"/>
      <c r="E320" s="62"/>
      <c r="F320" s="63"/>
      <c r="G320" s="64"/>
      <c r="H320" s="65"/>
      <c r="I320" s="27"/>
      <c r="J320" s="26"/>
      <c r="K320" s="80"/>
      <c r="L320" s="81"/>
      <c r="M320" s="82"/>
      <c r="N320" s="83"/>
      <c r="O320" s="463"/>
      <c r="P320" s="26"/>
    </row>
    <row r="321" spans="1:16" ht="15.75" customHeight="1">
      <c r="A321" s="59"/>
      <c r="B321" s="60"/>
      <c r="C321" s="61"/>
      <c r="D321" s="62"/>
      <c r="E321" s="62"/>
      <c r="F321" s="63"/>
      <c r="G321" s="64"/>
      <c r="H321" s="65"/>
      <c r="I321" s="27"/>
      <c r="J321" s="27"/>
      <c r="K321" s="80"/>
      <c r="L321" s="81"/>
      <c r="M321" s="82"/>
      <c r="N321" s="83"/>
      <c r="O321" s="463"/>
      <c r="P321" s="26"/>
    </row>
    <row r="322" spans="1:16" ht="15.75" customHeight="1">
      <c r="A322" s="59"/>
      <c r="B322" s="60"/>
      <c r="C322" s="61"/>
      <c r="D322" s="62"/>
      <c r="E322" s="62"/>
      <c r="F322" s="63"/>
      <c r="G322" s="64"/>
      <c r="H322" s="65"/>
      <c r="I322" s="27"/>
      <c r="J322" s="27"/>
      <c r="K322" s="80"/>
      <c r="L322" s="81"/>
      <c r="M322" s="82"/>
      <c r="N322" s="83"/>
      <c r="O322" s="463"/>
      <c r="P322" s="26"/>
    </row>
    <row r="323" spans="1:16" ht="15.75" customHeight="1">
      <c r="A323" s="59"/>
      <c r="B323" s="60"/>
      <c r="C323" s="61"/>
      <c r="D323" s="62"/>
      <c r="E323" s="62"/>
      <c r="F323" s="63"/>
      <c r="G323" s="64"/>
      <c r="H323" s="65"/>
      <c r="I323" s="27"/>
      <c r="J323" s="27"/>
      <c r="K323" s="80"/>
      <c r="L323" s="81"/>
      <c r="M323" s="82"/>
      <c r="N323" s="83"/>
      <c r="O323" s="463"/>
      <c r="P323" s="26"/>
    </row>
    <row r="324" spans="1:16" ht="15.75" customHeight="1">
      <c r="A324" s="59"/>
      <c r="B324" s="60"/>
      <c r="C324" s="61"/>
      <c r="D324" s="62"/>
      <c r="E324" s="62"/>
      <c r="F324" s="63"/>
      <c r="G324" s="64"/>
      <c r="H324" s="65"/>
      <c r="I324" s="27"/>
      <c r="J324" s="27"/>
      <c r="K324" s="80"/>
      <c r="L324" s="81"/>
      <c r="M324" s="82"/>
      <c r="N324" s="83"/>
      <c r="O324" s="463"/>
      <c r="P324" s="26"/>
    </row>
    <row r="325" spans="1:16" ht="15.75" customHeight="1">
      <c r="A325" s="59"/>
      <c r="B325" s="60"/>
      <c r="C325" s="61"/>
      <c r="D325" s="62"/>
      <c r="E325" s="62"/>
      <c r="F325" s="63"/>
      <c r="G325" s="64"/>
      <c r="H325" s="65"/>
      <c r="I325" s="27"/>
      <c r="J325" s="27"/>
      <c r="K325" s="80"/>
      <c r="L325" s="81"/>
      <c r="M325" s="82"/>
      <c r="N325" s="83"/>
      <c r="O325" s="463"/>
      <c r="P325" s="26"/>
    </row>
    <row r="326" spans="1:16" ht="15.75" customHeight="1">
      <c r="A326" s="59"/>
      <c r="B326" s="60"/>
      <c r="C326" s="61"/>
      <c r="D326" s="62"/>
      <c r="E326" s="62"/>
      <c r="F326" s="63"/>
      <c r="G326" s="64"/>
      <c r="H326" s="65"/>
      <c r="I326" s="27"/>
      <c r="J326" s="27"/>
      <c r="K326" s="80"/>
      <c r="L326" s="81"/>
      <c r="M326" s="82"/>
      <c r="N326" s="83"/>
      <c r="O326" s="463"/>
      <c r="P326" s="26"/>
    </row>
    <row r="327" spans="1:16" ht="15.75" customHeight="1">
      <c r="A327" s="59"/>
      <c r="B327" s="60"/>
      <c r="C327" s="61"/>
      <c r="D327" s="62"/>
      <c r="E327" s="62"/>
      <c r="F327" s="63"/>
      <c r="G327" s="64"/>
      <c r="H327" s="65"/>
      <c r="I327" s="27"/>
      <c r="J327" s="27"/>
      <c r="K327" s="80"/>
      <c r="L327" s="81"/>
      <c r="M327" s="82"/>
      <c r="N327" s="83"/>
      <c r="O327" s="463"/>
      <c r="P327" s="26"/>
    </row>
    <row r="328" spans="1:16" ht="15.75" customHeight="1">
      <c r="A328" s="59"/>
      <c r="B328" s="60"/>
      <c r="C328" s="61"/>
      <c r="D328" s="62"/>
      <c r="E328" s="62"/>
      <c r="F328" s="63"/>
      <c r="G328" s="64"/>
      <c r="H328" s="65"/>
      <c r="I328" s="27"/>
      <c r="J328" s="27"/>
      <c r="K328" s="80"/>
      <c r="L328" s="81"/>
      <c r="M328" s="82"/>
      <c r="N328" s="83"/>
      <c r="O328" s="463"/>
      <c r="P328" s="26"/>
    </row>
    <row r="329" spans="1:16" ht="15.75" customHeight="1">
      <c r="A329" s="59"/>
      <c r="B329" s="60"/>
      <c r="C329" s="61"/>
      <c r="D329" s="62"/>
      <c r="E329" s="62"/>
      <c r="F329" s="63"/>
      <c r="G329" s="64"/>
      <c r="H329" s="65"/>
      <c r="I329" s="27"/>
      <c r="J329" s="27"/>
      <c r="K329" s="80"/>
      <c r="L329" s="81"/>
      <c r="M329" s="82"/>
      <c r="N329" s="83"/>
      <c r="O329" s="463"/>
      <c r="P329" s="26"/>
    </row>
    <row r="330" spans="1:16" ht="15.75" customHeight="1">
      <c r="A330" s="59"/>
      <c r="B330" s="60"/>
      <c r="C330" s="61"/>
      <c r="D330" s="62"/>
      <c r="E330" s="62"/>
      <c r="F330" s="63"/>
      <c r="G330" s="64"/>
      <c r="H330" s="65"/>
      <c r="I330" s="27"/>
      <c r="J330" s="27"/>
      <c r="K330" s="80"/>
      <c r="L330" s="81"/>
      <c r="M330" s="82"/>
      <c r="N330" s="83"/>
      <c r="O330" s="463"/>
      <c r="P330" s="26"/>
    </row>
    <row r="331" spans="1:16" ht="15.75" customHeight="1">
      <c r="A331" s="59"/>
      <c r="B331" s="60"/>
      <c r="C331" s="61"/>
      <c r="D331" s="62"/>
      <c r="E331" s="62"/>
      <c r="F331" s="63"/>
      <c r="G331" s="64"/>
      <c r="H331" s="65"/>
      <c r="I331" s="27"/>
      <c r="J331" s="27"/>
      <c r="K331" s="80"/>
      <c r="L331" s="81"/>
      <c r="M331" s="82"/>
      <c r="N331" s="83"/>
      <c r="O331" s="463"/>
      <c r="P331" s="26"/>
    </row>
    <row r="332" spans="1:16" ht="15.75" customHeight="1">
      <c r="A332" s="59"/>
      <c r="B332" s="60"/>
      <c r="C332" s="61"/>
      <c r="D332" s="62"/>
      <c r="E332" s="62"/>
      <c r="F332" s="63"/>
      <c r="G332" s="64"/>
      <c r="H332" s="65"/>
      <c r="I332" s="27"/>
      <c r="J332" s="27"/>
      <c r="K332" s="80"/>
      <c r="L332" s="81"/>
      <c r="M332" s="82"/>
      <c r="N332" s="83"/>
      <c r="O332" s="463"/>
      <c r="P332" s="26"/>
    </row>
    <row r="333" spans="1:16" ht="15.75" customHeight="1">
      <c r="A333" s="59"/>
      <c r="B333" s="60"/>
      <c r="C333" s="61"/>
      <c r="D333" s="62"/>
      <c r="E333" s="62"/>
      <c r="F333" s="63"/>
      <c r="G333" s="64"/>
      <c r="H333" s="65"/>
      <c r="I333" s="27"/>
      <c r="J333" s="27"/>
      <c r="K333" s="80"/>
      <c r="L333" s="81"/>
      <c r="M333" s="82"/>
      <c r="N333" s="83"/>
      <c r="O333" s="463"/>
      <c r="P333" s="26"/>
    </row>
    <row r="334" spans="1:16" ht="15.75" customHeight="1">
      <c r="A334" s="59"/>
      <c r="B334" s="60"/>
      <c r="C334" s="61"/>
      <c r="D334" s="62"/>
      <c r="E334" s="62"/>
      <c r="F334" s="63"/>
      <c r="G334" s="64"/>
      <c r="H334" s="65"/>
      <c r="I334" s="27"/>
      <c r="J334" s="27"/>
      <c r="K334" s="80"/>
      <c r="L334" s="81"/>
      <c r="M334" s="82"/>
      <c r="N334" s="83"/>
      <c r="O334" s="463"/>
      <c r="P334" s="26"/>
    </row>
    <row r="335" spans="1:16" ht="15.75" customHeight="1">
      <c r="A335" s="59"/>
      <c r="B335" s="60"/>
      <c r="C335" s="61"/>
      <c r="D335" s="62"/>
      <c r="E335" s="62"/>
      <c r="F335" s="63"/>
      <c r="G335" s="64"/>
      <c r="H335" s="65"/>
      <c r="I335" s="27"/>
      <c r="J335" s="27"/>
      <c r="K335" s="80"/>
      <c r="L335" s="81"/>
      <c r="M335" s="82"/>
      <c r="N335" s="83"/>
      <c r="O335" s="463"/>
      <c r="P335" s="26"/>
    </row>
    <row r="336" spans="1:16" ht="15.75" customHeight="1">
      <c r="A336" s="59"/>
      <c r="B336" s="60"/>
      <c r="C336" s="61"/>
      <c r="D336" s="62"/>
      <c r="E336" s="62"/>
      <c r="F336" s="63"/>
      <c r="G336" s="64"/>
      <c r="H336" s="65"/>
      <c r="I336" s="27"/>
      <c r="J336" s="27"/>
      <c r="K336" s="80"/>
      <c r="L336" s="81"/>
      <c r="M336" s="82"/>
      <c r="N336" s="83"/>
      <c r="O336" s="463"/>
      <c r="P336" s="26"/>
    </row>
    <row r="337" spans="1:16" ht="15.75" customHeight="1">
      <c r="A337" s="59"/>
      <c r="B337" s="60"/>
      <c r="C337" s="61"/>
      <c r="D337" s="62"/>
      <c r="E337" s="62"/>
      <c r="F337" s="63"/>
      <c r="G337" s="64"/>
      <c r="H337" s="65"/>
      <c r="I337" s="27"/>
      <c r="J337" s="27"/>
      <c r="K337" s="80"/>
      <c r="L337" s="81"/>
      <c r="M337" s="82"/>
      <c r="N337" s="83"/>
      <c r="O337" s="463"/>
      <c r="P337" s="26"/>
    </row>
    <row r="338" spans="1:16" ht="15.75" customHeight="1">
      <c r="A338" s="1159"/>
      <c r="B338" s="1160"/>
      <c r="C338" s="1160"/>
      <c r="D338" s="1160"/>
      <c r="E338" s="1160"/>
      <c r="F338" s="1160"/>
      <c r="G338" s="1160"/>
      <c r="H338" s="1160"/>
      <c r="I338" s="1160"/>
      <c r="J338" s="1160"/>
      <c r="K338" s="1160"/>
      <c r="L338" s="1160"/>
      <c r="M338" s="1160"/>
      <c r="N338" s="1160"/>
      <c r="O338" s="1160"/>
      <c r="P338" s="1161"/>
    </row>
    <row r="339" spans="1:16" ht="15.75" customHeight="1">
      <c r="A339" s="59"/>
      <c r="B339" s="60"/>
      <c r="C339" s="61"/>
      <c r="D339" s="62"/>
      <c r="E339" s="62"/>
      <c r="F339" s="63"/>
      <c r="G339" s="64"/>
      <c r="H339" s="65"/>
      <c r="I339" s="27"/>
      <c r="J339" s="26"/>
      <c r="K339" s="80"/>
      <c r="L339" s="81"/>
      <c r="M339" s="82"/>
      <c r="N339" s="83"/>
      <c r="O339" s="463"/>
      <c r="P339" s="26"/>
    </row>
    <row r="340" spans="1:16" ht="15.75" customHeight="1">
      <c r="A340" s="59"/>
      <c r="B340" s="60"/>
      <c r="C340" s="61"/>
      <c r="D340" s="62"/>
      <c r="E340" s="62"/>
      <c r="F340" s="63"/>
      <c r="G340" s="64"/>
      <c r="H340" s="65"/>
      <c r="I340" s="27"/>
      <c r="J340" s="26"/>
      <c r="K340" s="80"/>
      <c r="L340" s="81"/>
      <c r="M340" s="82"/>
      <c r="N340" s="83"/>
      <c r="O340" s="463"/>
      <c r="P340" s="26"/>
    </row>
    <row r="341" spans="1:16" ht="15.75" customHeight="1">
      <c r="A341" s="59"/>
      <c r="B341" s="60"/>
      <c r="C341" s="61"/>
      <c r="D341" s="62"/>
      <c r="E341" s="62"/>
      <c r="F341" s="63"/>
      <c r="G341" s="64"/>
      <c r="H341" s="65"/>
      <c r="I341" s="27"/>
      <c r="J341" s="26"/>
      <c r="K341" s="80"/>
      <c r="L341" s="81"/>
      <c r="M341" s="82"/>
      <c r="N341" s="83"/>
      <c r="O341" s="463"/>
      <c r="P341" s="26"/>
    </row>
    <row r="342" spans="1:16" ht="15.75" customHeight="1">
      <c r="A342" s="1159"/>
      <c r="B342" s="1160"/>
      <c r="C342" s="1160"/>
      <c r="D342" s="1160"/>
      <c r="E342" s="1160"/>
      <c r="F342" s="1160"/>
      <c r="G342" s="1160"/>
      <c r="H342" s="1160"/>
      <c r="I342" s="1160"/>
      <c r="J342" s="1160"/>
      <c r="K342" s="1160"/>
      <c r="L342" s="1160"/>
      <c r="M342" s="1160"/>
      <c r="N342" s="1160"/>
      <c r="O342" s="1160"/>
      <c r="P342" s="1161"/>
    </row>
    <row r="343" spans="1:16" ht="15.75" customHeight="1">
      <c r="A343" s="59"/>
      <c r="B343" s="60"/>
      <c r="C343" s="61"/>
      <c r="D343" s="62"/>
      <c r="E343" s="62"/>
      <c r="F343" s="63"/>
      <c r="G343" s="64"/>
      <c r="H343" s="65"/>
      <c r="I343" s="27"/>
      <c r="J343" s="26"/>
      <c r="K343" s="80"/>
      <c r="L343" s="81"/>
      <c r="M343" s="82"/>
      <c r="N343" s="83"/>
      <c r="O343" s="463"/>
      <c r="P343" s="26"/>
    </row>
    <row r="344" spans="1:16" ht="15.75" customHeight="1">
      <c r="A344" s="59"/>
      <c r="B344" s="60"/>
      <c r="C344" s="61"/>
      <c r="D344" s="62"/>
      <c r="E344" s="62"/>
      <c r="F344" s="63"/>
      <c r="G344" s="64"/>
      <c r="H344" s="65"/>
      <c r="I344" s="27"/>
      <c r="J344" s="26"/>
      <c r="K344" s="80"/>
      <c r="L344" s="81"/>
      <c r="M344" s="82"/>
      <c r="N344" s="83"/>
      <c r="O344" s="463"/>
      <c r="P344" s="26"/>
    </row>
    <row r="345" spans="1:16" ht="15.75" customHeight="1">
      <c r="A345" s="59"/>
      <c r="B345" s="60"/>
      <c r="C345" s="61"/>
      <c r="D345" s="62"/>
      <c r="E345" s="62"/>
      <c r="F345" s="63"/>
      <c r="G345" s="64"/>
      <c r="H345" s="65"/>
      <c r="I345" s="27"/>
      <c r="J345" s="26"/>
      <c r="K345" s="80"/>
      <c r="L345" s="81"/>
      <c r="M345" s="82"/>
      <c r="N345" s="83"/>
      <c r="O345" s="463"/>
      <c r="P345" s="26"/>
    </row>
    <row r="346" spans="1:16" ht="15.75" customHeight="1">
      <c r="A346" s="59"/>
      <c r="B346" s="60"/>
      <c r="C346" s="61"/>
      <c r="D346" s="62"/>
      <c r="E346" s="62"/>
      <c r="F346" s="63"/>
      <c r="G346" s="64"/>
      <c r="H346" s="65"/>
      <c r="I346" s="27"/>
      <c r="J346" s="26"/>
      <c r="K346" s="80"/>
      <c r="L346" s="81"/>
      <c r="M346" s="82"/>
      <c r="N346" s="83"/>
      <c r="O346" s="463"/>
      <c r="P346" s="26"/>
    </row>
    <row r="347" spans="1:16" ht="15.75" customHeight="1">
      <c r="A347" s="59"/>
      <c r="B347" s="60"/>
      <c r="C347" s="61"/>
      <c r="D347" s="62"/>
      <c r="E347" s="62"/>
      <c r="F347" s="63"/>
      <c r="G347" s="64"/>
      <c r="H347" s="65"/>
      <c r="I347" s="27"/>
      <c r="J347" s="26"/>
      <c r="K347" s="80"/>
      <c r="L347" s="81"/>
      <c r="M347" s="82"/>
      <c r="N347" s="83"/>
      <c r="O347" s="463"/>
      <c r="P347" s="26"/>
    </row>
    <row r="348" spans="1:16" ht="15.75" customHeight="1">
      <c r="A348" s="59"/>
      <c r="B348" s="60"/>
      <c r="C348" s="61"/>
      <c r="D348" s="62"/>
      <c r="E348" s="62"/>
      <c r="F348" s="63"/>
      <c r="G348" s="64"/>
      <c r="H348" s="65"/>
      <c r="I348" s="27"/>
      <c r="J348" s="26"/>
      <c r="K348" s="80"/>
      <c r="L348" s="81"/>
      <c r="M348" s="82"/>
      <c r="N348" s="83"/>
      <c r="O348" s="463"/>
      <c r="P348" s="26"/>
    </row>
    <row r="349" spans="1:16" ht="15.75" customHeight="1">
      <c r="A349" s="59"/>
      <c r="B349" s="60"/>
      <c r="C349" s="61"/>
      <c r="D349" s="62"/>
      <c r="E349" s="62"/>
      <c r="F349" s="63"/>
      <c r="G349" s="64"/>
      <c r="H349" s="65"/>
      <c r="I349" s="27"/>
      <c r="J349" s="26"/>
      <c r="K349" s="80"/>
      <c r="L349" s="81"/>
      <c r="M349" s="82"/>
      <c r="N349" s="83"/>
      <c r="O349" s="463"/>
      <c r="P349" s="26"/>
    </row>
    <row r="350" spans="1:16" ht="15.75" customHeight="1">
      <c r="A350" s="59"/>
      <c r="B350" s="60"/>
      <c r="C350" s="61"/>
      <c r="D350" s="62"/>
      <c r="E350" s="62"/>
      <c r="F350" s="63"/>
      <c r="G350" s="64"/>
      <c r="H350" s="65"/>
      <c r="I350" s="27"/>
      <c r="J350" s="26"/>
      <c r="K350" s="80"/>
      <c r="L350" s="81"/>
      <c r="M350" s="82"/>
      <c r="N350" s="83"/>
      <c r="O350" s="463"/>
      <c r="P350" s="26"/>
    </row>
    <row r="351" spans="1:16" ht="15.75" customHeight="1">
      <c r="A351" s="59"/>
      <c r="B351" s="60"/>
      <c r="C351" s="61"/>
      <c r="D351" s="62"/>
      <c r="E351" s="62"/>
      <c r="F351" s="63"/>
      <c r="G351" s="64"/>
      <c r="H351" s="65"/>
      <c r="I351" s="27"/>
      <c r="J351" s="26"/>
      <c r="K351" s="80"/>
      <c r="L351" s="81"/>
      <c r="M351" s="82"/>
      <c r="N351" s="83"/>
      <c r="O351" s="463"/>
      <c r="P351" s="26"/>
    </row>
    <row r="352" spans="1:16" ht="15.75" customHeight="1">
      <c r="A352" s="59"/>
      <c r="B352" s="60"/>
      <c r="C352" s="61"/>
      <c r="D352" s="62"/>
      <c r="E352" s="62"/>
      <c r="F352" s="63"/>
      <c r="G352" s="64"/>
      <c r="H352" s="65"/>
      <c r="I352" s="27"/>
      <c r="J352" s="26"/>
      <c r="K352" s="80"/>
      <c r="L352" s="81"/>
      <c r="M352" s="82"/>
      <c r="N352" s="83"/>
      <c r="O352" s="463"/>
      <c r="P352" s="26"/>
    </row>
    <row r="353" spans="1:16" ht="15.75" customHeight="1">
      <c r="A353" s="59"/>
      <c r="B353" s="60"/>
      <c r="C353" s="61"/>
      <c r="D353" s="62"/>
      <c r="E353" s="62"/>
      <c r="F353" s="63"/>
      <c r="G353" s="64"/>
      <c r="H353" s="65"/>
      <c r="I353" s="27"/>
      <c r="J353" s="26"/>
      <c r="K353" s="80"/>
      <c r="L353" s="81"/>
      <c r="M353" s="82"/>
      <c r="N353" s="83"/>
      <c r="O353" s="463"/>
      <c r="P353" s="26"/>
    </row>
    <row r="354" spans="1:16" ht="15.75" customHeight="1">
      <c r="A354" s="59"/>
      <c r="B354" s="60"/>
      <c r="C354" s="61"/>
      <c r="D354" s="62"/>
      <c r="E354" s="62"/>
      <c r="F354" s="63"/>
      <c r="G354" s="64"/>
      <c r="H354" s="65"/>
      <c r="I354" s="27"/>
      <c r="J354" s="26"/>
      <c r="K354" s="80"/>
      <c r="L354" s="81"/>
      <c r="M354" s="82"/>
      <c r="N354" s="83"/>
      <c r="O354" s="463"/>
      <c r="P354" s="26"/>
    </row>
    <row r="355" spans="1:16" ht="15.75" customHeight="1">
      <c r="A355" s="59"/>
      <c r="B355" s="60"/>
      <c r="C355" s="61"/>
      <c r="D355" s="62"/>
      <c r="E355" s="62"/>
      <c r="F355" s="63"/>
      <c r="G355" s="64"/>
      <c r="H355" s="65"/>
      <c r="I355" s="27"/>
      <c r="J355" s="26"/>
      <c r="K355" s="80"/>
      <c r="L355" s="81"/>
      <c r="M355" s="82"/>
      <c r="N355" s="83"/>
      <c r="O355" s="463"/>
      <c r="P355" s="26"/>
    </row>
    <row r="356" spans="1:16" ht="15.75" customHeight="1">
      <c r="A356" s="59"/>
      <c r="B356" s="60"/>
      <c r="C356" s="61"/>
      <c r="D356" s="62"/>
      <c r="E356" s="62"/>
      <c r="F356" s="63"/>
      <c r="G356" s="64"/>
      <c r="H356" s="65"/>
      <c r="I356" s="65"/>
      <c r="J356" s="65"/>
      <c r="K356" s="80"/>
      <c r="L356" s="81"/>
      <c r="M356" s="82"/>
      <c r="N356" s="83"/>
      <c r="O356" s="463"/>
      <c r="P356" s="26"/>
    </row>
    <row r="357" spans="1:16" ht="15.75" customHeight="1">
      <c r="A357" s="59"/>
      <c r="B357" s="60"/>
      <c r="C357" s="61"/>
      <c r="D357" s="62"/>
      <c r="E357" s="62"/>
      <c r="F357" s="63"/>
      <c r="G357" s="64"/>
      <c r="H357" s="65"/>
      <c r="I357" s="65"/>
      <c r="J357" s="65"/>
      <c r="K357" s="80"/>
      <c r="L357" s="81"/>
      <c r="M357" s="82"/>
      <c r="N357" s="83"/>
      <c r="O357" s="463"/>
      <c r="P357" s="26"/>
    </row>
    <row r="358" spans="1:16" ht="15.75" customHeight="1">
      <c r="A358" s="59"/>
      <c r="B358" s="60"/>
      <c r="C358" s="61"/>
      <c r="D358" s="62"/>
      <c r="E358" s="62"/>
      <c r="F358" s="63"/>
      <c r="G358" s="64"/>
      <c r="H358" s="65"/>
      <c r="I358" s="65"/>
      <c r="J358" s="65"/>
      <c r="K358" s="80"/>
      <c r="L358" s="81"/>
      <c r="M358" s="82"/>
      <c r="N358" s="83"/>
      <c r="O358" s="463"/>
      <c r="P358" s="26"/>
    </row>
    <row r="359" spans="1:16" ht="15.75" customHeight="1">
      <c r="A359" s="59"/>
      <c r="B359" s="60"/>
      <c r="C359" s="61"/>
      <c r="D359" s="62"/>
      <c r="E359" s="62"/>
      <c r="F359" s="63"/>
      <c r="G359" s="64"/>
      <c r="H359" s="65"/>
      <c r="I359" s="65"/>
      <c r="J359" s="65"/>
      <c r="K359" s="80"/>
      <c r="L359" s="81"/>
      <c r="M359" s="82"/>
      <c r="N359" s="83"/>
      <c r="O359" s="463"/>
      <c r="P359" s="26"/>
    </row>
    <row r="360" spans="1:16" ht="15.75" customHeight="1">
      <c r="A360" s="59"/>
      <c r="B360" s="60"/>
      <c r="C360" s="61"/>
      <c r="D360" s="62"/>
      <c r="E360" s="62"/>
      <c r="F360" s="63"/>
      <c r="G360" s="64"/>
      <c r="H360" s="65"/>
      <c r="I360" s="65"/>
      <c r="J360" s="65"/>
      <c r="K360" s="80"/>
      <c r="L360" s="81"/>
      <c r="M360" s="82"/>
      <c r="N360" s="83"/>
      <c r="O360" s="463"/>
      <c r="P360" s="26"/>
    </row>
    <row r="361" spans="1:16" ht="15.75" customHeight="1">
      <c r="A361" s="59"/>
      <c r="B361" s="60"/>
      <c r="C361" s="61"/>
      <c r="D361" s="62"/>
      <c r="E361" s="62"/>
      <c r="F361" s="63"/>
      <c r="G361" s="64"/>
      <c r="H361" s="65"/>
      <c r="I361" s="65"/>
      <c r="J361" s="65"/>
      <c r="K361" s="80"/>
      <c r="L361" s="81"/>
      <c r="M361" s="82"/>
      <c r="N361" s="83"/>
      <c r="O361" s="463"/>
      <c r="P361" s="26"/>
    </row>
    <row r="362" spans="1:16" ht="15.75" customHeight="1">
      <c r="A362" s="59"/>
      <c r="B362" s="60"/>
      <c r="C362" s="61"/>
      <c r="D362" s="62"/>
      <c r="E362" s="62"/>
      <c r="F362" s="63"/>
      <c r="G362" s="64"/>
      <c r="H362" s="65"/>
      <c r="I362" s="65"/>
      <c r="J362" s="65"/>
      <c r="K362" s="80"/>
      <c r="L362" s="81"/>
      <c r="M362" s="82"/>
      <c r="N362" s="83"/>
      <c r="O362" s="463"/>
      <c r="P362" s="26"/>
    </row>
    <row r="363" spans="1:16" ht="15.75" customHeight="1">
      <c r="A363" s="59"/>
      <c r="B363" s="60"/>
      <c r="C363" s="61"/>
      <c r="D363" s="62"/>
      <c r="E363" s="62"/>
      <c r="F363" s="63"/>
      <c r="G363" s="64"/>
      <c r="H363" s="65"/>
      <c r="I363" s="65"/>
      <c r="J363" s="65"/>
      <c r="K363" s="80"/>
      <c r="L363" s="81"/>
      <c r="M363" s="82"/>
      <c r="N363" s="83"/>
      <c r="O363" s="463"/>
      <c r="P363" s="26"/>
    </row>
    <row r="364" spans="1:16" ht="15.75" customHeight="1">
      <c r="A364" s="59"/>
      <c r="B364" s="60"/>
      <c r="C364" s="61"/>
      <c r="D364" s="62"/>
      <c r="E364" s="62"/>
      <c r="F364" s="63"/>
      <c r="G364" s="64"/>
      <c r="H364" s="65"/>
      <c r="I364" s="65"/>
      <c r="J364" s="65"/>
      <c r="K364" s="80"/>
      <c r="L364" s="81"/>
      <c r="M364" s="82"/>
      <c r="N364" s="83"/>
      <c r="O364" s="463"/>
      <c r="P364" s="26"/>
    </row>
    <row r="365" spans="1:16" ht="15.75" customHeight="1">
      <c r="A365" s="59"/>
      <c r="B365" s="60"/>
      <c r="C365" s="61"/>
      <c r="D365" s="62"/>
      <c r="E365" s="62"/>
      <c r="F365" s="63"/>
      <c r="G365" s="64"/>
      <c r="H365" s="65"/>
      <c r="I365" s="65"/>
      <c r="J365" s="65"/>
      <c r="K365" s="80"/>
      <c r="L365" s="81"/>
      <c r="M365" s="82"/>
      <c r="N365" s="83"/>
      <c r="O365" s="463"/>
      <c r="P365" s="26"/>
    </row>
    <row r="366" spans="1:16" ht="15.75" customHeight="1">
      <c r="A366" s="59"/>
      <c r="B366" s="60"/>
      <c r="C366" s="61"/>
      <c r="D366" s="62"/>
      <c r="E366" s="62"/>
      <c r="F366" s="63"/>
      <c r="G366" s="64"/>
      <c r="H366" s="65"/>
      <c r="I366" s="65"/>
      <c r="J366" s="65"/>
      <c r="K366" s="80"/>
      <c r="L366" s="81"/>
      <c r="M366" s="82"/>
      <c r="N366" s="83"/>
      <c r="O366" s="463"/>
      <c r="P366" s="26"/>
    </row>
    <row r="367" spans="1:16" ht="15.75" customHeight="1">
      <c r="A367" s="59"/>
      <c r="B367" s="60"/>
      <c r="C367" s="61"/>
      <c r="D367" s="62"/>
      <c r="E367" s="62"/>
      <c r="F367" s="63"/>
      <c r="G367" s="64"/>
      <c r="H367" s="65"/>
      <c r="I367" s="65"/>
      <c r="J367" s="65"/>
      <c r="K367" s="80"/>
      <c r="L367" s="81"/>
      <c r="M367" s="82"/>
      <c r="N367" s="83"/>
      <c r="O367" s="463"/>
      <c r="P367" s="26"/>
    </row>
    <row r="368" spans="1:16" ht="15.75" customHeight="1">
      <c r="A368" s="59"/>
      <c r="B368" s="60"/>
      <c r="C368" s="61"/>
      <c r="D368" s="62"/>
      <c r="E368" s="62"/>
      <c r="F368" s="63"/>
      <c r="G368" s="64"/>
      <c r="H368" s="65"/>
      <c r="I368" s="65"/>
      <c r="J368" s="65"/>
      <c r="K368" s="80"/>
      <c r="L368" s="81"/>
      <c r="M368" s="82"/>
      <c r="N368" s="83"/>
      <c r="O368" s="463"/>
      <c r="P368" s="26"/>
    </row>
    <row r="369" spans="1:16" ht="15.75" customHeight="1">
      <c r="A369" s="59"/>
      <c r="B369" s="60"/>
      <c r="C369" s="61"/>
      <c r="D369" s="62"/>
      <c r="E369" s="62"/>
      <c r="F369" s="63"/>
      <c r="G369" s="64"/>
      <c r="H369" s="65"/>
      <c r="I369" s="65"/>
      <c r="J369" s="65"/>
      <c r="K369" s="80"/>
      <c r="L369" s="81"/>
      <c r="M369" s="82"/>
      <c r="N369" s="83"/>
      <c r="O369" s="463"/>
      <c r="P369" s="26"/>
    </row>
    <row r="370" spans="1:16" ht="15.75" customHeight="1">
      <c r="A370" s="59"/>
      <c r="B370" s="60"/>
      <c r="C370" s="61"/>
      <c r="D370" s="62"/>
      <c r="E370" s="62"/>
      <c r="F370" s="63"/>
      <c r="G370" s="64"/>
      <c r="H370" s="65"/>
      <c r="I370" s="65"/>
      <c r="J370" s="65"/>
      <c r="K370" s="80"/>
      <c r="L370" s="81"/>
      <c r="M370" s="82"/>
      <c r="N370" s="83"/>
      <c r="O370" s="463"/>
      <c r="P370" s="26"/>
    </row>
    <row r="371" spans="1:16" ht="15.75" customHeight="1">
      <c r="A371" s="59"/>
      <c r="B371" s="60"/>
      <c r="C371" s="61"/>
      <c r="D371" s="62"/>
      <c r="E371" s="62"/>
      <c r="F371" s="63"/>
      <c r="G371" s="64"/>
      <c r="H371" s="65"/>
      <c r="I371" s="65"/>
      <c r="J371" s="65"/>
      <c r="K371" s="80"/>
      <c r="L371" s="81"/>
      <c r="M371" s="82"/>
      <c r="N371" s="83"/>
      <c r="O371" s="463"/>
      <c r="P371" s="26"/>
    </row>
    <row r="372" spans="1:16" ht="15.75" customHeight="1">
      <c r="A372" s="59"/>
      <c r="B372" s="60"/>
      <c r="C372" s="61"/>
      <c r="D372" s="62"/>
      <c r="E372" s="62"/>
      <c r="F372" s="63"/>
      <c r="G372" s="64"/>
      <c r="H372" s="65"/>
      <c r="I372" s="65"/>
      <c r="J372" s="65"/>
      <c r="K372" s="80"/>
      <c r="L372" s="81"/>
      <c r="M372" s="82"/>
      <c r="N372" s="83"/>
      <c r="O372" s="463"/>
      <c r="P372" s="26"/>
    </row>
    <row r="373" spans="1:16" ht="15.75" customHeight="1">
      <c r="A373" s="59"/>
      <c r="B373" s="60"/>
      <c r="C373" s="61"/>
      <c r="D373" s="62"/>
      <c r="E373" s="62"/>
      <c r="F373" s="63"/>
      <c r="G373" s="64"/>
      <c r="H373" s="65"/>
      <c r="I373" s="65"/>
      <c r="J373" s="65"/>
      <c r="K373" s="80"/>
      <c r="L373" s="81"/>
      <c r="M373" s="82"/>
      <c r="N373" s="83"/>
      <c r="O373" s="463"/>
      <c r="P373" s="26"/>
    </row>
    <row r="374" spans="1:16" ht="15.75" customHeight="1">
      <c r="A374" s="59"/>
      <c r="B374" s="60"/>
      <c r="C374" s="61"/>
      <c r="D374" s="62"/>
      <c r="E374" s="62"/>
      <c r="F374" s="63"/>
      <c r="G374" s="64"/>
      <c r="H374" s="65"/>
      <c r="I374" s="65"/>
      <c r="J374" s="65"/>
      <c r="K374" s="80"/>
      <c r="L374" s="81"/>
      <c r="M374" s="82"/>
      <c r="N374" s="83"/>
      <c r="O374" s="463"/>
      <c r="P374" s="26"/>
    </row>
    <row r="375" spans="1:16" ht="15.75" customHeight="1">
      <c r="A375" s="59"/>
      <c r="B375" s="60"/>
      <c r="C375" s="61"/>
      <c r="D375" s="62"/>
      <c r="E375" s="62"/>
      <c r="F375" s="63"/>
      <c r="G375" s="64"/>
      <c r="H375" s="65"/>
      <c r="I375" s="27"/>
      <c r="J375" s="26"/>
      <c r="K375" s="80"/>
      <c r="L375" s="81"/>
      <c r="M375" s="82"/>
      <c r="N375" s="83"/>
      <c r="O375" s="463"/>
      <c r="P375" s="26"/>
    </row>
    <row r="376" spans="1:16" ht="15.75" customHeight="1">
      <c r="A376" s="59"/>
      <c r="B376" s="60"/>
      <c r="C376" s="61"/>
      <c r="D376" s="59"/>
      <c r="E376" s="59"/>
      <c r="F376" s="63"/>
      <c r="G376" s="64"/>
      <c r="H376" s="65"/>
      <c r="I376" s="59"/>
      <c r="J376" s="59"/>
      <c r="K376" s="80"/>
      <c r="L376" s="81"/>
      <c r="M376" s="82"/>
      <c r="N376" s="83"/>
      <c r="O376" s="59"/>
      <c r="P376" s="59"/>
    </row>
    <row r="377" spans="1:16" ht="15.75" customHeight="1">
      <c r="A377" s="59"/>
      <c r="B377" s="60"/>
      <c r="C377" s="61"/>
      <c r="D377" s="62"/>
      <c r="E377" s="62"/>
      <c r="F377" s="63"/>
      <c r="G377" s="64"/>
      <c r="H377" s="65"/>
      <c r="I377" s="65"/>
      <c r="J377" s="65"/>
      <c r="K377" s="80"/>
      <c r="L377" s="81"/>
      <c r="M377" s="82"/>
      <c r="N377" s="83"/>
      <c r="O377" s="463"/>
      <c r="P377" s="26"/>
    </row>
    <row r="378" spans="1:16" ht="15.75" customHeight="1">
      <c r="A378" s="59"/>
      <c r="B378" s="60"/>
      <c r="C378" s="61"/>
      <c r="D378" s="62"/>
      <c r="E378" s="62"/>
      <c r="F378" s="63"/>
      <c r="G378" s="64"/>
      <c r="H378" s="65"/>
      <c r="I378" s="65"/>
      <c r="J378" s="65"/>
      <c r="K378" s="80"/>
      <c r="L378" s="81"/>
      <c r="M378" s="82"/>
      <c r="N378" s="83"/>
      <c r="O378" s="463"/>
      <c r="P378" s="26"/>
    </row>
    <row r="379" spans="1:16" ht="15.75" customHeight="1">
      <c r="A379" s="59"/>
      <c r="B379" s="60"/>
      <c r="C379" s="61"/>
      <c r="D379" s="62"/>
      <c r="E379" s="62"/>
      <c r="F379" s="63"/>
      <c r="G379" s="64"/>
      <c r="H379" s="65"/>
      <c r="I379" s="65"/>
      <c r="J379" s="65"/>
      <c r="K379" s="80"/>
      <c r="L379" s="81"/>
      <c r="M379" s="82"/>
      <c r="N379" s="83"/>
      <c r="O379" s="463"/>
      <c r="P379" s="26"/>
    </row>
    <row r="380" spans="1:16" ht="15.75" customHeight="1">
      <c r="A380" s="59"/>
      <c r="B380" s="60"/>
      <c r="C380" s="61"/>
      <c r="D380" s="62"/>
      <c r="E380" s="62"/>
      <c r="F380" s="63"/>
      <c r="G380" s="64"/>
      <c r="H380" s="65"/>
      <c r="I380" s="65"/>
      <c r="J380" s="65"/>
      <c r="K380" s="80"/>
      <c r="L380" s="81"/>
      <c r="M380" s="82"/>
      <c r="N380" s="83"/>
      <c r="O380" s="463"/>
      <c r="P380" s="26"/>
    </row>
    <row r="381" spans="1:16" ht="15.75" customHeight="1">
      <c r="A381" s="59"/>
      <c r="B381" s="60"/>
      <c r="C381" s="61"/>
      <c r="D381" s="62"/>
      <c r="E381" s="62"/>
      <c r="F381" s="63"/>
      <c r="G381" s="64"/>
      <c r="H381" s="65"/>
      <c r="I381" s="65"/>
      <c r="J381" s="65"/>
      <c r="K381" s="80"/>
      <c r="L381" s="81"/>
      <c r="M381" s="82"/>
      <c r="N381" s="83"/>
      <c r="O381" s="463"/>
      <c r="P381" s="26"/>
    </row>
    <row r="382" spans="1:16" ht="15.75" customHeight="1">
      <c r="A382" s="59"/>
      <c r="B382" s="60"/>
      <c r="C382" s="61"/>
      <c r="D382" s="62"/>
      <c r="E382" s="62"/>
      <c r="F382" s="63"/>
      <c r="G382" s="64"/>
      <c r="H382" s="65"/>
      <c r="I382" s="65"/>
      <c r="J382" s="65"/>
      <c r="K382" s="80"/>
      <c r="L382" s="81"/>
      <c r="M382" s="82"/>
      <c r="N382" s="83"/>
      <c r="O382" s="463"/>
      <c r="P382" s="26"/>
    </row>
    <row r="383" spans="1:16" ht="15.75" customHeight="1">
      <c r="A383" s="59"/>
      <c r="B383" s="60"/>
      <c r="C383" s="61"/>
      <c r="D383" s="62"/>
      <c r="E383" s="62"/>
      <c r="F383" s="63"/>
      <c r="G383" s="64"/>
      <c r="H383" s="65"/>
      <c r="I383" s="65"/>
      <c r="J383" s="65"/>
      <c r="K383" s="80"/>
      <c r="L383" s="81"/>
      <c r="M383" s="82"/>
      <c r="N383" s="83"/>
      <c r="O383" s="463"/>
      <c r="P383" s="26"/>
    </row>
    <row r="384" spans="1:16" ht="15.75" customHeight="1">
      <c r="A384" s="59"/>
      <c r="B384" s="60"/>
      <c r="C384" s="61"/>
      <c r="D384" s="62"/>
      <c r="E384" s="62"/>
      <c r="F384" s="63"/>
      <c r="G384" s="64"/>
      <c r="H384" s="65"/>
      <c r="I384" s="65"/>
      <c r="J384" s="65"/>
      <c r="K384" s="80"/>
      <c r="L384" s="81"/>
      <c r="M384" s="82"/>
      <c r="N384" s="83"/>
      <c r="O384" s="463"/>
      <c r="P384" s="26"/>
    </row>
    <row r="385" spans="1:16" ht="15.75" customHeight="1">
      <c r="A385" s="59"/>
      <c r="B385" s="60"/>
      <c r="C385" s="61"/>
      <c r="D385" s="62"/>
      <c r="E385" s="62"/>
      <c r="F385" s="63"/>
      <c r="G385" s="64"/>
      <c r="H385" s="65"/>
      <c r="I385" s="65"/>
      <c r="J385" s="65"/>
      <c r="K385" s="80"/>
      <c r="L385" s="81"/>
      <c r="M385" s="82"/>
      <c r="N385" s="83"/>
      <c r="O385" s="463"/>
      <c r="P385" s="26"/>
    </row>
    <row r="386" spans="1:16" ht="15.75" customHeight="1">
      <c r="A386" s="59"/>
      <c r="B386" s="60"/>
      <c r="C386" s="61"/>
      <c r="D386" s="62"/>
      <c r="E386" s="62"/>
      <c r="F386" s="63"/>
      <c r="G386" s="64"/>
      <c r="H386" s="65"/>
      <c r="I386" s="65"/>
      <c r="J386" s="65"/>
      <c r="K386" s="80"/>
      <c r="L386" s="81"/>
      <c r="M386" s="82"/>
      <c r="N386" s="83"/>
      <c r="O386" s="463"/>
      <c r="P386" s="26"/>
    </row>
    <row r="387" spans="1:16" ht="15.75" customHeight="1">
      <c r="A387" s="59"/>
      <c r="B387" s="60"/>
      <c r="C387" s="61"/>
      <c r="D387" s="62"/>
      <c r="E387" s="62"/>
      <c r="F387" s="63"/>
      <c r="G387" s="64"/>
      <c r="H387" s="65"/>
      <c r="I387" s="65"/>
      <c r="J387" s="65"/>
      <c r="K387" s="80"/>
      <c r="L387" s="81"/>
      <c r="M387" s="82"/>
      <c r="N387" s="83"/>
      <c r="O387" s="463"/>
      <c r="P387" s="26"/>
    </row>
    <row r="388" spans="1:16" ht="15.75" customHeight="1">
      <c r="A388" s="59"/>
      <c r="B388" s="60"/>
      <c r="C388" s="61"/>
      <c r="D388" s="62"/>
      <c r="E388" s="62"/>
      <c r="F388" s="63"/>
      <c r="G388" s="64"/>
      <c r="H388" s="65"/>
      <c r="I388" s="65"/>
      <c r="J388" s="65"/>
      <c r="K388" s="80"/>
      <c r="L388" s="81"/>
      <c r="M388" s="82"/>
      <c r="N388" s="83"/>
      <c r="O388" s="463"/>
      <c r="P388" s="26"/>
    </row>
    <row r="389" spans="1:16" ht="15.75" customHeight="1">
      <c r="A389" s="59"/>
      <c r="B389" s="60"/>
      <c r="C389" s="61"/>
      <c r="D389" s="62"/>
      <c r="E389" s="62"/>
      <c r="F389" s="63"/>
      <c r="G389" s="64"/>
      <c r="H389" s="65"/>
      <c r="I389" s="65"/>
      <c r="J389" s="65"/>
      <c r="K389" s="80"/>
      <c r="L389" s="81"/>
      <c r="M389" s="82"/>
      <c r="N389" s="83"/>
      <c r="O389" s="463"/>
      <c r="P389" s="26"/>
    </row>
    <row r="390" spans="1:16" ht="15.75" customHeight="1">
      <c r="A390" s="59"/>
      <c r="B390" s="60"/>
      <c r="C390" s="61"/>
      <c r="D390" s="62"/>
      <c r="E390" s="62"/>
      <c r="F390" s="63"/>
      <c r="G390" s="64"/>
      <c r="H390" s="65"/>
      <c r="I390" s="65"/>
      <c r="J390" s="65"/>
      <c r="K390" s="80"/>
      <c r="L390" s="81"/>
      <c r="M390" s="82"/>
      <c r="N390" s="83"/>
      <c r="O390" s="463"/>
      <c r="P390" s="26"/>
    </row>
    <row r="391" spans="1:16" ht="15.75" customHeight="1">
      <c r="A391" s="59"/>
      <c r="B391" s="60"/>
      <c r="C391" s="61"/>
      <c r="D391" s="62"/>
      <c r="E391" s="62"/>
      <c r="F391" s="63"/>
      <c r="G391" s="64"/>
      <c r="H391" s="65"/>
      <c r="I391" s="65"/>
      <c r="J391" s="65"/>
      <c r="K391" s="80"/>
      <c r="L391" s="81"/>
      <c r="M391" s="82"/>
      <c r="N391" s="83"/>
      <c r="O391" s="463"/>
      <c r="P391" s="26"/>
    </row>
    <row r="392" spans="1:16" ht="15.75" customHeight="1">
      <c r="A392" s="59"/>
      <c r="B392" s="60"/>
      <c r="C392" s="61"/>
      <c r="D392" s="62"/>
      <c r="E392" s="62"/>
      <c r="F392" s="63"/>
      <c r="G392" s="64"/>
      <c r="H392" s="65"/>
      <c r="I392" s="65"/>
      <c r="J392" s="65"/>
      <c r="K392" s="80"/>
      <c r="L392" s="81"/>
      <c r="M392" s="82"/>
      <c r="N392" s="83"/>
      <c r="O392" s="463"/>
      <c r="P392" s="26"/>
    </row>
    <row r="393" spans="1:16" ht="15.75" customHeight="1">
      <c r="A393" s="59"/>
      <c r="B393" s="60"/>
      <c r="C393" s="61"/>
      <c r="D393" s="62"/>
      <c r="E393" s="62"/>
      <c r="F393" s="63"/>
      <c r="G393" s="64"/>
      <c r="H393" s="65"/>
      <c r="I393" s="65"/>
      <c r="J393" s="65"/>
      <c r="K393" s="80"/>
      <c r="L393" s="81"/>
      <c r="M393" s="82"/>
      <c r="N393" s="83"/>
      <c r="O393" s="463"/>
      <c r="P393" s="26"/>
    </row>
    <row r="394" spans="1:16" ht="15.75" customHeight="1">
      <c r="A394" s="59"/>
      <c r="B394" s="60"/>
      <c r="C394" s="61"/>
      <c r="D394" s="62"/>
      <c r="E394" s="62"/>
      <c r="F394" s="63"/>
      <c r="G394" s="64"/>
      <c r="H394" s="65"/>
      <c r="I394" s="65"/>
      <c r="J394" s="65"/>
      <c r="K394" s="80"/>
      <c r="L394" s="81"/>
      <c r="M394" s="82"/>
      <c r="N394" s="83"/>
      <c r="O394" s="463"/>
      <c r="P394" s="26"/>
    </row>
    <row r="395" spans="1:16" ht="15.75" customHeight="1">
      <c r="A395" s="1159"/>
      <c r="B395" s="1160"/>
      <c r="C395" s="1160"/>
      <c r="D395" s="1160"/>
      <c r="E395" s="1160"/>
      <c r="F395" s="1160"/>
      <c r="G395" s="1160"/>
      <c r="H395" s="1160"/>
      <c r="I395" s="1160"/>
      <c r="J395" s="1160"/>
      <c r="K395" s="1160"/>
      <c r="L395" s="1160"/>
      <c r="M395" s="1160"/>
      <c r="N395" s="1160"/>
      <c r="O395" s="1160"/>
      <c r="P395" s="1161"/>
    </row>
    <row r="396" spans="1:16" ht="15.75" customHeight="1">
      <c r="A396" s="59"/>
      <c r="B396" s="60"/>
      <c r="C396" s="61"/>
      <c r="D396" s="62"/>
      <c r="E396" s="62"/>
      <c r="F396" s="63"/>
      <c r="G396" s="64"/>
      <c r="H396" s="65"/>
      <c r="I396" s="65"/>
      <c r="J396" s="65"/>
      <c r="K396" s="80"/>
      <c r="L396" s="81"/>
      <c r="M396" s="82"/>
      <c r="N396" s="83"/>
      <c r="O396" s="463"/>
      <c r="P396" s="26"/>
    </row>
    <row r="397" spans="1:16" ht="15.75" customHeight="1">
      <c r="A397" s="59"/>
      <c r="B397" s="60"/>
      <c r="C397" s="61"/>
      <c r="D397" s="62"/>
      <c r="E397" s="62"/>
      <c r="F397" s="63"/>
      <c r="G397" s="64"/>
      <c r="H397" s="65"/>
      <c r="I397" s="65"/>
      <c r="J397" s="65"/>
      <c r="K397" s="80"/>
      <c r="L397" s="81"/>
      <c r="M397" s="82"/>
      <c r="N397" s="83"/>
      <c r="O397" s="463"/>
      <c r="P397" s="26"/>
    </row>
    <row r="398" spans="1:16" ht="15.75" customHeight="1">
      <c r="A398" s="59"/>
      <c r="B398" s="60"/>
      <c r="C398" s="61"/>
      <c r="D398" s="62"/>
      <c r="E398" s="62"/>
      <c r="F398" s="63"/>
      <c r="G398" s="64"/>
      <c r="H398" s="65"/>
      <c r="I398" s="65"/>
      <c r="J398" s="65"/>
      <c r="K398" s="80"/>
      <c r="L398" s="81"/>
      <c r="M398" s="82"/>
      <c r="N398" s="83"/>
      <c r="O398" s="463"/>
      <c r="P398" s="26"/>
    </row>
    <row r="399" spans="1:16" ht="15.75" customHeight="1">
      <c r="A399" s="59"/>
      <c r="B399" s="60"/>
      <c r="C399" s="61"/>
      <c r="D399" s="62"/>
      <c r="E399" s="62"/>
      <c r="F399" s="63"/>
      <c r="G399" s="64"/>
      <c r="H399" s="65"/>
      <c r="I399" s="65"/>
      <c r="J399" s="65"/>
      <c r="K399" s="80"/>
      <c r="L399" s="81"/>
      <c r="M399" s="82"/>
      <c r="N399" s="83"/>
      <c r="O399" s="463"/>
      <c r="P399" s="26"/>
    </row>
    <row r="400" spans="1:16" ht="15.75" customHeight="1">
      <c r="A400" s="59"/>
      <c r="B400" s="60"/>
      <c r="C400" s="61"/>
      <c r="D400" s="62"/>
      <c r="E400" s="62"/>
      <c r="F400" s="63"/>
      <c r="G400" s="64"/>
      <c r="H400" s="65"/>
      <c r="I400" s="65"/>
      <c r="J400" s="65"/>
      <c r="K400" s="80"/>
      <c r="L400" s="81"/>
      <c r="M400" s="82"/>
      <c r="N400" s="83"/>
      <c r="O400" s="463"/>
      <c r="P400" s="26"/>
    </row>
    <row r="401" spans="1:16" ht="15.75" customHeight="1">
      <c r="A401" s="59"/>
      <c r="B401" s="60"/>
      <c r="C401" s="61"/>
      <c r="D401" s="62"/>
      <c r="E401" s="62"/>
      <c r="F401" s="63"/>
      <c r="G401" s="64"/>
      <c r="H401" s="65"/>
      <c r="I401" s="65"/>
      <c r="J401" s="65"/>
      <c r="K401" s="80"/>
      <c r="L401" s="81"/>
      <c r="M401" s="82"/>
      <c r="N401" s="83"/>
      <c r="O401" s="463"/>
      <c r="P401" s="26"/>
    </row>
    <row r="402" spans="1:16" ht="15.75" customHeight="1">
      <c r="A402" s="59"/>
      <c r="B402" s="60"/>
      <c r="C402" s="61"/>
      <c r="D402" s="62"/>
      <c r="E402" s="62"/>
      <c r="F402" s="63"/>
      <c r="G402" s="64"/>
      <c r="H402" s="65"/>
      <c r="I402" s="65"/>
      <c r="J402" s="65"/>
      <c r="K402" s="80"/>
      <c r="L402" s="81"/>
      <c r="M402" s="82"/>
      <c r="N402" s="83"/>
      <c r="O402" s="463"/>
      <c r="P402" s="26"/>
    </row>
    <row r="403" spans="1:16" ht="15.75" customHeight="1">
      <c r="A403" s="59"/>
      <c r="B403" s="60"/>
      <c r="C403" s="61"/>
      <c r="D403" s="62"/>
      <c r="E403" s="62"/>
      <c r="F403" s="63"/>
      <c r="G403" s="64"/>
      <c r="H403" s="65"/>
      <c r="I403" s="65"/>
      <c r="J403" s="65"/>
      <c r="K403" s="80"/>
      <c r="L403" s="81"/>
      <c r="M403" s="82"/>
      <c r="N403" s="83"/>
      <c r="O403" s="463"/>
      <c r="P403" s="26"/>
    </row>
    <row r="404" spans="1:16" ht="15.75" customHeight="1">
      <c r="A404" s="59"/>
      <c r="B404" s="60"/>
      <c r="C404" s="61"/>
      <c r="D404" s="62"/>
      <c r="E404" s="62"/>
      <c r="F404" s="63"/>
      <c r="G404" s="64"/>
      <c r="H404" s="65"/>
      <c r="I404" s="65"/>
      <c r="J404" s="65"/>
      <c r="K404" s="80"/>
      <c r="L404" s="81"/>
      <c r="M404" s="82"/>
      <c r="N404" s="83"/>
      <c r="O404" s="463"/>
      <c r="P404" s="26"/>
    </row>
    <row r="405" spans="1:16" ht="15.75" customHeight="1">
      <c r="A405" s="59"/>
      <c r="B405" s="60"/>
      <c r="C405" s="61"/>
      <c r="D405" s="62"/>
      <c r="E405" s="62"/>
      <c r="F405" s="63"/>
      <c r="G405" s="64"/>
      <c r="H405" s="65"/>
      <c r="I405" s="65"/>
      <c r="J405" s="65"/>
      <c r="K405" s="80"/>
      <c r="L405" s="81"/>
      <c r="M405" s="82"/>
      <c r="N405" s="83"/>
      <c r="O405" s="463"/>
      <c r="P405" s="26"/>
    </row>
    <row r="406" spans="1:16" ht="15.75" customHeight="1">
      <c r="A406" s="59"/>
      <c r="B406" s="60"/>
      <c r="C406" s="61"/>
      <c r="D406" s="62"/>
      <c r="E406" s="62"/>
      <c r="F406" s="63"/>
      <c r="G406" s="64"/>
      <c r="H406" s="65"/>
      <c r="I406" s="65"/>
      <c r="J406" s="65"/>
      <c r="K406" s="80"/>
      <c r="L406" s="81"/>
      <c r="M406" s="82"/>
      <c r="N406" s="83"/>
      <c r="O406" s="463"/>
      <c r="P406" s="26"/>
    </row>
    <row r="407" spans="1:16" ht="15.75" customHeight="1">
      <c r="A407" s="59"/>
      <c r="B407" s="60"/>
      <c r="C407" s="61"/>
      <c r="D407" s="62"/>
      <c r="E407" s="62"/>
      <c r="F407" s="63"/>
      <c r="G407" s="64"/>
      <c r="H407" s="65"/>
      <c r="I407" s="65"/>
      <c r="J407" s="65"/>
      <c r="K407" s="80"/>
      <c r="L407" s="81"/>
      <c r="M407" s="82"/>
      <c r="N407" s="83"/>
      <c r="O407" s="463"/>
      <c r="P407" s="26"/>
    </row>
    <row r="408" spans="1:16" ht="15.75" customHeight="1">
      <c r="A408" s="59"/>
      <c r="B408" s="60"/>
      <c r="C408" s="61"/>
      <c r="D408" s="62"/>
      <c r="E408" s="62"/>
      <c r="F408" s="63"/>
      <c r="G408" s="64"/>
      <c r="H408" s="65"/>
      <c r="I408" s="65"/>
      <c r="J408" s="65"/>
      <c r="K408" s="80"/>
      <c r="L408" s="81"/>
      <c r="M408" s="82"/>
      <c r="N408" s="83"/>
      <c r="O408" s="463"/>
      <c r="P408" s="26"/>
    </row>
    <row r="409" spans="1:16" ht="15.75" customHeight="1">
      <c r="A409" s="59"/>
      <c r="B409" s="60"/>
      <c r="C409" s="61"/>
      <c r="D409" s="62"/>
      <c r="E409" s="62"/>
      <c r="F409" s="63"/>
      <c r="G409" s="64"/>
      <c r="H409" s="65"/>
      <c r="I409" s="65"/>
      <c r="J409" s="65"/>
      <c r="K409" s="80"/>
      <c r="L409" s="81"/>
      <c r="M409" s="82"/>
      <c r="N409" s="83"/>
      <c r="O409" s="463"/>
      <c r="P409" s="26"/>
    </row>
    <row r="410" spans="1:16" ht="15.75" customHeight="1">
      <c r="A410" s="59"/>
      <c r="B410" s="60"/>
      <c r="C410" s="61"/>
      <c r="D410" s="62"/>
      <c r="E410" s="62"/>
      <c r="F410" s="63"/>
      <c r="G410" s="64"/>
      <c r="H410" s="65"/>
      <c r="I410" s="65"/>
      <c r="J410" s="65"/>
      <c r="K410" s="80"/>
      <c r="L410" s="81"/>
      <c r="M410" s="82"/>
      <c r="N410" s="83"/>
      <c r="O410" s="463"/>
      <c r="P410" s="26"/>
    </row>
    <row r="411" spans="1:16" ht="15.75" customHeight="1">
      <c r="A411" s="59"/>
      <c r="B411" s="60"/>
      <c r="C411" s="61"/>
      <c r="D411" s="62"/>
      <c r="E411" s="62"/>
      <c r="F411" s="63"/>
      <c r="G411" s="64"/>
      <c r="H411" s="65"/>
      <c r="I411" s="65"/>
      <c r="J411" s="65"/>
      <c r="K411" s="80"/>
      <c r="L411" s="81"/>
      <c r="M411" s="82"/>
      <c r="N411" s="83"/>
      <c r="O411" s="463"/>
      <c r="P411" s="26"/>
    </row>
    <row r="412" spans="1:16" ht="15.75" customHeight="1">
      <c r="A412" s="59"/>
      <c r="B412" s="60"/>
      <c r="C412" s="61"/>
      <c r="D412" s="62"/>
      <c r="E412" s="62"/>
      <c r="F412" s="63"/>
      <c r="G412" s="64"/>
      <c r="H412" s="65"/>
      <c r="I412" s="65"/>
      <c r="J412" s="65"/>
      <c r="K412" s="80"/>
      <c r="L412" s="81"/>
      <c r="M412" s="82"/>
      <c r="N412" s="83"/>
      <c r="O412" s="463"/>
      <c r="P412" s="26"/>
    </row>
    <row r="413" spans="1:16" ht="15.75" customHeight="1">
      <c r="A413" s="59"/>
      <c r="B413" s="60"/>
      <c r="C413" s="61"/>
      <c r="D413" s="62"/>
      <c r="E413" s="62"/>
      <c r="F413" s="63"/>
      <c r="G413" s="64"/>
      <c r="H413" s="65"/>
      <c r="I413" s="65"/>
      <c r="J413" s="65"/>
      <c r="K413" s="80"/>
      <c r="L413" s="81"/>
      <c r="M413" s="82"/>
      <c r="N413" s="83"/>
      <c r="O413" s="463"/>
      <c r="P413" s="26"/>
    </row>
    <row r="414" spans="1:16" ht="15.75" customHeight="1">
      <c r="A414" s="59"/>
      <c r="B414" s="60"/>
      <c r="C414" s="61"/>
      <c r="D414" s="62"/>
      <c r="E414" s="62"/>
      <c r="F414" s="63"/>
      <c r="G414" s="64"/>
      <c r="H414" s="65"/>
      <c r="I414" s="65"/>
      <c r="J414" s="65"/>
      <c r="K414" s="80"/>
      <c r="L414" s="81"/>
      <c r="M414" s="82"/>
      <c r="N414" s="83"/>
      <c r="O414" s="463"/>
      <c r="P414" s="26"/>
    </row>
    <row r="415" spans="1:16" ht="15.75" customHeight="1">
      <c r="A415" s="59"/>
      <c r="B415" s="60"/>
      <c r="C415" s="61"/>
      <c r="D415" s="62"/>
      <c r="E415" s="62"/>
      <c r="F415" s="63"/>
      <c r="G415" s="64"/>
      <c r="H415" s="65"/>
      <c r="I415" s="65"/>
      <c r="J415" s="65"/>
      <c r="K415" s="80"/>
      <c r="L415" s="81"/>
      <c r="M415" s="82"/>
      <c r="N415" s="83"/>
      <c r="O415" s="463"/>
      <c r="P415" s="26"/>
    </row>
    <row r="416" spans="1:16" ht="15.75" customHeight="1">
      <c r="A416" s="59"/>
      <c r="B416" s="60"/>
      <c r="C416" s="61"/>
      <c r="D416" s="62"/>
      <c r="E416" s="62"/>
      <c r="F416" s="63"/>
      <c r="G416" s="64"/>
      <c r="H416" s="65"/>
      <c r="I416" s="65"/>
      <c r="J416" s="65"/>
      <c r="K416" s="80"/>
      <c r="L416" s="81"/>
      <c r="M416" s="82"/>
      <c r="N416" s="83"/>
      <c r="O416" s="463"/>
      <c r="P416" s="26"/>
    </row>
    <row r="417" spans="1:16" ht="15.75" customHeight="1">
      <c r="A417" s="59"/>
      <c r="B417" s="60"/>
      <c r="C417" s="61"/>
      <c r="D417" s="62"/>
      <c r="E417" s="62"/>
      <c r="F417" s="63"/>
      <c r="G417" s="64"/>
      <c r="H417" s="65"/>
      <c r="I417" s="65"/>
      <c r="J417" s="65"/>
      <c r="K417" s="80"/>
      <c r="L417" s="81"/>
      <c r="M417" s="82"/>
      <c r="N417" s="83"/>
      <c r="O417" s="463"/>
      <c r="P417" s="26"/>
    </row>
    <row r="418" spans="1:16" ht="15.75" customHeight="1">
      <c r="A418" s="59"/>
      <c r="B418" s="60"/>
      <c r="C418" s="61"/>
      <c r="D418" s="62"/>
      <c r="E418" s="62"/>
      <c r="F418" s="63"/>
      <c r="G418" s="64"/>
      <c r="H418" s="65"/>
      <c r="I418" s="65"/>
      <c r="J418" s="65"/>
      <c r="K418" s="80"/>
      <c r="L418" s="81"/>
      <c r="M418" s="82"/>
      <c r="N418" s="83"/>
      <c r="O418" s="463"/>
      <c r="P418" s="26"/>
    </row>
    <row r="419" spans="1:16" ht="15.75" customHeight="1">
      <c r="A419" s="59"/>
      <c r="B419" s="60"/>
      <c r="C419" s="61"/>
      <c r="D419" s="62"/>
      <c r="E419" s="62"/>
      <c r="F419" s="63"/>
      <c r="G419" s="64"/>
      <c r="H419" s="65"/>
      <c r="I419" s="65"/>
      <c r="J419" s="65"/>
      <c r="K419" s="80"/>
      <c r="L419" s="81"/>
      <c r="M419" s="82"/>
      <c r="N419" s="83"/>
      <c r="O419" s="463"/>
      <c r="P419" s="26"/>
    </row>
    <row r="420" spans="1:16" ht="15.75" customHeight="1">
      <c r="A420" s="59"/>
      <c r="B420" s="60"/>
      <c r="C420" s="61"/>
      <c r="D420" s="62"/>
      <c r="E420" s="62"/>
      <c r="F420" s="63"/>
      <c r="G420" s="64"/>
      <c r="H420" s="65"/>
      <c r="I420" s="65"/>
      <c r="J420" s="65"/>
      <c r="K420" s="80"/>
      <c r="L420" s="81"/>
      <c r="M420" s="82"/>
      <c r="N420" s="83"/>
      <c r="O420" s="463"/>
      <c r="P420" s="26"/>
    </row>
    <row r="421" spans="1:16" ht="15.75" customHeight="1">
      <c r="A421" s="59"/>
      <c r="B421" s="60"/>
      <c r="C421" s="61"/>
      <c r="D421" s="62"/>
      <c r="E421" s="62"/>
      <c r="F421" s="63"/>
      <c r="G421" s="64"/>
      <c r="H421" s="65"/>
      <c r="I421" s="65"/>
      <c r="J421" s="65"/>
      <c r="K421" s="80"/>
      <c r="L421" s="81"/>
      <c r="M421" s="82"/>
      <c r="N421" s="83"/>
      <c r="O421" s="463"/>
      <c r="P421" s="26"/>
    </row>
    <row r="422" spans="1:16" ht="15.75" customHeight="1">
      <c r="A422" s="59"/>
      <c r="B422" s="60"/>
      <c r="C422" s="61"/>
      <c r="D422" s="62"/>
      <c r="E422" s="62"/>
      <c r="F422" s="63"/>
      <c r="G422" s="64"/>
      <c r="H422" s="65"/>
      <c r="I422" s="65"/>
      <c r="J422" s="65"/>
      <c r="K422" s="80"/>
      <c r="L422" s="81"/>
      <c r="M422" s="82"/>
      <c r="N422" s="83"/>
      <c r="O422" s="463"/>
      <c r="P422" s="26"/>
    </row>
    <row r="423" spans="1:16" ht="15.75" customHeight="1">
      <c r="A423" s="59"/>
      <c r="B423" s="60"/>
      <c r="C423" s="61"/>
      <c r="D423" s="62"/>
      <c r="E423" s="62"/>
      <c r="F423" s="63"/>
      <c r="G423" s="64"/>
      <c r="H423" s="65"/>
      <c r="I423" s="65"/>
      <c r="J423" s="65"/>
      <c r="K423" s="80"/>
      <c r="L423" s="81"/>
      <c r="M423" s="82"/>
      <c r="N423" s="83"/>
      <c r="O423" s="463"/>
      <c r="P423" s="26"/>
    </row>
    <row r="424" spans="1:16" ht="15.75" customHeight="1">
      <c r="A424" s="59"/>
      <c r="B424" s="60"/>
      <c r="C424" s="61"/>
      <c r="D424" s="62"/>
      <c r="E424" s="62"/>
      <c r="F424" s="63"/>
      <c r="G424" s="64"/>
      <c r="H424" s="65"/>
      <c r="I424" s="65"/>
      <c r="J424" s="65"/>
      <c r="K424" s="80"/>
      <c r="L424" s="81"/>
      <c r="M424" s="82"/>
      <c r="N424" s="83"/>
      <c r="O424" s="463"/>
      <c r="P424" s="26"/>
    </row>
    <row r="425" spans="1:16" ht="15.75" customHeight="1">
      <c r="A425" s="59"/>
      <c r="B425" s="60"/>
      <c r="C425" s="61"/>
      <c r="D425" s="62"/>
      <c r="E425" s="62"/>
      <c r="F425" s="63"/>
      <c r="G425" s="64"/>
      <c r="H425" s="65"/>
      <c r="I425" s="65"/>
      <c r="J425" s="65"/>
      <c r="K425" s="80"/>
      <c r="L425" s="81"/>
      <c r="M425" s="82"/>
      <c r="N425" s="83"/>
      <c r="O425" s="463"/>
      <c r="P425" s="26"/>
    </row>
    <row r="426" spans="1:16" ht="15.75" customHeight="1">
      <c r="A426" s="59"/>
      <c r="B426" s="60"/>
      <c r="C426" s="61"/>
      <c r="D426" s="62"/>
      <c r="E426" s="62"/>
      <c r="F426" s="63"/>
      <c r="G426" s="64"/>
      <c r="H426" s="65"/>
      <c r="I426" s="65"/>
      <c r="J426" s="65"/>
      <c r="K426" s="80"/>
      <c r="L426" s="81"/>
      <c r="M426" s="82"/>
      <c r="N426" s="83"/>
      <c r="O426" s="463"/>
      <c r="P426" s="26"/>
    </row>
    <row r="427" spans="1:16" ht="15.75" customHeight="1">
      <c r="A427" s="59"/>
      <c r="B427" s="60"/>
      <c r="C427" s="61"/>
      <c r="D427" s="62"/>
      <c r="E427" s="62"/>
      <c r="F427" s="63"/>
      <c r="G427" s="64"/>
      <c r="H427" s="65"/>
      <c r="I427" s="65"/>
      <c r="J427" s="65"/>
      <c r="K427" s="80"/>
      <c r="L427" s="81"/>
      <c r="M427" s="82"/>
      <c r="N427" s="83"/>
      <c r="O427" s="463"/>
      <c r="P427" s="26"/>
    </row>
    <row r="428" spans="1:16" ht="15.75" customHeight="1">
      <c r="A428" s="59"/>
      <c r="B428" s="60"/>
      <c r="C428" s="61"/>
      <c r="D428" s="62"/>
      <c r="E428" s="62"/>
      <c r="F428" s="63"/>
      <c r="G428" s="64"/>
      <c r="H428" s="65"/>
      <c r="I428" s="65"/>
      <c r="J428" s="65"/>
      <c r="K428" s="80"/>
      <c r="L428" s="81"/>
      <c r="M428" s="82"/>
      <c r="N428" s="83"/>
      <c r="O428" s="463"/>
      <c r="P428" s="26"/>
    </row>
    <row r="429" spans="1:16" ht="15.75" customHeight="1">
      <c r="A429" s="59"/>
      <c r="B429" s="60"/>
      <c r="C429" s="61"/>
      <c r="D429" s="62"/>
      <c r="E429" s="62"/>
      <c r="F429" s="63"/>
      <c r="G429" s="64"/>
      <c r="H429" s="65"/>
      <c r="I429" s="65"/>
      <c r="J429" s="65"/>
      <c r="K429" s="80"/>
      <c r="L429" s="81"/>
      <c r="M429" s="82"/>
      <c r="N429" s="83"/>
      <c r="O429" s="463"/>
      <c r="P429" s="26"/>
    </row>
    <row r="430" spans="1:16" ht="15.75" customHeight="1">
      <c r="A430" s="59"/>
      <c r="B430" s="60"/>
      <c r="C430" s="61"/>
      <c r="D430" s="62"/>
      <c r="E430" s="62"/>
      <c r="F430" s="63"/>
      <c r="G430" s="64"/>
      <c r="H430" s="65"/>
      <c r="I430" s="65"/>
      <c r="J430" s="65"/>
      <c r="K430" s="80"/>
      <c r="L430" s="81"/>
      <c r="M430" s="82"/>
      <c r="N430" s="83"/>
      <c r="O430" s="463"/>
      <c r="P430" s="26"/>
    </row>
    <row r="431" spans="1:16" ht="15.75" customHeight="1">
      <c r="A431" s="59"/>
      <c r="B431" s="60"/>
      <c r="C431" s="61"/>
      <c r="D431" s="62"/>
      <c r="E431" s="62"/>
      <c r="F431" s="63"/>
      <c r="G431" s="64"/>
      <c r="H431" s="65"/>
      <c r="I431" s="65"/>
      <c r="J431" s="65"/>
      <c r="K431" s="80"/>
      <c r="L431" s="81"/>
      <c r="M431" s="82"/>
      <c r="N431" s="83"/>
      <c r="O431" s="463"/>
      <c r="P431" s="26"/>
    </row>
    <row r="432" spans="1:16" ht="15.75" customHeight="1">
      <c r="A432" s="59"/>
      <c r="B432" s="60"/>
      <c r="C432" s="61"/>
      <c r="D432" s="62"/>
      <c r="E432" s="62"/>
      <c r="F432" s="63"/>
      <c r="G432" s="64"/>
      <c r="H432" s="65"/>
      <c r="I432" s="65"/>
      <c r="J432" s="65"/>
      <c r="K432" s="80"/>
      <c r="L432" s="81"/>
      <c r="M432" s="82"/>
      <c r="N432" s="83"/>
      <c r="O432" s="463"/>
      <c r="P432" s="26"/>
    </row>
    <row r="433" spans="1:17" ht="15.75" customHeight="1">
      <c r="A433" s="59"/>
      <c r="B433" s="60"/>
      <c r="C433" s="61"/>
      <c r="D433" s="62"/>
      <c r="E433" s="62"/>
      <c r="F433" s="63"/>
      <c r="G433" s="64"/>
      <c r="H433" s="65"/>
      <c r="I433" s="65"/>
      <c r="J433" s="65"/>
      <c r="K433" s="80"/>
      <c r="L433" s="81"/>
      <c r="M433" s="82"/>
      <c r="N433" s="83"/>
      <c r="O433" s="463"/>
      <c r="P433" s="26"/>
    </row>
    <row r="434" spans="1:17" ht="15.75" customHeight="1">
      <c r="A434" s="59"/>
      <c r="B434" s="60"/>
      <c r="C434" s="61"/>
      <c r="D434" s="61"/>
      <c r="E434" s="61"/>
      <c r="F434" s="63"/>
      <c r="G434" s="64"/>
      <c r="H434" s="65"/>
      <c r="I434" s="61"/>
      <c r="J434" s="61"/>
      <c r="K434" s="80"/>
      <c r="L434" s="81"/>
      <c r="M434" s="82"/>
      <c r="N434" s="83"/>
      <c r="O434" s="61"/>
      <c r="P434" s="61"/>
      <c r="Q434" s="61"/>
    </row>
    <row r="435" spans="1:17" ht="15.75" customHeight="1">
      <c r="A435" s="59"/>
      <c r="B435" s="60"/>
      <c r="C435" s="61"/>
      <c r="D435" s="59"/>
      <c r="E435" s="59"/>
      <c r="F435" s="63"/>
      <c r="G435" s="64"/>
      <c r="H435" s="65"/>
      <c r="I435" s="59"/>
      <c r="J435" s="59"/>
      <c r="K435" s="80"/>
      <c r="L435" s="81"/>
      <c r="M435" s="82"/>
      <c r="N435" s="83"/>
      <c r="O435" s="59"/>
      <c r="P435" s="59"/>
    </row>
    <row r="436" spans="1:17" ht="15.75" customHeight="1">
      <c r="A436" s="59"/>
      <c r="B436" s="60"/>
      <c r="C436" s="61"/>
      <c r="D436" s="62"/>
      <c r="E436" s="62"/>
      <c r="F436" s="63"/>
      <c r="G436" s="64"/>
      <c r="H436" s="65"/>
      <c r="I436" s="62"/>
      <c r="J436" s="59"/>
      <c r="K436" s="80"/>
      <c r="L436" s="81"/>
      <c r="M436" s="82"/>
      <c r="N436" s="83"/>
      <c r="O436" s="115"/>
      <c r="P436" s="59"/>
    </row>
    <row r="437" spans="1:17" ht="15.75" customHeight="1">
      <c r="A437" s="59"/>
      <c r="B437" s="60"/>
      <c r="C437" s="61"/>
      <c r="D437" s="62"/>
      <c r="E437" s="62"/>
      <c r="F437" s="63"/>
      <c r="G437" s="64"/>
      <c r="H437" s="65"/>
      <c r="I437" s="62"/>
      <c r="J437" s="59"/>
      <c r="K437" s="80"/>
      <c r="L437" s="81"/>
      <c r="M437" s="82"/>
      <c r="N437" s="83"/>
      <c r="O437" s="115"/>
      <c r="P437" s="59"/>
    </row>
    <row r="438" spans="1:17" ht="15.75" customHeight="1">
      <c r="A438" s="59"/>
      <c r="B438" s="60"/>
      <c r="C438" s="61"/>
      <c r="D438" s="62"/>
      <c r="E438" s="62"/>
      <c r="F438" s="63"/>
      <c r="G438" s="64"/>
      <c r="H438" s="65"/>
      <c r="I438" s="62"/>
      <c r="J438" s="59"/>
      <c r="K438" s="80"/>
      <c r="L438" s="81"/>
      <c r="M438" s="82"/>
      <c r="N438" s="83"/>
      <c r="O438" s="115"/>
      <c r="P438" s="59"/>
    </row>
    <row r="439" spans="1:17" ht="15.75" customHeight="1">
      <c r="A439" s="59"/>
      <c r="B439" s="60"/>
      <c r="C439" s="61"/>
      <c r="D439" s="62"/>
      <c r="E439" s="62"/>
      <c r="F439" s="63"/>
      <c r="G439" s="64"/>
      <c r="H439" s="65"/>
      <c r="I439" s="62"/>
      <c r="J439" s="59"/>
      <c r="K439" s="80"/>
      <c r="L439" s="81"/>
      <c r="M439" s="82"/>
      <c r="N439" s="83"/>
      <c r="O439" s="115"/>
      <c r="P439" s="59"/>
    </row>
    <row r="440" spans="1:17" ht="15.75" customHeight="1">
      <c r="A440" s="59"/>
      <c r="B440" s="60"/>
      <c r="C440" s="61"/>
      <c r="D440" s="62"/>
      <c r="E440" s="62"/>
      <c r="F440" s="63"/>
      <c r="G440" s="64"/>
      <c r="H440" s="65"/>
      <c r="I440" s="62"/>
      <c r="J440" s="59"/>
      <c r="K440" s="80"/>
      <c r="L440" s="81"/>
      <c r="M440" s="82"/>
      <c r="N440" s="83"/>
      <c r="O440" s="115"/>
      <c r="P440" s="59"/>
    </row>
    <row r="441" spans="1:17" ht="15.75" customHeight="1">
      <c r="A441" s="59"/>
      <c r="B441" s="62"/>
      <c r="C441" s="65"/>
      <c r="D441" s="62"/>
      <c r="E441" s="62"/>
      <c r="F441" s="63"/>
      <c r="G441" s="64"/>
      <c r="H441" s="62"/>
      <c r="I441" s="62"/>
      <c r="J441" s="59"/>
      <c r="K441" s="62"/>
      <c r="L441" s="62"/>
      <c r="M441" s="82"/>
      <c r="N441" s="83"/>
      <c r="O441" s="59"/>
      <c r="P441" s="59"/>
      <c r="Q441" s="36"/>
    </row>
    <row r="442" spans="1:17" ht="15.75" customHeight="1">
      <c r="A442" s="59"/>
      <c r="B442" s="60"/>
      <c r="C442" s="61"/>
      <c r="D442" s="62"/>
      <c r="E442" s="62"/>
      <c r="F442" s="63"/>
      <c r="G442" s="64"/>
      <c r="H442" s="65"/>
      <c r="I442" s="27"/>
      <c r="J442" s="26"/>
      <c r="K442" s="80"/>
      <c r="L442" s="80"/>
      <c r="M442" s="82"/>
      <c r="N442" s="83"/>
      <c r="O442" s="463"/>
      <c r="P442" s="26"/>
    </row>
    <row r="443" spans="1:17" ht="15.75" customHeight="1">
      <c r="A443" s="59"/>
      <c r="B443" s="60"/>
      <c r="C443" s="61"/>
      <c r="D443" s="62"/>
      <c r="E443" s="62"/>
      <c r="F443" s="63"/>
      <c r="G443" s="64"/>
      <c r="H443" s="65"/>
      <c r="I443" s="27"/>
      <c r="J443" s="26"/>
      <c r="K443" s="80"/>
      <c r="L443" s="80"/>
      <c r="M443" s="82"/>
      <c r="N443" s="83"/>
      <c r="O443" s="463"/>
      <c r="P443" s="26"/>
    </row>
    <row r="444" spans="1:17" ht="15.75" customHeight="1" thickBot="1">
      <c r="A444" s="85"/>
      <c r="B444" s="86"/>
      <c r="C444" s="87"/>
      <c r="D444" s="88"/>
      <c r="E444" s="88"/>
      <c r="F444" s="89"/>
      <c r="G444" s="90"/>
      <c r="H444" s="91"/>
      <c r="I444" s="94"/>
      <c r="J444" s="95"/>
      <c r="K444" s="96"/>
      <c r="L444" s="97"/>
      <c r="M444" s="98"/>
      <c r="N444" s="99"/>
      <c r="O444" s="580"/>
      <c r="P444" s="26"/>
    </row>
    <row r="445" spans="1:17">
      <c r="A445" s="34"/>
      <c r="B445" s="34"/>
      <c r="C445" s="34"/>
      <c r="D445" s="34"/>
      <c r="E445" s="34"/>
      <c r="F445" s="34"/>
      <c r="G445" s="35"/>
      <c r="H445" s="34"/>
      <c r="I445" s="34"/>
      <c r="J445" s="34"/>
      <c r="K445" s="34"/>
      <c r="L445" s="35"/>
      <c r="M445" s="100"/>
      <c r="N445" s="34"/>
      <c r="O445" s="581"/>
      <c r="P445" s="34"/>
    </row>
    <row r="446" spans="1:17">
      <c r="A446" s="34"/>
      <c r="B446" s="34"/>
      <c r="C446" s="34"/>
      <c r="D446" s="34"/>
      <c r="E446" s="34"/>
      <c r="F446" s="34"/>
      <c r="G446" s="35"/>
      <c r="H446" s="34"/>
      <c r="I446" s="34"/>
      <c r="J446" s="34"/>
      <c r="K446" s="34"/>
      <c r="L446" s="34"/>
      <c r="M446" s="100"/>
      <c r="N446" s="36" t="s">
        <v>364</v>
      </c>
      <c r="O446" s="581"/>
      <c r="P446" s="36"/>
    </row>
    <row r="447" spans="1:17">
      <c r="A447" s="34"/>
      <c r="B447" s="34"/>
      <c r="C447" s="34"/>
      <c r="D447" s="34"/>
      <c r="E447" s="34"/>
      <c r="F447" s="34"/>
      <c r="G447" s="35"/>
      <c r="H447" s="34"/>
      <c r="I447" s="34"/>
      <c r="J447" s="34"/>
      <c r="K447" s="34"/>
      <c r="L447" s="34"/>
      <c r="M447" s="100"/>
      <c r="N447" s="36"/>
      <c r="O447" s="581"/>
      <c r="P447" s="36"/>
    </row>
    <row r="448" spans="1:17">
      <c r="A448" s="34"/>
      <c r="B448" s="34"/>
      <c r="C448" s="36" t="s">
        <v>32</v>
      </c>
      <c r="D448" s="34"/>
      <c r="E448" s="34"/>
      <c r="F448" s="34"/>
      <c r="G448" s="35"/>
      <c r="H448" s="34"/>
      <c r="K448" s="34"/>
      <c r="L448" s="34"/>
      <c r="M448" s="100"/>
      <c r="N448" s="36" t="s">
        <v>362</v>
      </c>
      <c r="O448" s="581"/>
      <c r="P448" s="36"/>
    </row>
    <row r="449" spans="1:16">
      <c r="A449" s="34"/>
      <c r="B449" s="34"/>
      <c r="C449" s="36"/>
      <c r="D449" s="34"/>
      <c r="E449" s="34"/>
      <c r="F449" s="34"/>
      <c r="G449" s="35"/>
      <c r="H449" s="34"/>
      <c r="K449" s="34"/>
      <c r="L449" s="34"/>
      <c r="M449" s="100"/>
      <c r="N449" s="36"/>
      <c r="O449" s="581"/>
      <c r="P449" s="36"/>
    </row>
    <row r="450" spans="1:16">
      <c r="A450" s="34"/>
      <c r="B450" s="34"/>
      <c r="C450" s="36"/>
      <c r="D450" s="34"/>
      <c r="E450" s="34"/>
      <c r="F450" s="34"/>
      <c r="G450" s="35"/>
      <c r="H450" s="34"/>
      <c r="K450" s="34"/>
      <c r="L450" s="34"/>
      <c r="M450" s="100"/>
      <c r="N450" s="36"/>
      <c r="O450" s="581"/>
      <c r="P450" s="36"/>
    </row>
    <row r="451" spans="1:16" ht="15" customHeight="1">
      <c r="A451" s="34"/>
      <c r="B451" s="34"/>
      <c r="C451" s="36"/>
      <c r="D451" s="34"/>
      <c r="E451" s="34"/>
      <c r="F451" s="34"/>
      <c r="G451" s="35"/>
      <c r="H451" s="34"/>
      <c r="K451" s="34"/>
      <c r="L451" s="34"/>
      <c r="M451" s="100"/>
      <c r="N451" s="36"/>
      <c r="O451" s="581"/>
      <c r="P451" s="36"/>
    </row>
    <row r="452" spans="1:16">
      <c r="A452" s="34"/>
      <c r="B452" s="34"/>
      <c r="C452" s="37" t="s">
        <v>33</v>
      </c>
      <c r="D452" s="34"/>
      <c r="E452" s="34"/>
      <c r="F452" s="34"/>
      <c r="G452" s="35"/>
      <c r="H452" s="34"/>
      <c r="K452" s="38"/>
      <c r="L452" s="38"/>
      <c r="M452" s="101"/>
      <c r="N452" s="37" t="s">
        <v>360</v>
      </c>
      <c r="O452" s="581"/>
      <c r="P452" s="37"/>
    </row>
    <row r="453" spans="1:16">
      <c r="A453" s="92"/>
      <c r="B453" s="92"/>
      <c r="C453" s="36" t="s">
        <v>34</v>
      </c>
      <c r="D453" s="92"/>
      <c r="E453" s="92"/>
      <c r="F453" s="92"/>
      <c r="G453" s="93"/>
      <c r="H453" s="92"/>
      <c r="K453" s="92"/>
      <c r="L453" s="92"/>
      <c r="M453" s="102"/>
      <c r="N453" s="36" t="s">
        <v>361</v>
      </c>
      <c r="O453" s="581"/>
      <c r="P453" s="36"/>
    </row>
    <row r="454" spans="1:16">
      <c r="O454" s="581"/>
    </row>
    <row r="461" spans="1:16" ht="15" customHeight="1"/>
    <row r="485" ht="15" customHeight="1"/>
    <row r="491" ht="15" customHeight="1"/>
    <row r="509" ht="15" customHeight="1"/>
    <row r="515" ht="15" customHeight="1"/>
    <row r="516" ht="15" customHeight="1"/>
    <row r="533" ht="15" customHeight="1"/>
    <row r="557" ht="15" customHeight="1"/>
    <row r="590" ht="15" customHeight="1"/>
    <row r="593" ht="15" customHeight="1"/>
    <row r="602" ht="15" customHeight="1"/>
    <row r="614" ht="15" customHeight="1"/>
    <row r="617" ht="15" customHeight="1"/>
    <row r="626" ht="15" customHeight="1"/>
    <row r="638" ht="15" customHeight="1"/>
    <row r="641" ht="15" customHeight="1"/>
    <row r="662" ht="15" customHeight="1"/>
    <row r="665" ht="15" customHeight="1"/>
    <row r="686" ht="15" customHeight="1"/>
    <row r="689" ht="15" customHeight="1"/>
    <row r="710" ht="15" customHeight="1"/>
    <row r="713" ht="15" customHeight="1"/>
    <row r="734" ht="15" customHeight="1"/>
    <row r="737" ht="15" customHeight="1"/>
    <row r="758" ht="15" customHeight="1"/>
    <row r="761" ht="15" customHeight="1"/>
    <row r="782" ht="15" customHeight="1"/>
    <row r="785" ht="15" customHeight="1"/>
    <row r="806" ht="15" customHeight="1"/>
    <row r="809" ht="15" customHeight="1"/>
    <row r="830" ht="15" customHeight="1"/>
    <row r="833" ht="15" customHeight="1"/>
    <row r="854" ht="15" customHeight="1"/>
    <row r="857" ht="15" customHeight="1"/>
    <row r="878" ht="15" customHeight="1"/>
    <row r="880" ht="15" customHeight="1"/>
    <row r="881" ht="15" customHeight="1"/>
    <row r="902" ht="15" customHeight="1"/>
    <row r="904" ht="15" customHeight="1"/>
    <row r="926" ht="15" customHeight="1"/>
    <row r="950" ht="15" customHeight="1"/>
    <row r="974" ht="15" customHeight="1"/>
    <row r="1021" ht="15" customHeight="1"/>
    <row r="1045" ht="15" customHeight="1"/>
    <row r="1069" ht="15" customHeight="1"/>
    <row r="1093" ht="15" customHeight="1"/>
    <row r="1117" ht="15" customHeight="1"/>
    <row r="1141" ht="15" customHeight="1"/>
    <row r="1165" ht="15" customHeight="1"/>
    <row r="1189" ht="15" customHeight="1"/>
    <row r="1213" ht="15" customHeight="1"/>
    <row r="1237" ht="15" customHeight="1"/>
    <row r="1261" ht="15" customHeight="1"/>
    <row r="1285" ht="15" customHeight="1"/>
    <row r="1315" ht="15" customHeight="1"/>
    <row r="1339" ht="15" customHeight="1"/>
    <row r="1363" ht="15" customHeight="1"/>
    <row r="1387" ht="15" customHeight="1"/>
  </sheetData>
  <mergeCells count="26">
    <mergeCell ref="A6:P6"/>
    <mergeCell ref="B8:J8"/>
    <mergeCell ref="K8:O8"/>
    <mergeCell ref="I9:J9"/>
    <mergeCell ref="F11:G11"/>
    <mergeCell ref="M11:N11"/>
    <mergeCell ref="O9:O10"/>
    <mergeCell ref="P9:P10"/>
    <mergeCell ref="F9:G10"/>
    <mergeCell ref="M9:N10"/>
    <mergeCell ref="A9:A10"/>
    <mergeCell ref="B9:B10"/>
    <mergeCell ref="C9:C10"/>
    <mergeCell ref="D9:D10"/>
    <mergeCell ref="E9:E10"/>
    <mergeCell ref="H9:H10"/>
    <mergeCell ref="K9:K10"/>
    <mergeCell ref="L9:L10"/>
    <mergeCell ref="A13:P13"/>
    <mergeCell ref="A209:P209"/>
    <mergeCell ref="A246:P246"/>
    <mergeCell ref="A252:P252"/>
    <mergeCell ref="A299:P299"/>
    <mergeCell ref="A338:P338"/>
    <mergeCell ref="A342:P342"/>
    <mergeCell ref="A395:P395"/>
  </mergeCells>
  <printOptions horizontalCentered="1"/>
  <pageMargins left="0.19685039370078741" right="0.19685039370078741" top="0.19685039370078741" bottom="0.19685039370078741" header="0.11811023622047245" footer="0.15748031496062992"/>
  <pageSetup paperSize="119" scale="7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14"/>
  </sheetPr>
  <dimension ref="A1:I48"/>
  <sheetViews>
    <sheetView view="pageBreakPreview" topLeftCell="A4" zoomScale="90" workbookViewId="0">
      <selection activeCell="B43" sqref="B43"/>
    </sheetView>
  </sheetViews>
  <sheetFormatPr defaultColWidth="9" defaultRowHeight="15"/>
  <cols>
    <col min="1" max="1" width="15.7109375" customWidth="1"/>
    <col min="2" max="2" width="14" customWidth="1"/>
    <col min="3" max="3" width="25.28515625" customWidth="1"/>
    <col min="4" max="4" width="9.5703125" customWidth="1"/>
    <col min="5" max="5" width="14" customWidth="1"/>
    <col min="6" max="6" width="21.140625" customWidth="1"/>
    <col min="7" max="7" width="15.140625" customWidth="1"/>
    <col min="8" max="8" width="4" customWidth="1"/>
    <col min="9" max="9" width="16.85546875" customWidth="1"/>
    <col min="10" max="10" width="15.140625" customWidth="1"/>
  </cols>
  <sheetData>
    <row r="1" spans="1:9" ht="15.75">
      <c r="B1" s="8"/>
      <c r="C1" s="8"/>
      <c r="D1" s="8"/>
      <c r="E1" s="8"/>
      <c r="F1" s="8"/>
      <c r="G1" s="9" t="s">
        <v>214</v>
      </c>
      <c r="I1" s="39"/>
    </row>
    <row r="2" spans="1:9" ht="15.75">
      <c r="B2" s="8"/>
      <c r="C2" s="8"/>
      <c r="D2" s="8"/>
      <c r="E2" s="8"/>
      <c r="F2" s="8"/>
      <c r="G2" s="9"/>
      <c r="I2" s="39"/>
    </row>
    <row r="3" spans="1:9" ht="15.75">
      <c r="B3" s="8"/>
      <c r="C3" s="8"/>
      <c r="D3" s="8"/>
      <c r="E3" s="8"/>
      <c r="F3" s="8"/>
      <c r="G3" s="9"/>
      <c r="I3" s="39"/>
    </row>
    <row r="4" spans="1:9" ht="15.75">
      <c r="A4" s="8" t="s">
        <v>47</v>
      </c>
      <c r="B4" s="10" t="s">
        <v>90</v>
      </c>
      <c r="C4" s="8"/>
      <c r="D4" s="8"/>
      <c r="E4" s="8"/>
      <c r="F4" s="8" t="s">
        <v>38</v>
      </c>
      <c r="G4" s="11"/>
      <c r="I4" s="39"/>
    </row>
    <row r="5" spans="1:9" ht="15.75">
      <c r="A5" s="8" t="s">
        <v>49</v>
      </c>
      <c r="B5" s="10" t="s">
        <v>50</v>
      </c>
      <c r="C5" s="8"/>
      <c r="D5" s="8"/>
      <c r="E5" s="8"/>
      <c r="F5" s="8"/>
      <c r="G5" s="11"/>
      <c r="I5" s="39"/>
    </row>
    <row r="6" spans="1:9" ht="15.75">
      <c r="A6" s="8"/>
      <c r="B6" s="10"/>
      <c r="C6" s="8"/>
      <c r="D6" s="8"/>
      <c r="E6" s="8"/>
      <c r="F6" s="8"/>
      <c r="G6" s="11"/>
      <c r="I6" s="39"/>
    </row>
    <row r="7" spans="1:9" ht="18.75" customHeight="1">
      <c r="A7" s="1140" t="s">
        <v>215</v>
      </c>
      <c r="B7" s="1140"/>
      <c r="C7" s="1140"/>
      <c r="D7" s="1140"/>
      <c r="E7" s="1140"/>
      <c r="F7" s="1140"/>
      <c r="G7" s="1140"/>
      <c r="H7" s="13"/>
      <c r="I7" s="13"/>
    </row>
    <row r="8" spans="1:9" ht="18.75">
      <c r="B8" s="12"/>
      <c r="C8" s="12"/>
      <c r="D8" s="12"/>
      <c r="E8" s="12"/>
      <c r="F8" s="12"/>
      <c r="G8" s="12"/>
      <c r="I8" s="39"/>
    </row>
    <row r="9" spans="1:9" ht="15.75">
      <c r="B9" s="8"/>
      <c r="C9" s="8"/>
      <c r="D9" s="8"/>
      <c r="E9" s="8"/>
      <c r="F9" s="8"/>
      <c r="G9" s="8"/>
      <c r="I9" s="39"/>
    </row>
    <row r="10" spans="1:9" ht="58.5" customHeight="1">
      <c r="A10" s="14" t="s">
        <v>216</v>
      </c>
      <c r="B10" s="15" t="s">
        <v>217</v>
      </c>
      <c r="C10" s="15" t="s">
        <v>218</v>
      </c>
      <c r="D10" s="15" t="s">
        <v>141</v>
      </c>
      <c r="E10" s="16" t="s">
        <v>138</v>
      </c>
      <c r="F10" s="17" t="s">
        <v>140</v>
      </c>
      <c r="G10" s="18" t="s">
        <v>42</v>
      </c>
      <c r="I10" s="39"/>
    </row>
    <row r="11" spans="1:9">
      <c r="A11" s="19">
        <v>1</v>
      </c>
      <c r="B11" s="20">
        <v>2</v>
      </c>
      <c r="C11" s="20">
        <v>3</v>
      </c>
      <c r="D11" s="20">
        <v>4</v>
      </c>
      <c r="E11" s="20">
        <v>5</v>
      </c>
      <c r="F11" s="21">
        <v>6</v>
      </c>
      <c r="G11" s="20">
        <v>7</v>
      </c>
      <c r="I11" s="39"/>
    </row>
    <row r="12" spans="1:9">
      <c r="A12" s="22"/>
      <c r="B12" s="23"/>
      <c r="C12" s="23"/>
      <c r="D12" s="23"/>
      <c r="E12" s="23"/>
      <c r="F12" s="24"/>
      <c r="G12" s="23"/>
      <c r="I12" s="39"/>
    </row>
    <row r="13" spans="1:9">
      <c r="A13" s="25"/>
      <c r="B13" s="26"/>
      <c r="C13" s="27"/>
      <c r="D13" s="28"/>
      <c r="E13" s="29"/>
      <c r="F13" s="30"/>
      <c r="G13" s="26"/>
      <c r="I13" s="40" t="s">
        <v>219</v>
      </c>
    </row>
    <row r="14" spans="1:9">
      <c r="A14" s="25"/>
      <c r="B14" s="26"/>
      <c r="C14" s="27"/>
      <c r="D14" s="28"/>
      <c r="E14" s="29"/>
      <c r="F14" s="30"/>
      <c r="G14" s="26"/>
      <c r="I14" s="40"/>
    </row>
    <row r="15" spans="1:9">
      <c r="A15" s="25"/>
      <c r="B15" s="26"/>
      <c r="C15" s="27"/>
      <c r="D15" s="28"/>
      <c r="E15" s="29"/>
      <c r="F15" s="30"/>
      <c r="G15" s="26"/>
      <c r="I15" s="40"/>
    </row>
    <row r="16" spans="1:9">
      <c r="A16" s="25"/>
      <c r="B16" s="26"/>
      <c r="C16" s="27"/>
      <c r="D16" s="28"/>
      <c r="E16" s="29"/>
      <c r="F16" s="30"/>
      <c r="G16" s="26"/>
      <c r="I16" s="40"/>
    </row>
    <row r="17" spans="1:9">
      <c r="A17" s="25"/>
      <c r="B17" s="26"/>
      <c r="C17" s="27"/>
      <c r="D17" s="28"/>
      <c r="E17" s="29"/>
      <c r="F17" s="30"/>
      <c r="G17" s="26"/>
      <c r="I17" s="40"/>
    </row>
    <row r="18" spans="1:9">
      <c r="A18" s="25"/>
      <c r="B18" s="26"/>
      <c r="C18" s="27"/>
      <c r="D18" s="28"/>
      <c r="E18" s="29"/>
      <c r="F18" s="30"/>
      <c r="G18" s="26"/>
      <c r="I18" s="40"/>
    </row>
    <row r="19" spans="1:9">
      <c r="A19" s="25"/>
      <c r="B19" s="26"/>
      <c r="C19" s="27"/>
      <c r="D19" s="28"/>
      <c r="E19" s="29"/>
      <c r="F19" s="30"/>
      <c r="G19" s="26"/>
      <c r="I19" s="40"/>
    </row>
    <row r="20" spans="1:9">
      <c r="A20" s="25"/>
      <c r="B20" s="26"/>
      <c r="C20" s="27"/>
      <c r="D20" s="28"/>
      <c r="E20" s="29"/>
      <c r="F20" s="30"/>
      <c r="G20" s="26"/>
      <c r="I20" s="40"/>
    </row>
    <row r="21" spans="1:9">
      <c r="A21" s="25"/>
      <c r="B21" s="26"/>
      <c r="C21" s="27"/>
      <c r="D21" s="28"/>
      <c r="E21" s="29"/>
      <c r="F21" s="30"/>
      <c r="G21" s="26"/>
      <c r="I21" s="40"/>
    </row>
    <row r="22" spans="1:9">
      <c r="A22" s="25"/>
      <c r="B22" s="26"/>
      <c r="C22" s="27"/>
      <c r="D22" s="28"/>
      <c r="E22" s="29"/>
      <c r="F22" s="30"/>
      <c r="G22" s="26"/>
      <c r="I22" s="40"/>
    </row>
    <row r="23" spans="1:9">
      <c r="A23" s="31"/>
      <c r="B23" s="32"/>
      <c r="C23" s="32"/>
      <c r="D23" s="32"/>
      <c r="E23" s="32"/>
      <c r="F23" s="33"/>
      <c r="G23" s="32"/>
      <c r="I23" s="39"/>
    </row>
    <row r="24" spans="1:9">
      <c r="B24" s="34"/>
      <c r="C24" s="34"/>
      <c r="D24" s="34"/>
      <c r="E24" s="34"/>
      <c r="F24" s="34"/>
      <c r="G24" s="34"/>
      <c r="I24" s="39"/>
    </row>
    <row r="25" spans="1:9" ht="15.75">
      <c r="A25" s="10" t="s">
        <v>220</v>
      </c>
      <c r="C25" s="34"/>
      <c r="D25" s="34"/>
      <c r="E25" s="34"/>
      <c r="F25" s="34"/>
      <c r="G25" s="34"/>
      <c r="I25" s="39"/>
    </row>
    <row r="26" spans="1:9" ht="15.75">
      <c r="A26" s="35" t="s">
        <v>221</v>
      </c>
      <c r="B26" s="10"/>
      <c r="D26" s="34"/>
      <c r="E26" s="34"/>
      <c r="F26" s="35" t="s">
        <v>222</v>
      </c>
      <c r="G26" s="34"/>
      <c r="I26" s="39"/>
    </row>
    <row r="27" spans="1:9" ht="15.75">
      <c r="A27" s="35"/>
      <c r="B27" s="10"/>
      <c r="D27" s="34"/>
      <c r="E27" s="34"/>
      <c r="F27" s="36"/>
      <c r="G27" s="34"/>
      <c r="I27" s="39"/>
    </row>
    <row r="28" spans="1:9" ht="15.75">
      <c r="A28" s="35"/>
      <c r="B28" s="10"/>
      <c r="D28" s="34"/>
      <c r="E28" s="34"/>
      <c r="F28" s="36"/>
      <c r="G28" s="34"/>
      <c r="I28" s="39"/>
    </row>
    <row r="29" spans="1:9">
      <c r="B29" s="34"/>
      <c r="D29" s="34"/>
      <c r="E29" s="34"/>
      <c r="F29" s="36" t="s">
        <v>223</v>
      </c>
      <c r="G29" s="36"/>
      <c r="I29" s="39"/>
    </row>
    <row r="30" spans="1:9">
      <c r="A30" s="36" t="s">
        <v>224</v>
      </c>
      <c r="B30" s="36"/>
      <c r="D30" s="34"/>
      <c r="F30" s="36" t="s">
        <v>225</v>
      </c>
      <c r="G30" s="34"/>
      <c r="I30" s="39"/>
    </row>
    <row r="31" spans="1:9">
      <c r="B31" s="36"/>
      <c r="D31" s="34"/>
      <c r="F31" s="36"/>
      <c r="G31" s="34"/>
      <c r="I31" s="39"/>
    </row>
    <row r="32" spans="1:9">
      <c r="B32" s="36"/>
      <c r="D32" s="34"/>
      <c r="E32" s="34"/>
      <c r="F32" s="36"/>
      <c r="G32" s="36"/>
      <c r="I32" s="39"/>
    </row>
    <row r="33" spans="1:9">
      <c r="A33" t="s">
        <v>226</v>
      </c>
      <c r="B33" s="36"/>
      <c r="D33" s="34"/>
      <c r="E33" t="s">
        <v>226</v>
      </c>
      <c r="F33" s="36"/>
      <c r="G33" s="36"/>
      <c r="I33" s="39"/>
    </row>
    <row r="34" spans="1:9">
      <c r="B34" s="36"/>
      <c r="D34" s="34"/>
      <c r="F34" s="36"/>
      <c r="G34" s="36"/>
      <c r="I34" s="39"/>
    </row>
    <row r="35" spans="1:9">
      <c r="A35" t="s">
        <v>201</v>
      </c>
      <c r="B35" s="37"/>
      <c r="D35" s="38"/>
      <c r="E35" t="s">
        <v>201</v>
      </c>
      <c r="F35" s="37"/>
      <c r="G35" s="38"/>
      <c r="I35" s="39"/>
    </row>
    <row r="36" spans="1:9">
      <c r="A36" t="s">
        <v>227</v>
      </c>
      <c r="B36" s="36"/>
      <c r="D36" s="34"/>
      <c r="E36" t="s">
        <v>227</v>
      </c>
      <c r="F36" s="36"/>
      <c r="G36" s="34"/>
      <c r="I36" s="39"/>
    </row>
    <row r="37" spans="1:9">
      <c r="A37" t="s">
        <v>228</v>
      </c>
      <c r="B37" s="36"/>
      <c r="D37" s="34"/>
      <c r="E37" t="s">
        <v>228</v>
      </c>
      <c r="F37" s="36"/>
      <c r="G37" s="34"/>
      <c r="I37" s="39"/>
    </row>
    <row r="38" spans="1:9">
      <c r="B38" s="36"/>
      <c r="D38" s="34"/>
      <c r="E38" s="34"/>
      <c r="F38" s="36"/>
      <c r="G38" s="34"/>
      <c r="I38" s="39"/>
    </row>
    <row r="39" spans="1:9">
      <c r="A39" s="1250" t="s">
        <v>229</v>
      </c>
      <c r="B39" s="1250"/>
      <c r="C39" s="1250"/>
      <c r="D39" s="1250"/>
      <c r="E39" s="1250"/>
      <c r="F39" s="1250"/>
      <c r="G39" s="1250"/>
      <c r="I39" s="39"/>
    </row>
    <row r="40" spans="1:9">
      <c r="A40" s="1250" t="s">
        <v>230</v>
      </c>
      <c r="B40" s="1250"/>
      <c r="C40" s="1250"/>
      <c r="D40" s="1250"/>
      <c r="E40" s="1250"/>
      <c r="F40" s="1250"/>
      <c r="G40" s="1250"/>
      <c r="I40" s="39"/>
    </row>
    <row r="41" spans="1:9">
      <c r="A41" s="1250" t="s">
        <v>231</v>
      </c>
      <c r="B41" s="1250"/>
      <c r="C41" s="1250"/>
      <c r="D41" s="1250"/>
      <c r="E41" s="1250"/>
      <c r="F41" s="1250"/>
      <c r="G41" s="1250"/>
      <c r="I41" s="39"/>
    </row>
    <row r="42" spans="1:9">
      <c r="B42" s="36"/>
      <c r="D42" s="34"/>
      <c r="E42" s="34"/>
      <c r="F42" s="36"/>
      <c r="G42" s="34"/>
      <c r="I42" s="39"/>
    </row>
    <row r="43" spans="1:9">
      <c r="B43" s="36"/>
      <c r="D43" s="34"/>
      <c r="E43" s="34"/>
      <c r="F43" s="36"/>
      <c r="G43" s="34"/>
      <c r="I43" s="39"/>
    </row>
    <row r="44" spans="1:9">
      <c r="B44" s="36"/>
      <c r="C44" t="s">
        <v>232</v>
      </c>
      <c r="D44" s="34"/>
      <c r="E44" s="34"/>
      <c r="F44" s="36"/>
      <c r="G44" s="34"/>
      <c r="I44" s="39"/>
    </row>
    <row r="45" spans="1:9">
      <c r="B45" s="36"/>
      <c r="D45" s="34"/>
      <c r="E45" s="34"/>
      <c r="F45" s="36"/>
      <c r="G45" s="34"/>
      <c r="I45" s="39"/>
    </row>
    <row r="46" spans="1:9">
      <c r="B46" s="36"/>
      <c r="C46" t="s">
        <v>233</v>
      </c>
      <c r="D46" s="34"/>
      <c r="E46" s="34"/>
      <c r="F46" s="36"/>
      <c r="G46" s="34"/>
      <c r="I46" s="39"/>
    </row>
    <row r="47" spans="1:9">
      <c r="B47" s="36"/>
      <c r="C47" t="s">
        <v>234</v>
      </c>
      <c r="D47" s="34"/>
      <c r="E47" s="34"/>
      <c r="F47" s="36"/>
      <c r="G47" s="34"/>
      <c r="I47" s="39"/>
    </row>
    <row r="48" spans="1:9">
      <c r="B48" s="36"/>
      <c r="C48" t="s">
        <v>235</v>
      </c>
      <c r="D48" s="34"/>
      <c r="E48" s="34"/>
      <c r="F48" s="36"/>
      <c r="G48" s="34"/>
      <c r="I48" s="39"/>
    </row>
  </sheetData>
  <mergeCells count="4">
    <mergeCell ref="A7:G7"/>
    <mergeCell ref="A39:G39"/>
    <mergeCell ref="A40:G40"/>
    <mergeCell ref="A41:G41"/>
  </mergeCells>
  <printOptions horizontalCentered="1"/>
  <pageMargins left="0.43" right="0.43" top="0.65" bottom="0.57999999999999996" header="0.31" footer="0.31"/>
  <pageSetup paperSize="9" scale="8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0"/>
  <sheetViews>
    <sheetView workbookViewId="0">
      <selection activeCell="I8" sqref="I8"/>
    </sheetView>
  </sheetViews>
  <sheetFormatPr defaultColWidth="9.140625" defaultRowHeight="15"/>
  <cols>
    <col min="1" max="1" width="10.85546875" customWidth="1"/>
    <col min="2" max="2" width="14.42578125" customWidth="1"/>
    <col min="3" max="3" width="19.7109375" customWidth="1"/>
    <col min="4" max="4" width="16" customWidth="1"/>
    <col min="5" max="5" width="14.42578125" customWidth="1"/>
    <col min="6" max="6" width="18" customWidth="1"/>
    <col min="7" max="8" width="9.140625" customWidth="1"/>
    <col min="9" max="9" width="25.85546875" customWidth="1"/>
    <col min="11" max="11" width="18.28515625" customWidth="1"/>
    <col min="12" max="12" width="2.140625" customWidth="1"/>
    <col min="13" max="13" width="19.85546875" customWidth="1"/>
  </cols>
  <sheetData>
    <row r="1" spans="1:13">
      <c r="B1" s="1" t="s">
        <v>236</v>
      </c>
      <c r="C1" s="1" t="s">
        <v>237</v>
      </c>
      <c r="D1" s="1" t="s">
        <v>212</v>
      </c>
      <c r="E1" s="1" t="s">
        <v>238</v>
      </c>
    </row>
    <row r="2" spans="1:13">
      <c r="B2" s="1">
        <v>7650</v>
      </c>
      <c r="C2" s="1">
        <v>9000</v>
      </c>
      <c r="D2" s="1">
        <v>10200</v>
      </c>
      <c r="E2" s="1">
        <v>7650</v>
      </c>
    </row>
    <row r="3" spans="1:13">
      <c r="B3" s="1"/>
      <c r="C3" s="2"/>
      <c r="D3" s="2"/>
      <c r="E3" s="1"/>
    </row>
    <row r="4" spans="1:13" ht="15.75">
      <c r="B4" s="3">
        <v>53550</v>
      </c>
      <c r="C4" s="3">
        <v>243000</v>
      </c>
      <c r="D4" s="3">
        <v>1468800</v>
      </c>
      <c r="E4" s="3"/>
      <c r="K4" s="478"/>
      <c r="M4" s="103"/>
    </row>
    <row r="5" spans="1:13" ht="15.75">
      <c r="B5" s="3"/>
      <c r="C5" s="3">
        <v>126000</v>
      </c>
      <c r="D5" s="3">
        <v>367200</v>
      </c>
      <c r="E5" s="3"/>
      <c r="K5" s="478"/>
      <c r="M5" s="475"/>
    </row>
    <row r="6" spans="1:13" ht="15.75">
      <c r="B6" s="3"/>
      <c r="C6" s="3">
        <v>162000</v>
      </c>
      <c r="D6" s="3">
        <v>367200</v>
      </c>
      <c r="E6" s="3"/>
      <c r="K6" s="478"/>
      <c r="M6" s="479"/>
    </row>
    <row r="7" spans="1:13" ht="18.75">
      <c r="B7" s="3"/>
      <c r="C7" s="3">
        <v>288000</v>
      </c>
      <c r="D7" s="3"/>
      <c r="E7" s="3"/>
      <c r="I7" s="473"/>
      <c r="K7" s="478"/>
      <c r="M7" s="475"/>
    </row>
    <row r="8" spans="1:13" ht="18.75">
      <c r="B8" s="3"/>
      <c r="C8" s="3"/>
      <c r="D8" s="3"/>
      <c r="E8" s="3"/>
      <c r="I8" s="474"/>
      <c r="K8" s="478"/>
      <c r="M8" s="475"/>
    </row>
    <row r="9" spans="1:13" ht="15.75">
      <c r="B9" s="3"/>
      <c r="C9" s="3"/>
      <c r="D9" s="3"/>
      <c r="E9" s="3"/>
      <c r="I9" s="472"/>
      <c r="K9" s="478"/>
      <c r="M9" s="475"/>
    </row>
    <row r="10" spans="1:13" ht="15.75">
      <c r="B10" s="3"/>
      <c r="C10" s="3"/>
      <c r="D10" s="3"/>
      <c r="E10" s="3"/>
      <c r="I10" s="481"/>
      <c r="K10" s="478"/>
      <c r="M10" s="103"/>
    </row>
    <row r="11" spans="1:13" ht="15.75">
      <c r="B11" s="3"/>
      <c r="C11" s="3"/>
      <c r="D11" s="3"/>
      <c r="E11" s="3"/>
      <c r="K11" s="478"/>
      <c r="M11" s="475"/>
    </row>
    <row r="12" spans="1:13" ht="15.75">
      <c r="B12" s="3"/>
      <c r="C12" s="3"/>
      <c r="D12" s="3"/>
      <c r="E12" s="3"/>
      <c r="K12" s="478"/>
      <c r="M12" s="475"/>
    </row>
    <row r="13" spans="1:13" ht="15.75">
      <c r="B13" s="3"/>
      <c r="C13" s="3"/>
      <c r="D13" s="3"/>
      <c r="E13" s="3"/>
      <c r="K13" s="478"/>
      <c r="M13" s="103"/>
    </row>
    <row r="14" spans="1:13" ht="15.75">
      <c r="B14" s="4">
        <f>SUM(B3:B13)</f>
        <v>53550</v>
      </c>
      <c r="C14" s="4">
        <f>SUM(C3:C13)</f>
        <v>819000</v>
      </c>
      <c r="D14" s="4">
        <f>SUM(D3:D13)</f>
        <v>2203200</v>
      </c>
      <c r="E14" s="4">
        <f>SUM(E3:E13)</f>
        <v>0</v>
      </c>
      <c r="F14" s="5">
        <f>SUM(B14:E14)</f>
        <v>3075750</v>
      </c>
      <c r="K14" s="478"/>
      <c r="M14" s="475"/>
    </row>
    <row r="15" spans="1:13" ht="15.75">
      <c r="A15" s="6" t="s">
        <v>239</v>
      </c>
      <c r="B15" s="7">
        <f>B14/B2</f>
        <v>7</v>
      </c>
      <c r="C15" s="7">
        <f>C14/C2</f>
        <v>91</v>
      </c>
      <c r="D15" s="7">
        <f>D14/D2</f>
        <v>216</v>
      </c>
      <c r="E15" s="7">
        <f>E14/E2</f>
        <v>0</v>
      </c>
      <c r="K15" s="478"/>
      <c r="M15" s="475"/>
    </row>
    <row r="16" spans="1:13" ht="15.75">
      <c r="B16" s="7"/>
      <c r="C16" s="7"/>
      <c r="D16" s="7"/>
      <c r="E16" s="7"/>
      <c r="K16" s="475"/>
      <c r="M16" s="475"/>
    </row>
    <row r="17" spans="9:13">
      <c r="K17" s="480"/>
      <c r="M17" s="480"/>
    </row>
    <row r="20" spans="9:13">
      <c r="I20" s="5"/>
    </row>
  </sheetData>
  <pageMargins left="0.7" right="0.7" top="0.75" bottom="0.75" header="0.3" footer="0.3"/>
  <pageSetup paperSize="9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1"/>
  <sheetViews>
    <sheetView workbookViewId="0">
      <selection activeCell="M7" sqref="M7"/>
    </sheetView>
  </sheetViews>
  <sheetFormatPr defaultColWidth="9.140625" defaultRowHeight="15"/>
  <cols>
    <col min="1" max="1" width="11.42578125" customWidth="1"/>
    <col min="3" max="3" width="15.5703125" bestFit="1" customWidth="1"/>
  </cols>
  <sheetData>
    <row r="1" spans="1:3" ht="19.5" thickBot="1">
      <c r="A1" s="466">
        <v>56800</v>
      </c>
      <c r="B1" s="467">
        <v>16</v>
      </c>
      <c r="C1" s="470">
        <f>A1*B1</f>
        <v>908800</v>
      </c>
    </row>
    <row r="2" spans="1:3" ht="19.5" thickBot="1">
      <c r="A2" s="466">
        <v>352500</v>
      </c>
      <c r="B2" s="467">
        <v>0.4</v>
      </c>
      <c r="C2" s="470">
        <f t="shared" ref="C2:C10" si="0">A2*B2</f>
        <v>141000</v>
      </c>
    </row>
    <row r="3" spans="1:3" ht="19.5" thickBot="1">
      <c r="A3" s="466">
        <v>175500</v>
      </c>
      <c r="B3" s="467">
        <v>5</v>
      </c>
      <c r="C3" s="470">
        <f t="shared" si="0"/>
        <v>877500</v>
      </c>
    </row>
    <row r="4" spans="1:3" ht="19.5" thickBot="1">
      <c r="A4" s="468">
        <v>700</v>
      </c>
      <c r="B4" s="467">
        <v>1254</v>
      </c>
      <c r="C4" s="470">
        <f t="shared" si="0"/>
        <v>877800</v>
      </c>
    </row>
    <row r="5" spans="1:3" ht="19.5" thickBot="1">
      <c r="A5" s="466">
        <v>48250</v>
      </c>
      <c r="B5" s="467">
        <v>16</v>
      </c>
      <c r="C5" s="470">
        <f t="shared" si="0"/>
        <v>772000</v>
      </c>
    </row>
    <row r="6" spans="1:3" ht="19.5" thickBot="1">
      <c r="A6" s="466">
        <v>4050000</v>
      </c>
      <c r="B6" s="467">
        <v>0.1</v>
      </c>
      <c r="C6" s="470">
        <f t="shared" si="0"/>
        <v>405000</v>
      </c>
    </row>
    <row r="7" spans="1:3" ht="19.5" thickBot="1">
      <c r="A7" s="466">
        <v>70000</v>
      </c>
      <c r="B7" s="467">
        <v>2</v>
      </c>
      <c r="C7" s="470">
        <f t="shared" si="0"/>
        <v>140000</v>
      </c>
    </row>
    <row r="8" spans="1:3" ht="19.5" thickBot="1">
      <c r="A8" s="466">
        <v>68500</v>
      </c>
      <c r="B8" s="467">
        <v>8</v>
      </c>
      <c r="C8" s="470">
        <f t="shared" si="0"/>
        <v>548000</v>
      </c>
    </row>
    <row r="9" spans="1:3" ht="19.5" thickBot="1">
      <c r="A9" s="466">
        <v>2300</v>
      </c>
      <c r="B9" s="467">
        <v>15</v>
      </c>
      <c r="C9" s="470">
        <f t="shared" si="0"/>
        <v>34500</v>
      </c>
    </row>
    <row r="10" spans="1:3" ht="19.5" thickBot="1">
      <c r="A10" s="466">
        <v>15000</v>
      </c>
      <c r="B10" s="469">
        <v>92</v>
      </c>
      <c r="C10" s="470">
        <f t="shared" si="0"/>
        <v>1380000</v>
      </c>
    </row>
    <row r="11" spans="1:3">
      <c r="C11" s="471">
        <f>SUM(C1:C10)</f>
        <v>6084600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13</vt:i4>
      </vt:variant>
    </vt:vector>
  </HeadingPairs>
  <TitlesOfParts>
    <vt:vector size="28" baseType="lpstr">
      <vt:lpstr>Sheet4</vt:lpstr>
      <vt:lpstr>LAMP.8 (I)</vt:lpstr>
      <vt:lpstr>LAMP.9 (I)</vt:lpstr>
      <vt:lpstr>LAMP.11 (I)</vt:lpstr>
      <vt:lpstr>LAMP 10</vt:lpstr>
      <vt:lpstr>LAMP.10 (II)</vt:lpstr>
      <vt:lpstr>LAMP.14</vt:lpstr>
      <vt:lpstr>LAMP.15</vt:lpstr>
      <vt:lpstr>LAMP.8 (II)</vt:lpstr>
      <vt:lpstr>LAMP.9 (II)</vt:lpstr>
      <vt:lpstr>LAMP.11 (II)</vt:lpstr>
      <vt:lpstr>LAMP.16</vt:lpstr>
      <vt:lpstr>Sheet1</vt:lpstr>
      <vt:lpstr>Sheet2</vt:lpstr>
      <vt:lpstr>Sheet3</vt:lpstr>
      <vt:lpstr>'LAMP.10 (II)'!Print_Area</vt:lpstr>
      <vt:lpstr>'LAMP.11 (I)'!Print_Area</vt:lpstr>
      <vt:lpstr>'LAMP.11 (II)'!Print_Area</vt:lpstr>
      <vt:lpstr>LAMP.14!Print_Area</vt:lpstr>
      <vt:lpstr>LAMP.15!Print_Area</vt:lpstr>
      <vt:lpstr>LAMP.16!Print_Area</vt:lpstr>
      <vt:lpstr>'LAMP.9 (I)'!Print_Area</vt:lpstr>
      <vt:lpstr>'LAMP.10 (II)'!Print_Titles</vt:lpstr>
      <vt:lpstr>'LAMP.11 (I)'!Print_Titles</vt:lpstr>
      <vt:lpstr>'LAMP.8 (I)'!Print_Titles</vt:lpstr>
      <vt:lpstr>'LAMP.8 (II)'!Print_Titles</vt:lpstr>
      <vt:lpstr>'LAMP.9 (I)'!Print_Titles</vt:lpstr>
      <vt:lpstr>'LAMP.9 (II)'!Print_Titles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</dc:creator>
  <cp:lastModifiedBy>USER</cp:lastModifiedBy>
  <cp:revision>1</cp:revision>
  <cp:lastPrinted>2026-08-11T04:31:50Z</cp:lastPrinted>
  <dcterms:created xsi:type="dcterms:W3CDTF">2016-01-06T07:28:03Z</dcterms:created>
  <dcterms:modified xsi:type="dcterms:W3CDTF">2026-08-31T02:39:25Z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